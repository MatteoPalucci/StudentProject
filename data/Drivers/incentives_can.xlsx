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supsi-my.sharepoint.com/personal/matteo_palucci_supsi_ch/Documents/Desktop/Tutto/Teaching/Project 1/"/>
    </mc:Choice>
  </mc:AlternateContent>
  <xr:revisionPtr revIDLastSave="185" documentId="8_{6BEE9EB6-E9A5-448D-A922-F1F0AC620253}" xr6:coauthVersionLast="47" xr6:coauthVersionMax="47" xr10:uidLastSave="{BAD07431-ADD1-4C55-B457-11AC07DF33BE}"/>
  <bookViews>
    <workbookView xWindow="13740" yWindow="-16320" windowWidth="29040" windowHeight="15720" tabRatio="832" xr2:uid="{00000000-000D-0000-FFFF-FFFF00000000}"/>
  </bookViews>
  <sheets>
    <sheet name="Read me" sheetId="20" r:id="rId1"/>
    <sheet name="Total" sheetId="9" r:id="rId2"/>
    <sheet name="2024" sheetId="19" r:id="rId3"/>
    <sheet name="2024 CHF" sheetId="18" r:id="rId4"/>
    <sheet name="2023" sheetId="10" r:id="rId5"/>
    <sheet name="2023 CHF" sheetId="1" r:id="rId6"/>
    <sheet name="2022" sheetId="2" r:id="rId7"/>
    <sheet name="2022 CHF" sheetId="11" r:id="rId8"/>
    <sheet name="2021" sheetId="3" r:id="rId9"/>
    <sheet name="2021 CHF" sheetId="12" r:id="rId10"/>
    <sheet name="2020" sheetId="4" r:id="rId11"/>
    <sheet name="2020 CHF" sheetId="13" r:id="rId12"/>
    <sheet name="2019" sheetId="5" r:id="rId13"/>
    <sheet name="2019 CHF" sheetId="14" r:id="rId14"/>
    <sheet name="2018" sheetId="6" r:id="rId15"/>
    <sheet name="2018 CHF" sheetId="15" r:id="rId16"/>
    <sheet name="2017" sheetId="7" r:id="rId17"/>
    <sheet name="2017 CHF" sheetId="16" r:id="rId18"/>
    <sheet name="Applicazione MoPEC" sheetId="21" r:id="rId19"/>
  </sheets>
  <definedNames>
    <definedName name="_xlnm._FilterDatabase" localSheetId="4" hidden="1">'2023'!$A$2:$A$10</definedName>
    <definedName name="_xlnm._FilterDatabase" localSheetId="5" hidden="1">'2023 CHF'!$A$2:$A$10</definedName>
    <definedName name="_xlnm._FilterDatabase" localSheetId="2" hidden="1">'2024'!$A$2:$A$10</definedName>
    <definedName name="_xlnm._FilterDatabase" localSheetId="3" hidden="1">'2024 CHF'!$A$2:$A$10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9" l="1"/>
  <c r="C35" i="9"/>
  <c r="AC69" i="7"/>
  <c r="AB69" i="7"/>
  <c r="AA69" i="7"/>
  <c r="Z69" i="7"/>
  <c r="Y69" i="7"/>
  <c r="X69" i="7"/>
  <c r="W69" i="7"/>
  <c r="V69" i="7"/>
  <c r="U69" i="7"/>
  <c r="T69" i="7"/>
  <c r="S69" i="7"/>
  <c r="R69" i="7"/>
  <c r="Q69" i="7"/>
  <c r="P69" i="7"/>
  <c r="O69" i="7"/>
  <c r="N69" i="7"/>
  <c r="M69" i="7"/>
  <c r="L69" i="7"/>
  <c r="K69" i="7"/>
  <c r="J69" i="7"/>
  <c r="I69" i="7"/>
  <c r="H69" i="7"/>
  <c r="G69" i="7"/>
  <c r="F69" i="7"/>
  <c r="E69" i="7"/>
  <c r="D69" i="7"/>
  <c r="AC68" i="7"/>
  <c r="AB68" i="7"/>
  <c r="AA68" i="7"/>
  <c r="Z68" i="7"/>
  <c r="Y68" i="7"/>
  <c r="X68" i="7"/>
  <c r="W68" i="7"/>
  <c r="V68" i="7"/>
  <c r="U68" i="7"/>
  <c r="T68" i="7"/>
  <c r="S68" i="7"/>
  <c r="R68" i="7"/>
  <c r="Q68" i="7"/>
  <c r="P68" i="7"/>
  <c r="O68" i="7"/>
  <c r="N68" i="7"/>
  <c r="M68" i="7"/>
  <c r="L68" i="7"/>
  <c r="K68" i="7"/>
  <c r="J68" i="7"/>
  <c r="I68" i="7"/>
  <c r="H68" i="7"/>
  <c r="G68" i="7"/>
  <c r="F68" i="7"/>
  <c r="E68" i="7"/>
  <c r="D68" i="7"/>
  <c r="AC67" i="7"/>
  <c r="AB67" i="7"/>
  <c r="AA67" i="7"/>
  <c r="Z67" i="7"/>
  <c r="Y67" i="7"/>
  <c r="X67" i="7"/>
  <c r="W67" i="7"/>
  <c r="V67" i="7"/>
  <c r="U67" i="7"/>
  <c r="T67" i="7"/>
  <c r="S67" i="7"/>
  <c r="R67" i="7"/>
  <c r="Q67" i="7"/>
  <c r="P67" i="7"/>
  <c r="O67" i="7"/>
  <c r="N67" i="7"/>
  <c r="M67" i="7"/>
  <c r="L67" i="7"/>
  <c r="K67" i="7"/>
  <c r="J67" i="7"/>
  <c r="I67" i="7"/>
  <c r="H67" i="7"/>
  <c r="G67" i="7"/>
  <c r="F67" i="7"/>
  <c r="E67" i="7"/>
  <c r="D67" i="7"/>
  <c r="AC69" i="6"/>
  <c r="AB69" i="6"/>
  <c r="AA69" i="6"/>
  <c r="Z69" i="6"/>
  <c r="Y69" i="6"/>
  <c r="X69" i="6"/>
  <c r="W69" i="6"/>
  <c r="V69" i="6"/>
  <c r="U69" i="6"/>
  <c r="T69" i="6"/>
  <c r="S69" i="6"/>
  <c r="R69" i="6"/>
  <c r="Q69" i="6"/>
  <c r="P69" i="6"/>
  <c r="O69" i="6"/>
  <c r="N69" i="6"/>
  <c r="M69" i="6"/>
  <c r="L69" i="6"/>
  <c r="K69" i="6"/>
  <c r="J69" i="6"/>
  <c r="I69" i="6"/>
  <c r="H69" i="6"/>
  <c r="G69" i="6"/>
  <c r="F69" i="6"/>
  <c r="E69" i="6"/>
  <c r="D69" i="6"/>
  <c r="AC68" i="6"/>
  <c r="AB68" i="6"/>
  <c r="AA68" i="6"/>
  <c r="Z68" i="6"/>
  <c r="Y68" i="6"/>
  <c r="X68" i="6"/>
  <c r="W68" i="6"/>
  <c r="V68" i="6"/>
  <c r="U68" i="6"/>
  <c r="T68" i="6"/>
  <c r="S68" i="6"/>
  <c r="R68" i="6"/>
  <c r="Q68" i="6"/>
  <c r="P68" i="6"/>
  <c r="O68" i="6"/>
  <c r="N68" i="6"/>
  <c r="M68" i="6"/>
  <c r="L68" i="6"/>
  <c r="K68" i="6"/>
  <c r="J68" i="6"/>
  <c r="I68" i="6"/>
  <c r="H68" i="6"/>
  <c r="G68" i="6"/>
  <c r="F68" i="6"/>
  <c r="E68" i="6"/>
  <c r="D68" i="6"/>
  <c r="AC67" i="6"/>
  <c r="AB67" i="6"/>
  <c r="AA67" i="6"/>
  <c r="Z67" i="6"/>
  <c r="Y67" i="6"/>
  <c r="X67" i="6"/>
  <c r="W67" i="6"/>
  <c r="V67" i="6"/>
  <c r="U67" i="6"/>
  <c r="T67" i="6"/>
  <c r="S67" i="6"/>
  <c r="R67" i="6"/>
  <c r="Q67" i="6"/>
  <c r="P67" i="6"/>
  <c r="O67" i="6"/>
  <c r="N67" i="6"/>
  <c r="M67" i="6"/>
  <c r="L67" i="6"/>
  <c r="K67" i="6"/>
  <c r="J67" i="6"/>
  <c r="I67" i="6"/>
  <c r="H67" i="6"/>
  <c r="G67" i="6"/>
  <c r="F67" i="6"/>
  <c r="E67" i="6"/>
  <c r="D67" i="6"/>
  <c r="AC69" i="5"/>
  <c r="AB69" i="5"/>
  <c r="AA69" i="5"/>
  <c r="Z69" i="5"/>
  <c r="Y69" i="5"/>
  <c r="X69" i="5"/>
  <c r="W69" i="5"/>
  <c r="V69" i="5"/>
  <c r="U69" i="5"/>
  <c r="T69" i="5"/>
  <c r="S69" i="5"/>
  <c r="R69" i="5"/>
  <c r="Q69" i="5"/>
  <c r="P69" i="5"/>
  <c r="O69" i="5"/>
  <c r="N69" i="5"/>
  <c r="M69" i="5"/>
  <c r="L69" i="5"/>
  <c r="K69" i="5"/>
  <c r="J69" i="5"/>
  <c r="I69" i="5"/>
  <c r="H69" i="5"/>
  <c r="G69" i="5"/>
  <c r="F69" i="5"/>
  <c r="E69" i="5"/>
  <c r="D69" i="5"/>
  <c r="AC68" i="5"/>
  <c r="AB68" i="5"/>
  <c r="AA68" i="5"/>
  <c r="Z68" i="5"/>
  <c r="Y68" i="5"/>
  <c r="X68" i="5"/>
  <c r="W68" i="5"/>
  <c r="V68" i="5"/>
  <c r="U68" i="5"/>
  <c r="T68" i="5"/>
  <c r="S68" i="5"/>
  <c r="R68" i="5"/>
  <c r="Q68" i="5"/>
  <c r="P68" i="5"/>
  <c r="O68" i="5"/>
  <c r="N68" i="5"/>
  <c r="M68" i="5"/>
  <c r="L68" i="5"/>
  <c r="K68" i="5"/>
  <c r="J68" i="5"/>
  <c r="I68" i="5"/>
  <c r="H68" i="5"/>
  <c r="G68" i="5"/>
  <c r="F68" i="5"/>
  <c r="E68" i="5"/>
  <c r="D68" i="5"/>
  <c r="AC67" i="5"/>
  <c r="AB67" i="5"/>
  <c r="AA67" i="5"/>
  <c r="Z67" i="5"/>
  <c r="Y67" i="5"/>
  <c r="X67" i="5"/>
  <c r="W67" i="5"/>
  <c r="V67" i="5"/>
  <c r="U67" i="5"/>
  <c r="T67" i="5"/>
  <c r="S67" i="5"/>
  <c r="R67" i="5"/>
  <c r="Q67" i="5"/>
  <c r="P67" i="5"/>
  <c r="O67" i="5"/>
  <c r="N67" i="5"/>
  <c r="M67" i="5"/>
  <c r="L67" i="5"/>
  <c r="K67" i="5"/>
  <c r="J67" i="5"/>
  <c r="I67" i="5"/>
  <c r="H67" i="5"/>
  <c r="G67" i="5"/>
  <c r="F67" i="5"/>
  <c r="E67" i="5"/>
  <c r="D67" i="5"/>
  <c r="AC69" i="4"/>
  <c r="AB69" i="4"/>
  <c r="AA69" i="4"/>
  <c r="Z69" i="4"/>
  <c r="Y69" i="4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E69" i="4"/>
  <c r="D69" i="4"/>
  <c r="AC68" i="4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E68" i="4"/>
  <c r="D68" i="4"/>
  <c r="AC67" i="4"/>
  <c r="AB67" i="4"/>
  <c r="AA67" i="4"/>
  <c r="Z67" i="4"/>
  <c r="Y67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E67" i="4"/>
  <c r="D67" i="4"/>
  <c r="AC69" i="3"/>
  <c r="AB69" i="3"/>
  <c r="AA69" i="3"/>
  <c r="Z69" i="3"/>
  <c r="Y69" i="3"/>
  <c r="X69" i="3"/>
  <c r="W69" i="3"/>
  <c r="V69" i="3"/>
  <c r="U69" i="3"/>
  <c r="T69" i="3"/>
  <c r="S69" i="3"/>
  <c r="R69" i="3"/>
  <c r="Q69" i="3"/>
  <c r="P69" i="3"/>
  <c r="O69" i="3"/>
  <c r="N69" i="3"/>
  <c r="M69" i="3"/>
  <c r="L69" i="3"/>
  <c r="K69" i="3"/>
  <c r="J69" i="3"/>
  <c r="I69" i="3"/>
  <c r="H69" i="3"/>
  <c r="G69" i="3"/>
  <c r="F69" i="3"/>
  <c r="E69" i="3"/>
  <c r="D69" i="3"/>
  <c r="AC68" i="3"/>
  <c r="AB68" i="3"/>
  <c r="AA68" i="3"/>
  <c r="Z68" i="3"/>
  <c r="Y68" i="3"/>
  <c r="X68" i="3"/>
  <c r="W68" i="3"/>
  <c r="V68" i="3"/>
  <c r="U68" i="3"/>
  <c r="T68" i="3"/>
  <c r="S68" i="3"/>
  <c r="R68" i="3"/>
  <c r="Q68" i="3"/>
  <c r="P68" i="3"/>
  <c r="O68" i="3"/>
  <c r="N68" i="3"/>
  <c r="M68" i="3"/>
  <c r="L68" i="3"/>
  <c r="K68" i="3"/>
  <c r="J68" i="3"/>
  <c r="I68" i="3"/>
  <c r="H68" i="3"/>
  <c r="G68" i="3"/>
  <c r="F68" i="3"/>
  <c r="E68" i="3"/>
  <c r="D68" i="3"/>
  <c r="AC67" i="3"/>
  <c r="AB67" i="3"/>
  <c r="AA67" i="3"/>
  <c r="Z67" i="3"/>
  <c r="Y67" i="3"/>
  <c r="X67" i="3"/>
  <c r="W67" i="3"/>
  <c r="V67" i="3"/>
  <c r="U67" i="3"/>
  <c r="T67" i="3"/>
  <c r="S67" i="3"/>
  <c r="R67" i="3"/>
  <c r="Q67" i="3"/>
  <c r="P67" i="3"/>
  <c r="O67" i="3"/>
  <c r="N67" i="3"/>
  <c r="M67" i="3"/>
  <c r="L67" i="3"/>
  <c r="K67" i="3"/>
  <c r="J67" i="3"/>
  <c r="I67" i="3"/>
  <c r="H67" i="3"/>
  <c r="G67" i="3"/>
  <c r="F67" i="3"/>
  <c r="E67" i="3"/>
  <c r="D67" i="3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AC69" i="10"/>
  <c r="AB69" i="10"/>
  <c r="AA69" i="10"/>
  <c r="Z69" i="10"/>
  <c r="Y69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AC68" i="10"/>
  <c r="AB68" i="10"/>
  <c r="AA68" i="10"/>
  <c r="Z68" i="10"/>
  <c r="Y68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AC67" i="10"/>
  <c r="AB67" i="10"/>
  <c r="AA67" i="10"/>
  <c r="Z67" i="10"/>
  <c r="Y67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E67" i="19"/>
  <c r="D24" i="9" s="1"/>
  <c r="F67" i="19"/>
  <c r="E24" i="9" s="1"/>
  <c r="G67" i="19"/>
  <c r="H67" i="19"/>
  <c r="I67" i="19"/>
  <c r="J67" i="19"/>
  <c r="I24" i="9" s="1"/>
  <c r="K67" i="19"/>
  <c r="L67" i="19"/>
  <c r="M67" i="19"/>
  <c r="N67" i="19"/>
  <c r="O67" i="19"/>
  <c r="N24" i="9" s="1"/>
  <c r="P67" i="19"/>
  <c r="O24" i="9" s="1"/>
  <c r="Q67" i="19"/>
  <c r="P24" i="9" s="1"/>
  <c r="R67" i="19"/>
  <c r="Q24" i="9" s="1"/>
  <c r="S67" i="19"/>
  <c r="T67" i="19"/>
  <c r="U67" i="19"/>
  <c r="V67" i="19"/>
  <c r="U24" i="9" s="1"/>
  <c r="W67" i="19"/>
  <c r="X67" i="19"/>
  <c r="Y67" i="19"/>
  <c r="Z67" i="19"/>
  <c r="AA67" i="19"/>
  <c r="Z24" i="9" s="1"/>
  <c r="AB67" i="19"/>
  <c r="AA24" i="9" s="1"/>
  <c r="AC67" i="19"/>
  <c r="AB24" i="9" s="1"/>
  <c r="E68" i="19"/>
  <c r="D35" i="9" s="1"/>
  <c r="F68" i="19"/>
  <c r="G68" i="19"/>
  <c r="F35" i="9" s="1"/>
  <c r="H68" i="19"/>
  <c r="I68" i="19"/>
  <c r="J68" i="19"/>
  <c r="K68" i="19"/>
  <c r="L68" i="19"/>
  <c r="M68" i="19"/>
  <c r="N68" i="19"/>
  <c r="O68" i="19"/>
  <c r="N35" i="9" s="1"/>
  <c r="P68" i="19"/>
  <c r="Q68" i="19"/>
  <c r="P35" i="9" s="1"/>
  <c r="R68" i="19"/>
  <c r="S68" i="19"/>
  <c r="R35" i="9" s="1"/>
  <c r="T68" i="19"/>
  <c r="U68" i="19"/>
  <c r="T35" i="9" s="1"/>
  <c r="V68" i="19"/>
  <c r="W68" i="19"/>
  <c r="X68" i="19"/>
  <c r="Y68" i="19"/>
  <c r="Z68" i="19"/>
  <c r="AA68" i="19"/>
  <c r="Z35" i="9" s="1"/>
  <c r="BC13" i="9" s="1"/>
  <c r="AB68" i="19"/>
  <c r="AC68" i="19"/>
  <c r="AB35" i="9" s="1"/>
  <c r="E69" i="19"/>
  <c r="F69" i="19"/>
  <c r="G69" i="19"/>
  <c r="H69" i="19"/>
  <c r="I69" i="19"/>
  <c r="J69" i="19"/>
  <c r="K69" i="19"/>
  <c r="L69" i="19"/>
  <c r="M69" i="19"/>
  <c r="N69" i="19"/>
  <c r="O69" i="19"/>
  <c r="P69" i="19"/>
  <c r="Q69" i="19"/>
  <c r="R69" i="19"/>
  <c r="S69" i="19"/>
  <c r="T69" i="19"/>
  <c r="U69" i="19"/>
  <c r="V69" i="19"/>
  <c r="W69" i="19"/>
  <c r="X69" i="19"/>
  <c r="Y69" i="19"/>
  <c r="Z69" i="19"/>
  <c r="AA69" i="19"/>
  <c r="AB69" i="19"/>
  <c r="AC69" i="19"/>
  <c r="D69" i="19"/>
  <c r="D68" i="19"/>
  <c r="D67" i="19"/>
  <c r="AC73" i="16"/>
  <c r="AB73" i="16"/>
  <c r="AA73" i="16"/>
  <c r="Z73" i="16"/>
  <c r="Y73" i="16"/>
  <c r="X73" i="16"/>
  <c r="W73" i="16"/>
  <c r="V73" i="16"/>
  <c r="U73" i="16"/>
  <c r="T73" i="16"/>
  <c r="S73" i="16"/>
  <c r="R73" i="16"/>
  <c r="Q73" i="16"/>
  <c r="P73" i="16"/>
  <c r="O73" i="16"/>
  <c r="N73" i="16"/>
  <c r="M73" i="16"/>
  <c r="L73" i="16"/>
  <c r="K73" i="16"/>
  <c r="J73" i="16"/>
  <c r="I73" i="16"/>
  <c r="H73" i="16"/>
  <c r="G73" i="16"/>
  <c r="F73" i="16"/>
  <c r="E73" i="16"/>
  <c r="D73" i="16"/>
  <c r="AC72" i="16"/>
  <c r="AB72" i="16"/>
  <c r="AA72" i="16"/>
  <c r="Z72" i="16"/>
  <c r="Y72" i="16"/>
  <c r="X72" i="16"/>
  <c r="W72" i="16"/>
  <c r="V72" i="16"/>
  <c r="U72" i="16"/>
  <c r="T72" i="16"/>
  <c r="S72" i="16"/>
  <c r="R72" i="16"/>
  <c r="Q72" i="16"/>
  <c r="P72" i="16"/>
  <c r="O72" i="16"/>
  <c r="N72" i="16"/>
  <c r="M72" i="16"/>
  <c r="L72" i="16"/>
  <c r="K72" i="16"/>
  <c r="J72" i="16"/>
  <c r="I72" i="16"/>
  <c r="H72" i="16"/>
  <c r="G72" i="16"/>
  <c r="F72" i="16"/>
  <c r="E72" i="16"/>
  <c r="D72" i="16"/>
  <c r="AC71" i="16"/>
  <c r="AB71" i="16"/>
  <c r="AA71" i="16"/>
  <c r="Z71" i="16"/>
  <c r="Y71" i="16"/>
  <c r="X71" i="16"/>
  <c r="W71" i="16"/>
  <c r="V71" i="16"/>
  <c r="U71" i="16"/>
  <c r="T71" i="16"/>
  <c r="S71" i="16"/>
  <c r="R71" i="16"/>
  <c r="Q71" i="16"/>
  <c r="P71" i="16"/>
  <c r="O71" i="16"/>
  <c r="N71" i="16"/>
  <c r="M71" i="16"/>
  <c r="L71" i="16"/>
  <c r="K71" i="16"/>
  <c r="J71" i="16"/>
  <c r="I71" i="16"/>
  <c r="H71" i="16"/>
  <c r="G71" i="16"/>
  <c r="F71" i="16"/>
  <c r="E71" i="16"/>
  <c r="D71" i="16"/>
  <c r="AC73" i="15"/>
  <c r="AB73" i="15"/>
  <c r="AA73" i="15"/>
  <c r="Z73" i="15"/>
  <c r="Y73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AC72" i="15"/>
  <c r="AB72" i="15"/>
  <c r="AA72" i="15"/>
  <c r="Z72" i="15"/>
  <c r="Y72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AC71" i="15"/>
  <c r="AB71" i="15"/>
  <c r="AA71" i="15"/>
  <c r="Z71" i="15"/>
  <c r="Y71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AC73" i="14"/>
  <c r="AB73" i="14"/>
  <c r="AA73" i="14"/>
  <c r="Z73" i="14"/>
  <c r="Y73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AC72" i="14"/>
  <c r="AB72" i="14"/>
  <c r="AA72" i="14"/>
  <c r="Z72" i="14"/>
  <c r="Y72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AC71" i="14"/>
  <c r="AB71" i="14"/>
  <c r="AA71" i="14"/>
  <c r="Z71" i="14"/>
  <c r="Y71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AC73" i="13"/>
  <c r="AB73" i="13"/>
  <c r="AA73" i="13"/>
  <c r="Z73" i="13"/>
  <c r="Y73" i="13"/>
  <c r="X73" i="13"/>
  <c r="W73" i="13"/>
  <c r="V73" i="13"/>
  <c r="U73" i="13"/>
  <c r="T73" i="13"/>
  <c r="S73" i="13"/>
  <c r="R73" i="13"/>
  <c r="Q73" i="13"/>
  <c r="P73" i="13"/>
  <c r="O73" i="13"/>
  <c r="N73" i="13"/>
  <c r="M73" i="13"/>
  <c r="L73" i="13"/>
  <c r="K73" i="13"/>
  <c r="J73" i="13"/>
  <c r="I73" i="13"/>
  <c r="H73" i="13"/>
  <c r="G73" i="13"/>
  <c r="F73" i="13"/>
  <c r="E73" i="13"/>
  <c r="D73" i="13"/>
  <c r="AC72" i="13"/>
  <c r="AB72" i="13"/>
  <c r="AA72" i="13"/>
  <c r="Z72" i="13"/>
  <c r="Y72" i="13"/>
  <c r="X72" i="13"/>
  <c r="W72" i="13"/>
  <c r="V72" i="13"/>
  <c r="U72" i="13"/>
  <c r="T72" i="13"/>
  <c r="S72" i="13"/>
  <c r="R72" i="13"/>
  <c r="Q72" i="13"/>
  <c r="P72" i="13"/>
  <c r="O72" i="13"/>
  <c r="N72" i="13"/>
  <c r="M72" i="13"/>
  <c r="L72" i="13"/>
  <c r="K72" i="13"/>
  <c r="J72" i="13"/>
  <c r="I72" i="13"/>
  <c r="H72" i="13"/>
  <c r="G72" i="13"/>
  <c r="F72" i="13"/>
  <c r="E72" i="13"/>
  <c r="D72" i="13"/>
  <c r="AC71" i="13"/>
  <c r="AB71" i="13"/>
  <c r="AA71" i="13"/>
  <c r="Z71" i="13"/>
  <c r="Y71" i="13"/>
  <c r="X71" i="13"/>
  <c r="W71" i="13"/>
  <c r="V71" i="13"/>
  <c r="U71" i="13"/>
  <c r="T71" i="13"/>
  <c r="S71" i="13"/>
  <c r="R71" i="13"/>
  <c r="Q71" i="13"/>
  <c r="P71" i="13"/>
  <c r="O71" i="13"/>
  <c r="N71" i="13"/>
  <c r="M71" i="13"/>
  <c r="L71" i="13"/>
  <c r="K71" i="13"/>
  <c r="J71" i="13"/>
  <c r="I71" i="13"/>
  <c r="H71" i="13"/>
  <c r="G71" i="13"/>
  <c r="F71" i="13"/>
  <c r="E71" i="13"/>
  <c r="D71" i="13"/>
  <c r="AC73" i="12"/>
  <c r="AB73" i="12"/>
  <c r="AA73" i="12"/>
  <c r="Z73" i="12"/>
  <c r="Y73" i="12"/>
  <c r="X73" i="12"/>
  <c r="W73" i="12"/>
  <c r="V73" i="12"/>
  <c r="U73" i="12"/>
  <c r="T73" i="12"/>
  <c r="S73" i="12"/>
  <c r="R73" i="12"/>
  <c r="Q73" i="12"/>
  <c r="P73" i="12"/>
  <c r="O73" i="12"/>
  <c r="N73" i="12"/>
  <c r="M73" i="12"/>
  <c r="L73" i="12"/>
  <c r="K73" i="12"/>
  <c r="J73" i="12"/>
  <c r="I73" i="12"/>
  <c r="H73" i="12"/>
  <c r="G73" i="12"/>
  <c r="F73" i="12"/>
  <c r="E73" i="12"/>
  <c r="D73" i="12"/>
  <c r="AC72" i="12"/>
  <c r="AB72" i="12"/>
  <c r="AA72" i="12"/>
  <c r="Z72" i="12"/>
  <c r="Y72" i="12"/>
  <c r="X72" i="12"/>
  <c r="W72" i="12"/>
  <c r="V72" i="12"/>
  <c r="U72" i="12"/>
  <c r="T72" i="12"/>
  <c r="S72" i="12"/>
  <c r="R72" i="12"/>
  <c r="Q72" i="12"/>
  <c r="P72" i="12"/>
  <c r="O72" i="12"/>
  <c r="N72" i="12"/>
  <c r="M72" i="12"/>
  <c r="L72" i="12"/>
  <c r="K72" i="12"/>
  <c r="J72" i="12"/>
  <c r="I72" i="12"/>
  <c r="H72" i="12"/>
  <c r="G72" i="12"/>
  <c r="F72" i="12"/>
  <c r="E72" i="12"/>
  <c r="D72" i="12"/>
  <c r="AC71" i="12"/>
  <c r="AB71" i="12"/>
  <c r="AA71" i="12"/>
  <c r="Z71" i="12"/>
  <c r="Y71" i="12"/>
  <c r="X71" i="12"/>
  <c r="W71" i="12"/>
  <c r="V71" i="12"/>
  <c r="U71" i="12"/>
  <c r="T71" i="12"/>
  <c r="S71" i="12"/>
  <c r="R71" i="12"/>
  <c r="Q71" i="12"/>
  <c r="P71" i="12"/>
  <c r="O71" i="12"/>
  <c r="N71" i="12"/>
  <c r="M71" i="12"/>
  <c r="L71" i="12"/>
  <c r="K71" i="12"/>
  <c r="J71" i="12"/>
  <c r="I71" i="12"/>
  <c r="H71" i="12"/>
  <c r="G71" i="12"/>
  <c r="F71" i="12"/>
  <c r="E71" i="12"/>
  <c r="D71" i="12"/>
  <c r="AC73" i="11"/>
  <c r="AB73" i="11"/>
  <c r="AA73" i="11"/>
  <c r="Z73" i="11"/>
  <c r="Y73" i="11"/>
  <c r="X73" i="11"/>
  <c r="W73" i="11"/>
  <c r="V73" i="11"/>
  <c r="U73" i="11"/>
  <c r="T73" i="11"/>
  <c r="S73" i="11"/>
  <c r="R73" i="11"/>
  <c r="Q73" i="11"/>
  <c r="P73" i="11"/>
  <c r="O73" i="11"/>
  <c r="N73" i="11"/>
  <c r="M73" i="11"/>
  <c r="L73" i="11"/>
  <c r="K73" i="11"/>
  <c r="J73" i="11"/>
  <c r="I73" i="11"/>
  <c r="H73" i="11"/>
  <c r="G73" i="11"/>
  <c r="F73" i="11"/>
  <c r="E73" i="11"/>
  <c r="D73" i="11"/>
  <c r="AC72" i="11"/>
  <c r="AB72" i="11"/>
  <c r="AA72" i="11"/>
  <c r="Z72" i="11"/>
  <c r="Y72" i="11"/>
  <c r="X72" i="11"/>
  <c r="W72" i="11"/>
  <c r="V72" i="11"/>
  <c r="U72" i="11"/>
  <c r="T72" i="11"/>
  <c r="S72" i="11"/>
  <c r="R72" i="11"/>
  <c r="Q72" i="11"/>
  <c r="P72" i="11"/>
  <c r="O72" i="11"/>
  <c r="N72" i="11"/>
  <c r="M72" i="11"/>
  <c r="L72" i="11"/>
  <c r="K72" i="11"/>
  <c r="J72" i="11"/>
  <c r="I72" i="11"/>
  <c r="H72" i="11"/>
  <c r="G72" i="11"/>
  <c r="F72" i="11"/>
  <c r="E72" i="11"/>
  <c r="D72" i="11"/>
  <c r="AC71" i="11"/>
  <c r="AB71" i="11"/>
  <c r="AA71" i="11"/>
  <c r="Z71" i="11"/>
  <c r="Y71" i="11"/>
  <c r="X71" i="11"/>
  <c r="W71" i="11"/>
  <c r="V71" i="11"/>
  <c r="U71" i="11"/>
  <c r="T71" i="11"/>
  <c r="S71" i="11"/>
  <c r="R71" i="11"/>
  <c r="Q71" i="11"/>
  <c r="P71" i="11"/>
  <c r="O71" i="11"/>
  <c r="N71" i="11"/>
  <c r="M71" i="11"/>
  <c r="L71" i="11"/>
  <c r="K71" i="11"/>
  <c r="J71" i="11"/>
  <c r="I71" i="11"/>
  <c r="H71" i="11"/>
  <c r="G71" i="11"/>
  <c r="F71" i="11"/>
  <c r="E71" i="11"/>
  <c r="D71" i="1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14" i="9" s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3" i="9" s="1"/>
  <c r="E71" i="18"/>
  <c r="D2" i="9" s="1"/>
  <c r="F71" i="18"/>
  <c r="G71" i="18"/>
  <c r="F2" i="9" s="1"/>
  <c r="H71" i="18"/>
  <c r="I71" i="18"/>
  <c r="H2" i="9" s="1"/>
  <c r="J71" i="18"/>
  <c r="K71" i="18"/>
  <c r="J2" i="9" s="1"/>
  <c r="AM2" i="9" s="1"/>
  <c r="L71" i="18"/>
  <c r="M71" i="18"/>
  <c r="N71" i="18"/>
  <c r="O71" i="18"/>
  <c r="N2" i="9" s="1"/>
  <c r="P71" i="18"/>
  <c r="O2" i="9" s="1"/>
  <c r="Q71" i="18"/>
  <c r="P2" i="9" s="1"/>
  <c r="R71" i="18"/>
  <c r="S71" i="18"/>
  <c r="R2" i="9" s="1"/>
  <c r="T71" i="18"/>
  <c r="U71" i="18"/>
  <c r="T2" i="9" s="1"/>
  <c r="V71" i="18"/>
  <c r="W71" i="18"/>
  <c r="V2" i="9" s="1"/>
  <c r="AY2" i="9" s="1"/>
  <c r="X71" i="18"/>
  <c r="Y71" i="18"/>
  <c r="Z71" i="18"/>
  <c r="AA71" i="18"/>
  <c r="Z2" i="9" s="1"/>
  <c r="AB71" i="18"/>
  <c r="AA2" i="9" s="1"/>
  <c r="AC71" i="18"/>
  <c r="AB2" i="9" s="1"/>
  <c r="E72" i="18"/>
  <c r="F72" i="18"/>
  <c r="G72" i="18"/>
  <c r="H72" i="18"/>
  <c r="I72" i="18"/>
  <c r="J72" i="18"/>
  <c r="K72" i="18"/>
  <c r="L72" i="18"/>
  <c r="M72" i="18"/>
  <c r="N72" i="18"/>
  <c r="M13" i="9" s="1"/>
  <c r="O72" i="18"/>
  <c r="N13" i="9" s="1"/>
  <c r="P72" i="18"/>
  <c r="Q72" i="18"/>
  <c r="R72" i="18"/>
  <c r="Q13" i="9" s="1"/>
  <c r="S72" i="18"/>
  <c r="T72" i="18"/>
  <c r="U72" i="18"/>
  <c r="V72" i="18"/>
  <c r="W72" i="18"/>
  <c r="X72" i="18"/>
  <c r="Y72" i="18"/>
  <c r="Z72" i="18"/>
  <c r="AA72" i="18"/>
  <c r="Z13" i="9" s="1"/>
  <c r="AB72" i="18"/>
  <c r="AC72" i="18"/>
  <c r="E73" i="18"/>
  <c r="F73" i="18"/>
  <c r="G73" i="18"/>
  <c r="H73" i="18"/>
  <c r="I73" i="18"/>
  <c r="J73" i="18"/>
  <c r="K73" i="18"/>
  <c r="L73" i="18"/>
  <c r="M73" i="18"/>
  <c r="N73" i="18"/>
  <c r="O73" i="18"/>
  <c r="P73" i="18"/>
  <c r="Q73" i="18"/>
  <c r="R73" i="18"/>
  <c r="S73" i="18"/>
  <c r="T73" i="18"/>
  <c r="U73" i="18"/>
  <c r="V73" i="18"/>
  <c r="W73" i="18"/>
  <c r="X73" i="18"/>
  <c r="Y73" i="18"/>
  <c r="Z73" i="18"/>
  <c r="AA73" i="18"/>
  <c r="AB73" i="18"/>
  <c r="AC73" i="18"/>
  <c r="E2" i="9"/>
  <c r="G2" i="9"/>
  <c r="I2" i="9"/>
  <c r="K2" i="9"/>
  <c r="AN2" i="9" s="1"/>
  <c r="L2" i="9"/>
  <c r="M2" i="9"/>
  <c r="Q2" i="9"/>
  <c r="S2" i="9"/>
  <c r="AV2" i="9" s="1"/>
  <c r="U2" i="9"/>
  <c r="W2" i="9"/>
  <c r="X2" i="9"/>
  <c r="Y2" i="9"/>
  <c r="C2" i="9"/>
  <c r="C24" i="9"/>
  <c r="AC24" i="9" s="1"/>
  <c r="D75" i="18"/>
  <c r="Y13" i="9"/>
  <c r="D73" i="18"/>
  <c r="D72" i="18"/>
  <c r="D71" i="18"/>
  <c r="D67" i="18"/>
  <c r="D108" i="18"/>
  <c r="J35" i="9"/>
  <c r="E35" i="9"/>
  <c r="G35" i="9"/>
  <c r="H35" i="9"/>
  <c r="I35" i="9"/>
  <c r="K35" i="9"/>
  <c r="L35" i="9"/>
  <c r="M35" i="9"/>
  <c r="O35" i="9"/>
  <c r="Q35" i="9"/>
  <c r="S35" i="9"/>
  <c r="U35" i="9"/>
  <c r="V35" i="9"/>
  <c r="W35" i="9"/>
  <c r="X35" i="9"/>
  <c r="Y35" i="9"/>
  <c r="AA35" i="9"/>
  <c r="C36" i="9"/>
  <c r="AF14" i="9" s="1"/>
  <c r="F24" i="9"/>
  <c r="G24" i="9"/>
  <c r="H24" i="9"/>
  <c r="J24" i="9"/>
  <c r="K24" i="9"/>
  <c r="L24" i="9"/>
  <c r="AO2" i="9" s="1"/>
  <c r="M24" i="9"/>
  <c r="AP2" i="9" s="1"/>
  <c r="R24" i="9"/>
  <c r="S24" i="9"/>
  <c r="T24" i="9"/>
  <c r="V24" i="9"/>
  <c r="W24" i="9"/>
  <c r="AZ2" i="9" s="1"/>
  <c r="X24" i="9"/>
  <c r="BA2" i="9" s="1"/>
  <c r="Y24" i="9"/>
  <c r="C25" i="9"/>
  <c r="D13" i="9"/>
  <c r="E13" i="9"/>
  <c r="F13" i="9"/>
  <c r="G13" i="9"/>
  <c r="AJ13" i="9" s="1"/>
  <c r="H13" i="9"/>
  <c r="I13" i="9"/>
  <c r="J13" i="9"/>
  <c r="K13" i="9"/>
  <c r="L13" i="9"/>
  <c r="O13" i="9"/>
  <c r="P13" i="9"/>
  <c r="R13" i="9"/>
  <c r="S13" i="9"/>
  <c r="T13" i="9"/>
  <c r="U13" i="9"/>
  <c r="V13" i="9"/>
  <c r="W13" i="9"/>
  <c r="X13" i="9"/>
  <c r="AA13" i="9"/>
  <c r="AB13" i="9"/>
  <c r="D36" i="19"/>
  <c r="AC65" i="19"/>
  <c r="AB65" i="19"/>
  <c r="AA65" i="19"/>
  <c r="Z65" i="19"/>
  <c r="Y65" i="19"/>
  <c r="X65" i="19"/>
  <c r="W65" i="19"/>
  <c r="V65" i="19"/>
  <c r="U65" i="19"/>
  <c r="T65" i="19"/>
  <c r="S65" i="19"/>
  <c r="R65" i="19"/>
  <c r="Q65" i="19"/>
  <c r="P65" i="19"/>
  <c r="O65" i="19"/>
  <c r="N65" i="19"/>
  <c r="M65" i="19"/>
  <c r="L65" i="19"/>
  <c r="K65" i="19"/>
  <c r="J65" i="19"/>
  <c r="I65" i="19"/>
  <c r="H65" i="19"/>
  <c r="G65" i="19"/>
  <c r="F65" i="19"/>
  <c r="E65" i="19"/>
  <c r="D65" i="19"/>
  <c r="AC64" i="19"/>
  <c r="AB64" i="19"/>
  <c r="AA64" i="19"/>
  <c r="Z64" i="19"/>
  <c r="Y64" i="19"/>
  <c r="X64" i="19"/>
  <c r="W64" i="19"/>
  <c r="V64" i="19"/>
  <c r="U64" i="19"/>
  <c r="T64" i="19"/>
  <c r="S64" i="19"/>
  <c r="R64" i="19"/>
  <c r="Q64" i="19"/>
  <c r="P64" i="19"/>
  <c r="O64" i="19"/>
  <c r="N64" i="19"/>
  <c r="M64" i="19"/>
  <c r="L64" i="19"/>
  <c r="K64" i="19"/>
  <c r="J64" i="19"/>
  <c r="I64" i="19"/>
  <c r="H64" i="19"/>
  <c r="G64" i="19"/>
  <c r="F64" i="19"/>
  <c r="E64" i="19"/>
  <c r="D64" i="19"/>
  <c r="AC63" i="19"/>
  <c r="AB63" i="19"/>
  <c r="AA63" i="19"/>
  <c r="Z63" i="19"/>
  <c r="Y63" i="19"/>
  <c r="X63" i="19"/>
  <c r="W63" i="19"/>
  <c r="V63" i="19"/>
  <c r="U63" i="19"/>
  <c r="T63" i="19"/>
  <c r="S63" i="19"/>
  <c r="R63" i="19"/>
  <c r="Q63" i="19"/>
  <c r="P63" i="19"/>
  <c r="O63" i="19"/>
  <c r="N63" i="19"/>
  <c r="M63" i="19"/>
  <c r="L63" i="19"/>
  <c r="K63" i="19"/>
  <c r="J63" i="19"/>
  <c r="I63" i="19"/>
  <c r="H63" i="19"/>
  <c r="G63" i="19"/>
  <c r="F63" i="19"/>
  <c r="E63" i="19"/>
  <c r="D63" i="19"/>
  <c r="AC62" i="19"/>
  <c r="AB62" i="19"/>
  <c r="AA62" i="19"/>
  <c r="Z62" i="19"/>
  <c r="Y62" i="19"/>
  <c r="X62" i="19"/>
  <c r="W62" i="19"/>
  <c r="V62" i="19"/>
  <c r="U62" i="19"/>
  <c r="T62" i="19"/>
  <c r="S62" i="19"/>
  <c r="R62" i="19"/>
  <c r="Q62" i="19"/>
  <c r="P62" i="19"/>
  <c r="O62" i="19"/>
  <c r="N62" i="19"/>
  <c r="M62" i="19"/>
  <c r="L62" i="19"/>
  <c r="K62" i="19"/>
  <c r="J62" i="19"/>
  <c r="I62" i="19"/>
  <c r="H62" i="19"/>
  <c r="G62" i="19"/>
  <c r="F62" i="19"/>
  <c r="E62" i="19"/>
  <c r="D62" i="19"/>
  <c r="AC61" i="19"/>
  <c r="AB61" i="19"/>
  <c r="AA61" i="19"/>
  <c r="Z61" i="19"/>
  <c r="Y61" i="19"/>
  <c r="X61" i="19"/>
  <c r="W61" i="19"/>
  <c r="V61" i="19"/>
  <c r="U61" i="19"/>
  <c r="T61" i="19"/>
  <c r="S61" i="19"/>
  <c r="R61" i="19"/>
  <c r="Q61" i="19"/>
  <c r="P61" i="19"/>
  <c r="O61" i="19"/>
  <c r="N61" i="19"/>
  <c r="M61" i="19"/>
  <c r="L61" i="19"/>
  <c r="K61" i="19"/>
  <c r="J61" i="19"/>
  <c r="I61" i="19"/>
  <c r="H61" i="19"/>
  <c r="G61" i="19"/>
  <c r="F61" i="19"/>
  <c r="E61" i="19"/>
  <c r="D61" i="19"/>
  <c r="AC60" i="19"/>
  <c r="AB60" i="19"/>
  <c r="AA60" i="19"/>
  <c r="Z60" i="19"/>
  <c r="Y60" i="19"/>
  <c r="X60" i="19"/>
  <c r="W60" i="19"/>
  <c r="V60" i="19"/>
  <c r="U60" i="19"/>
  <c r="T60" i="19"/>
  <c r="S60" i="19"/>
  <c r="R60" i="19"/>
  <c r="Q60" i="19"/>
  <c r="P60" i="19"/>
  <c r="O60" i="19"/>
  <c r="N60" i="19"/>
  <c r="M60" i="19"/>
  <c r="L60" i="19"/>
  <c r="K60" i="19"/>
  <c r="J60" i="19"/>
  <c r="I60" i="19"/>
  <c r="H60" i="19"/>
  <c r="G60" i="19"/>
  <c r="F60" i="19"/>
  <c r="E60" i="19"/>
  <c r="D60" i="19"/>
  <c r="AC59" i="19"/>
  <c r="AB59" i="19"/>
  <c r="AA59" i="19"/>
  <c r="Z59" i="19"/>
  <c r="Y59" i="19"/>
  <c r="X59" i="19"/>
  <c r="W59" i="19"/>
  <c r="V59" i="19"/>
  <c r="U59" i="19"/>
  <c r="T59" i="19"/>
  <c r="S59" i="19"/>
  <c r="R59" i="19"/>
  <c r="Q59" i="19"/>
  <c r="P59" i="19"/>
  <c r="O59" i="19"/>
  <c r="N59" i="19"/>
  <c r="M59" i="19"/>
  <c r="L59" i="19"/>
  <c r="K59" i="19"/>
  <c r="J59" i="19"/>
  <c r="I59" i="19"/>
  <c r="H59" i="19"/>
  <c r="G59" i="19"/>
  <c r="F59" i="19"/>
  <c r="E59" i="19"/>
  <c r="D59" i="19"/>
  <c r="AC58" i="19"/>
  <c r="AB58" i="19"/>
  <c r="AA58" i="19"/>
  <c r="Z58" i="19"/>
  <c r="Y58" i="19"/>
  <c r="X58" i="19"/>
  <c r="W58" i="19"/>
  <c r="V58" i="19"/>
  <c r="U58" i="19"/>
  <c r="T58" i="19"/>
  <c r="S58" i="19"/>
  <c r="R58" i="19"/>
  <c r="Q58" i="19"/>
  <c r="P58" i="19"/>
  <c r="O58" i="19"/>
  <c r="N58" i="19"/>
  <c r="M58" i="19"/>
  <c r="L58" i="19"/>
  <c r="K58" i="19"/>
  <c r="J58" i="19"/>
  <c r="I58" i="19"/>
  <c r="H58" i="19"/>
  <c r="G58" i="19"/>
  <c r="F58" i="19"/>
  <c r="E58" i="19"/>
  <c r="D58" i="19"/>
  <c r="AC54" i="19"/>
  <c r="AB54" i="19"/>
  <c r="AA54" i="19"/>
  <c r="Z54" i="19"/>
  <c r="Y54" i="19"/>
  <c r="X54" i="19"/>
  <c r="W54" i="19"/>
  <c r="V54" i="19"/>
  <c r="U54" i="19"/>
  <c r="T54" i="19"/>
  <c r="S54" i="19"/>
  <c r="R54" i="19"/>
  <c r="Q54" i="19"/>
  <c r="P54" i="19"/>
  <c r="O54" i="19"/>
  <c r="N54" i="19"/>
  <c r="M54" i="19"/>
  <c r="L54" i="19"/>
  <c r="K54" i="19"/>
  <c r="J54" i="19"/>
  <c r="I54" i="19"/>
  <c r="H54" i="19"/>
  <c r="G54" i="19"/>
  <c r="F54" i="19"/>
  <c r="E54" i="19"/>
  <c r="D54" i="19"/>
  <c r="AC53" i="19"/>
  <c r="AB53" i="19"/>
  <c r="AA53" i="19"/>
  <c r="Z53" i="19"/>
  <c r="Y53" i="19"/>
  <c r="X53" i="19"/>
  <c r="W53" i="19"/>
  <c r="V53" i="19"/>
  <c r="U53" i="19"/>
  <c r="T53" i="19"/>
  <c r="S53" i="19"/>
  <c r="R53" i="19"/>
  <c r="Q53" i="19"/>
  <c r="P53" i="19"/>
  <c r="O53" i="19"/>
  <c r="N53" i="19"/>
  <c r="M53" i="19"/>
  <c r="L53" i="19"/>
  <c r="K53" i="19"/>
  <c r="J53" i="19"/>
  <c r="I53" i="19"/>
  <c r="H53" i="19"/>
  <c r="G53" i="19"/>
  <c r="F53" i="19"/>
  <c r="E53" i="19"/>
  <c r="D53" i="19"/>
  <c r="AC52" i="19"/>
  <c r="AB52" i="19"/>
  <c r="AA52" i="19"/>
  <c r="Z52" i="19"/>
  <c r="Y52" i="19"/>
  <c r="X52" i="19"/>
  <c r="W52" i="19"/>
  <c r="V52" i="19"/>
  <c r="U52" i="19"/>
  <c r="T52" i="19"/>
  <c r="S52" i="19"/>
  <c r="R52" i="19"/>
  <c r="Q52" i="19"/>
  <c r="P52" i="19"/>
  <c r="O52" i="19"/>
  <c r="N52" i="19"/>
  <c r="M52" i="19"/>
  <c r="L52" i="19"/>
  <c r="K52" i="19"/>
  <c r="J52" i="19"/>
  <c r="I52" i="19"/>
  <c r="H52" i="19"/>
  <c r="G52" i="19"/>
  <c r="F52" i="19"/>
  <c r="E52" i="19"/>
  <c r="D52" i="19"/>
  <c r="AC51" i="19"/>
  <c r="AB51" i="19"/>
  <c r="AA51" i="19"/>
  <c r="Z51" i="19"/>
  <c r="Y51" i="19"/>
  <c r="X51" i="19"/>
  <c r="W51" i="19"/>
  <c r="V51" i="19"/>
  <c r="U51" i="19"/>
  <c r="T51" i="19"/>
  <c r="S51" i="19"/>
  <c r="R51" i="19"/>
  <c r="Q51" i="19"/>
  <c r="P51" i="19"/>
  <c r="O51" i="19"/>
  <c r="N51" i="19"/>
  <c r="M51" i="19"/>
  <c r="L51" i="19"/>
  <c r="K51" i="19"/>
  <c r="J51" i="19"/>
  <c r="I51" i="19"/>
  <c r="H51" i="19"/>
  <c r="G51" i="19"/>
  <c r="F51" i="19"/>
  <c r="E51" i="19"/>
  <c r="D51" i="19"/>
  <c r="AC50" i="19"/>
  <c r="AB50" i="19"/>
  <c r="AA50" i="19"/>
  <c r="Z50" i="19"/>
  <c r="Y50" i="19"/>
  <c r="X50" i="19"/>
  <c r="W50" i="19"/>
  <c r="V50" i="19"/>
  <c r="U50" i="19"/>
  <c r="T50" i="19"/>
  <c r="S50" i="19"/>
  <c r="R50" i="19"/>
  <c r="Q50" i="19"/>
  <c r="P50" i="19"/>
  <c r="O50" i="19"/>
  <c r="N50" i="19"/>
  <c r="M50" i="19"/>
  <c r="L50" i="19"/>
  <c r="K50" i="19"/>
  <c r="J50" i="19"/>
  <c r="I50" i="19"/>
  <c r="H50" i="19"/>
  <c r="G50" i="19"/>
  <c r="F50" i="19"/>
  <c r="E50" i="19"/>
  <c r="D50" i="19"/>
  <c r="AC49" i="19"/>
  <c r="AB49" i="19"/>
  <c r="AA49" i="19"/>
  <c r="Z49" i="19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H49" i="19"/>
  <c r="G49" i="19"/>
  <c r="F49" i="19"/>
  <c r="E49" i="19"/>
  <c r="D49" i="19"/>
  <c r="AC48" i="19"/>
  <c r="AB48" i="19"/>
  <c r="AA48" i="19"/>
  <c r="Z48" i="19"/>
  <c r="Y48" i="19"/>
  <c r="X48" i="19"/>
  <c r="W48" i="19"/>
  <c r="V48" i="19"/>
  <c r="U48" i="19"/>
  <c r="T48" i="19"/>
  <c r="S48" i="19"/>
  <c r="R48" i="19"/>
  <c r="Q48" i="19"/>
  <c r="P48" i="19"/>
  <c r="O48" i="19"/>
  <c r="N48" i="19"/>
  <c r="M48" i="19"/>
  <c r="L48" i="19"/>
  <c r="K48" i="19"/>
  <c r="J48" i="19"/>
  <c r="I48" i="19"/>
  <c r="H48" i="19"/>
  <c r="G48" i="19"/>
  <c r="F48" i="19"/>
  <c r="E48" i="19"/>
  <c r="D48" i="19"/>
  <c r="AC47" i="19"/>
  <c r="AB47" i="19"/>
  <c r="AA47" i="19"/>
  <c r="Z47" i="19"/>
  <c r="Y47" i="19"/>
  <c r="X47" i="19"/>
  <c r="W47" i="19"/>
  <c r="V47" i="19"/>
  <c r="U47" i="19"/>
  <c r="T47" i="19"/>
  <c r="S47" i="19"/>
  <c r="R47" i="19"/>
  <c r="Q47" i="19"/>
  <c r="P47" i="19"/>
  <c r="O47" i="19"/>
  <c r="N47" i="19"/>
  <c r="M47" i="19"/>
  <c r="L47" i="19"/>
  <c r="K47" i="19"/>
  <c r="J47" i="19"/>
  <c r="I47" i="19"/>
  <c r="H47" i="19"/>
  <c r="G47" i="19"/>
  <c r="F47" i="19"/>
  <c r="E47" i="19"/>
  <c r="D47" i="19"/>
  <c r="AC43" i="19"/>
  <c r="AB43" i="19"/>
  <c r="AA43" i="19"/>
  <c r="Z43" i="19"/>
  <c r="Y43" i="19"/>
  <c r="X43" i="19"/>
  <c r="W43" i="19"/>
  <c r="V43" i="19"/>
  <c r="U43" i="19"/>
  <c r="T43" i="19"/>
  <c r="S43" i="19"/>
  <c r="R43" i="19"/>
  <c r="Q43" i="19"/>
  <c r="P43" i="19"/>
  <c r="O43" i="19"/>
  <c r="N43" i="19"/>
  <c r="M43" i="19"/>
  <c r="L43" i="19"/>
  <c r="K43" i="19"/>
  <c r="J43" i="19"/>
  <c r="I43" i="19"/>
  <c r="H43" i="19"/>
  <c r="G43" i="19"/>
  <c r="F43" i="19"/>
  <c r="E43" i="19"/>
  <c r="D43" i="19"/>
  <c r="AC42" i="19"/>
  <c r="AB42" i="19"/>
  <c r="AA42" i="19"/>
  <c r="Z42" i="19"/>
  <c r="Y42" i="19"/>
  <c r="X42" i="19"/>
  <c r="W42" i="19"/>
  <c r="V42" i="19"/>
  <c r="U42" i="19"/>
  <c r="T42" i="19"/>
  <c r="S42" i="19"/>
  <c r="R42" i="19"/>
  <c r="Q42" i="19"/>
  <c r="P42" i="19"/>
  <c r="O42" i="19"/>
  <c r="N42" i="19"/>
  <c r="M42" i="19"/>
  <c r="L42" i="19"/>
  <c r="K42" i="19"/>
  <c r="J42" i="19"/>
  <c r="I42" i="19"/>
  <c r="H42" i="19"/>
  <c r="G42" i="19"/>
  <c r="F42" i="19"/>
  <c r="E42" i="19"/>
  <c r="D42" i="19"/>
  <c r="AC41" i="19"/>
  <c r="AB41" i="19"/>
  <c r="AA41" i="19"/>
  <c r="Z41" i="19"/>
  <c r="Y41" i="19"/>
  <c r="X41" i="19"/>
  <c r="W41" i="19"/>
  <c r="V41" i="19"/>
  <c r="U41" i="19"/>
  <c r="T41" i="19"/>
  <c r="S41" i="19"/>
  <c r="R41" i="19"/>
  <c r="Q41" i="19"/>
  <c r="P41" i="19"/>
  <c r="O41" i="19"/>
  <c r="N41" i="19"/>
  <c r="M41" i="19"/>
  <c r="L41" i="19"/>
  <c r="K41" i="19"/>
  <c r="J41" i="19"/>
  <c r="I41" i="19"/>
  <c r="H41" i="19"/>
  <c r="G41" i="19"/>
  <c r="F41" i="19"/>
  <c r="E41" i="19"/>
  <c r="D41" i="19"/>
  <c r="AC40" i="19"/>
  <c r="AB40" i="19"/>
  <c r="AA40" i="19"/>
  <c r="Z40" i="19"/>
  <c r="Y40" i="19"/>
  <c r="X40" i="19"/>
  <c r="W40" i="19"/>
  <c r="V40" i="19"/>
  <c r="U40" i="19"/>
  <c r="T40" i="19"/>
  <c r="S40" i="19"/>
  <c r="R40" i="19"/>
  <c r="Q40" i="19"/>
  <c r="P40" i="19"/>
  <c r="O40" i="19"/>
  <c r="N40" i="19"/>
  <c r="M40" i="19"/>
  <c r="L40" i="19"/>
  <c r="K40" i="19"/>
  <c r="J40" i="19"/>
  <c r="I40" i="19"/>
  <c r="H40" i="19"/>
  <c r="G40" i="19"/>
  <c r="F40" i="19"/>
  <c r="E40" i="19"/>
  <c r="D40" i="19"/>
  <c r="AC39" i="19"/>
  <c r="AB39" i="19"/>
  <c r="AA39" i="19"/>
  <c r="Z39" i="19"/>
  <c r="Y39" i="19"/>
  <c r="X39" i="19"/>
  <c r="W39" i="19"/>
  <c r="V39" i="19"/>
  <c r="U39" i="19"/>
  <c r="T39" i="19"/>
  <c r="S39" i="19"/>
  <c r="R39" i="19"/>
  <c r="Q39" i="19"/>
  <c r="P39" i="19"/>
  <c r="O39" i="19"/>
  <c r="N39" i="19"/>
  <c r="M39" i="19"/>
  <c r="L39" i="19"/>
  <c r="K39" i="19"/>
  <c r="J39" i="19"/>
  <c r="I39" i="19"/>
  <c r="H39" i="19"/>
  <c r="G39" i="19"/>
  <c r="F39" i="19"/>
  <c r="E39" i="19"/>
  <c r="D39" i="19"/>
  <c r="AC38" i="19"/>
  <c r="AB38" i="19"/>
  <c r="AA38" i="19"/>
  <c r="Z38" i="19"/>
  <c r="Y38" i="19"/>
  <c r="X38" i="19"/>
  <c r="W38" i="19"/>
  <c r="V38" i="19"/>
  <c r="U38" i="19"/>
  <c r="T38" i="19"/>
  <c r="S38" i="19"/>
  <c r="R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AC37" i="19"/>
  <c r="AB37" i="19"/>
  <c r="AA37" i="19"/>
  <c r="Z37" i="19"/>
  <c r="Y37" i="19"/>
  <c r="X37" i="19"/>
  <c r="W37" i="19"/>
  <c r="V37" i="19"/>
  <c r="U37" i="19"/>
  <c r="T37" i="19"/>
  <c r="S37" i="19"/>
  <c r="R37" i="19"/>
  <c r="Q37" i="19"/>
  <c r="P37" i="19"/>
  <c r="O37" i="19"/>
  <c r="N37" i="19"/>
  <c r="M37" i="19"/>
  <c r="L37" i="19"/>
  <c r="K37" i="19"/>
  <c r="J37" i="19"/>
  <c r="I37" i="19"/>
  <c r="H37" i="19"/>
  <c r="G37" i="19"/>
  <c r="F37" i="19"/>
  <c r="E37" i="19"/>
  <c r="D37" i="19"/>
  <c r="AC36" i="19"/>
  <c r="AB36" i="19"/>
  <c r="AA36" i="19"/>
  <c r="Z36" i="19"/>
  <c r="Y36" i="19"/>
  <c r="X36" i="19"/>
  <c r="W36" i="19"/>
  <c r="V36" i="19"/>
  <c r="U36" i="19"/>
  <c r="T36" i="19"/>
  <c r="S36" i="19"/>
  <c r="R36" i="19"/>
  <c r="Q36" i="19"/>
  <c r="P36" i="19"/>
  <c r="O36" i="19"/>
  <c r="N36" i="19"/>
  <c r="M36" i="19"/>
  <c r="L36" i="19"/>
  <c r="K36" i="19"/>
  <c r="J36" i="19"/>
  <c r="I36" i="19"/>
  <c r="H36" i="19"/>
  <c r="G36" i="19"/>
  <c r="F36" i="19"/>
  <c r="E36" i="19"/>
  <c r="AR13" i="9" l="1"/>
  <c r="AQ2" i="9"/>
  <c r="AJ2" i="9"/>
  <c r="AI13" i="9"/>
  <c r="AN13" i="9"/>
  <c r="AF2" i="9"/>
  <c r="AO13" i="9"/>
  <c r="BD13" i="9"/>
  <c r="AF3" i="9"/>
  <c r="AU13" i="9"/>
  <c r="BE13" i="9"/>
  <c r="AG13" i="9"/>
  <c r="BC2" i="9"/>
  <c r="AV13" i="9"/>
  <c r="AZ13" i="9"/>
  <c r="AT13" i="9"/>
  <c r="AK2" i="9"/>
  <c r="AL13" i="9"/>
  <c r="BB2" i="9"/>
  <c r="AC2" i="9"/>
  <c r="BF2" i="9" s="1"/>
  <c r="AI2" i="9"/>
  <c r="BA13" i="9"/>
  <c r="AW2" i="9"/>
  <c r="AM13" i="9"/>
  <c r="AU2" i="9"/>
  <c r="AT2" i="9"/>
  <c r="AH2" i="9"/>
  <c r="AP13" i="9"/>
  <c r="BB13" i="9"/>
  <c r="BE2" i="9"/>
  <c r="AS2" i="9"/>
  <c r="AG2" i="9"/>
  <c r="AQ13" i="9"/>
  <c r="BD2" i="9"/>
  <c r="AR2" i="9"/>
  <c r="AF13" i="9"/>
  <c r="AS13" i="9"/>
  <c r="AH13" i="9"/>
  <c r="AW13" i="9"/>
  <c r="AX2" i="9"/>
  <c r="AL2" i="9"/>
  <c r="AX13" i="9"/>
  <c r="AK13" i="9"/>
  <c r="AY13" i="9"/>
  <c r="AC51" i="9"/>
  <c r="AC35" i="9"/>
  <c r="AC13" i="9"/>
  <c r="J71" i="19"/>
  <c r="V71" i="19"/>
  <c r="G71" i="19"/>
  <c r="D71" i="19"/>
  <c r="E71" i="19"/>
  <c r="Q71" i="19"/>
  <c r="AC71" i="19"/>
  <c r="Y71" i="19"/>
  <c r="N71" i="19"/>
  <c r="P71" i="19"/>
  <c r="AB71" i="19"/>
  <c r="K71" i="19"/>
  <c r="W71" i="19"/>
  <c r="H71" i="19"/>
  <c r="T71" i="19"/>
  <c r="R71" i="19"/>
  <c r="M71" i="19"/>
  <c r="Z71" i="19"/>
  <c r="O71" i="19"/>
  <c r="AA71" i="19"/>
  <c r="I71" i="19"/>
  <c r="U71" i="19"/>
  <c r="F71" i="19"/>
  <c r="S71" i="19"/>
  <c r="L71" i="19"/>
  <c r="X71" i="19"/>
  <c r="BF13" i="9" l="1"/>
  <c r="AC106" i="18"/>
  <c r="AB106" i="18"/>
  <c r="AA106" i="18"/>
  <c r="Z106" i="18"/>
  <c r="Y106" i="18"/>
  <c r="X106" i="18"/>
  <c r="W106" i="18"/>
  <c r="V106" i="18"/>
  <c r="U106" i="18"/>
  <c r="T106" i="18"/>
  <c r="S106" i="18"/>
  <c r="R106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AC105" i="18"/>
  <c r="AB105" i="18"/>
  <c r="AA105" i="18"/>
  <c r="Z105" i="18"/>
  <c r="Y105" i="18"/>
  <c r="X105" i="18"/>
  <c r="W105" i="18"/>
  <c r="V105" i="18"/>
  <c r="U105" i="18"/>
  <c r="T105" i="18"/>
  <c r="S105" i="18"/>
  <c r="R105" i="18"/>
  <c r="Q105" i="18"/>
  <c r="P105" i="18"/>
  <c r="O105" i="18"/>
  <c r="N105" i="18"/>
  <c r="M105" i="18"/>
  <c r="L105" i="18"/>
  <c r="K105" i="18"/>
  <c r="J105" i="18"/>
  <c r="I105" i="18"/>
  <c r="H105" i="18"/>
  <c r="G105" i="18"/>
  <c r="F105" i="18"/>
  <c r="E105" i="18"/>
  <c r="D105" i="18"/>
  <c r="AC104" i="18"/>
  <c r="AB104" i="18"/>
  <c r="AA104" i="18"/>
  <c r="Z104" i="18"/>
  <c r="Y104" i="18"/>
  <c r="X104" i="18"/>
  <c r="W104" i="18"/>
  <c r="V104" i="18"/>
  <c r="U104" i="18"/>
  <c r="T104" i="18"/>
  <c r="S104" i="18"/>
  <c r="R104" i="18"/>
  <c r="Q104" i="18"/>
  <c r="P104" i="18"/>
  <c r="O104" i="18"/>
  <c r="N104" i="18"/>
  <c r="M104" i="18"/>
  <c r="L104" i="18"/>
  <c r="K104" i="18"/>
  <c r="J104" i="18"/>
  <c r="I104" i="18"/>
  <c r="H104" i="18"/>
  <c r="G104" i="18"/>
  <c r="F104" i="18"/>
  <c r="E104" i="18"/>
  <c r="D104" i="18"/>
  <c r="AC103" i="18"/>
  <c r="AB103" i="18"/>
  <c r="AA103" i="18"/>
  <c r="Z103" i="18"/>
  <c r="Y103" i="18"/>
  <c r="X103" i="18"/>
  <c r="W103" i="18"/>
  <c r="V103" i="18"/>
  <c r="U103" i="18"/>
  <c r="U110" i="18" s="1"/>
  <c r="T103" i="18"/>
  <c r="T110" i="18" s="1"/>
  <c r="S103" i="18"/>
  <c r="R103" i="18"/>
  <c r="Q103" i="18"/>
  <c r="P103" i="18"/>
  <c r="O103" i="18"/>
  <c r="N103" i="18"/>
  <c r="M103" i="18"/>
  <c r="L103" i="18"/>
  <c r="K103" i="18"/>
  <c r="J103" i="18"/>
  <c r="I103" i="18"/>
  <c r="I110" i="18" s="1"/>
  <c r="H103" i="18"/>
  <c r="H110" i="18" s="1"/>
  <c r="G103" i="18"/>
  <c r="F103" i="18"/>
  <c r="E103" i="18"/>
  <c r="D103" i="18"/>
  <c r="AC102" i="18"/>
  <c r="AC110" i="18" s="1"/>
  <c r="AB102" i="18"/>
  <c r="AB110" i="18" s="1"/>
  <c r="AA102" i="18"/>
  <c r="AA110" i="18" s="1"/>
  <c r="Z102" i="18"/>
  <c r="Z110" i="18" s="1"/>
  <c r="Y102" i="18"/>
  <c r="Y110" i="18" s="1"/>
  <c r="X102" i="18"/>
  <c r="X110" i="18" s="1"/>
  <c r="W102" i="18"/>
  <c r="W110" i="18" s="1"/>
  <c r="V102" i="18"/>
  <c r="V110" i="18" s="1"/>
  <c r="U102" i="18"/>
  <c r="T102" i="18"/>
  <c r="S102" i="18"/>
  <c r="S110" i="18" s="1"/>
  <c r="R102" i="18"/>
  <c r="R110" i="18" s="1"/>
  <c r="Q102" i="18"/>
  <c r="Q110" i="18" s="1"/>
  <c r="P102" i="18"/>
  <c r="P110" i="18" s="1"/>
  <c r="O102" i="18"/>
  <c r="O110" i="18" s="1"/>
  <c r="N102" i="18"/>
  <c r="N110" i="18" s="1"/>
  <c r="M102" i="18"/>
  <c r="M110" i="18" s="1"/>
  <c r="L102" i="18"/>
  <c r="L110" i="18" s="1"/>
  <c r="K102" i="18"/>
  <c r="K110" i="18" s="1"/>
  <c r="J102" i="18"/>
  <c r="J110" i="18" s="1"/>
  <c r="I102" i="18"/>
  <c r="H102" i="18"/>
  <c r="G102" i="18"/>
  <c r="G110" i="18" s="1"/>
  <c r="F102" i="18"/>
  <c r="F110" i="18" s="1"/>
  <c r="E102" i="18"/>
  <c r="E110" i="18" s="1"/>
  <c r="D102" i="18"/>
  <c r="D110" i="18" s="1"/>
  <c r="AC101" i="18"/>
  <c r="AB101" i="18"/>
  <c r="AA101" i="18"/>
  <c r="Z101" i="18"/>
  <c r="Y101" i="18"/>
  <c r="Y108" i="18" s="1"/>
  <c r="X101" i="18"/>
  <c r="X108" i="18" s="1"/>
  <c r="W101" i="18"/>
  <c r="V101" i="18"/>
  <c r="U101" i="18"/>
  <c r="T101" i="18"/>
  <c r="S101" i="18"/>
  <c r="R101" i="18"/>
  <c r="Q101" i="18"/>
  <c r="P101" i="18"/>
  <c r="O101" i="18"/>
  <c r="N101" i="18"/>
  <c r="M101" i="18"/>
  <c r="M108" i="18" s="1"/>
  <c r="L101" i="18"/>
  <c r="L108" i="18" s="1"/>
  <c r="K101" i="18"/>
  <c r="J101" i="18"/>
  <c r="I101" i="18"/>
  <c r="H101" i="18"/>
  <c r="G101" i="18"/>
  <c r="F101" i="18"/>
  <c r="E101" i="18"/>
  <c r="D101" i="18"/>
  <c r="AC100" i="18"/>
  <c r="AC108" i="18" s="1"/>
  <c r="AB100" i="18"/>
  <c r="AB108" i="18" s="1"/>
  <c r="AA100" i="18"/>
  <c r="AA108" i="18" s="1"/>
  <c r="Z100" i="18"/>
  <c r="Z108" i="18" s="1"/>
  <c r="Y100" i="18"/>
  <c r="X100" i="18"/>
  <c r="W100" i="18"/>
  <c r="W108" i="18" s="1"/>
  <c r="V100" i="18"/>
  <c r="V108" i="18" s="1"/>
  <c r="U100" i="18"/>
  <c r="U108" i="18" s="1"/>
  <c r="T100" i="18"/>
  <c r="T108" i="18" s="1"/>
  <c r="S100" i="18"/>
  <c r="S108" i="18" s="1"/>
  <c r="R100" i="18"/>
  <c r="R108" i="18" s="1"/>
  <c r="Q100" i="18"/>
  <c r="Q108" i="18" s="1"/>
  <c r="P100" i="18"/>
  <c r="P108" i="18" s="1"/>
  <c r="O100" i="18"/>
  <c r="O108" i="18" s="1"/>
  <c r="N100" i="18"/>
  <c r="N108" i="18" s="1"/>
  <c r="M100" i="18"/>
  <c r="L100" i="18"/>
  <c r="K100" i="18"/>
  <c r="K108" i="18" s="1"/>
  <c r="J100" i="18"/>
  <c r="J108" i="18" s="1"/>
  <c r="I100" i="18"/>
  <c r="I108" i="18" s="1"/>
  <c r="H100" i="18"/>
  <c r="H108" i="18" s="1"/>
  <c r="G100" i="18"/>
  <c r="G108" i="18" s="1"/>
  <c r="F100" i="18"/>
  <c r="F108" i="18" s="1"/>
  <c r="E100" i="18"/>
  <c r="E108" i="18" s="1"/>
  <c r="D100" i="18"/>
  <c r="AC99" i="18"/>
  <c r="AB99" i="18"/>
  <c r="AA99" i="18"/>
  <c r="Z99" i="18"/>
  <c r="Y99" i="18"/>
  <c r="X99" i="18"/>
  <c r="W99" i="18"/>
  <c r="V99" i="18"/>
  <c r="U99" i="18"/>
  <c r="T99" i="18"/>
  <c r="S99" i="18"/>
  <c r="R99" i="18"/>
  <c r="Q99" i="18"/>
  <c r="P99" i="18"/>
  <c r="O99" i="18"/>
  <c r="N99" i="18"/>
  <c r="M99" i="18"/>
  <c r="L99" i="18"/>
  <c r="K99" i="18"/>
  <c r="J99" i="18"/>
  <c r="I99" i="18"/>
  <c r="H99" i="18"/>
  <c r="G99" i="18"/>
  <c r="F99" i="18"/>
  <c r="E99" i="18"/>
  <c r="D99" i="18"/>
  <c r="AC98" i="18"/>
  <c r="AB98" i="18"/>
  <c r="AA98" i="18"/>
  <c r="Z98" i="18"/>
  <c r="Y98" i="18"/>
  <c r="X98" i="18"/>
  <c r="W98" i="18"/>
  <c r="V98" i="18"/>
  <c r="U98" i="18"/>
  <c r="T98" i="18"/>
  <c r="S98" i="18"/>
  <c r="R98" i="18"/>
  <c r="R112" i="18" s="1"/>
  <c r="Q98" i="18"/>
  <c r="P98" i="18"/>
  <c r="O98" i="18"/>
  <c r="N98" i="18"/>
  <c r="M98" i="18"/>
  <c r="L98" i="18"/>
  <c r="K98" i="18"/>
  <c r="J98" i="18"/>
  <c r="I98" i="18"/>
  <c r="H98" i="18"/>
  <c r="G98" i="18"/>
  <c r="F98" i="18"/>
  <c r="F112" i="18" s="1"/>
  <c r="E98" i="18"/>
  <c r="D98" i="18"/>
  <c r="AC97" i="18"/>
  <c r="AB97" i="18"/>
  <c r="AA97" i="18"/>
  <c r="Z97" i="18"/>
  <c r="Y97" i="18"/>
  <c r="X97" i="18"/>
  <c r="W97" i="18"/>
  <c r="V97" i="18"/>
  <c r="U97" i="18"/>
  <c r="T97" i="18"/>
  <c r="S97" i="18"/>
  <c r="R97" i="18"/>
  <c r="Q97" i="18"/>
  <c r="P97" i="18"/>
  <c r="O97" i="18"/>
  <c r="N97" i="18"/>
  <c r="M97" i="18"/>
  <c r="L97" i="18"/>
  <c r="K97" i="18"/>
  <c r="J97" i="18"/>
  <c r="I97" i="18"/>
  <c r="H97" i="18"/>
  <c r="G97" i="18"/>
  <c r="F97" i="18"/>
  <c r="E97" i="18"/>
  <c r="D97" i="18"/>
  <c r="AC96" i="18"/>
  <c r="AB96" i="18"/>
  <c r="AA96" i="18"/>
  <c r="Z96" i="18"/>
  <c r="Y96" i="18"/>
  <c r="X96" i="18"/>
  <c r="W96" i="18"/>
  <c r="V96" i="18"/>
  <c r="V109" i="18" s="1"/>
  <c r="U96" i="18"/>
  <c r="T96" i="18"/>
  <c r="S96" i="18"/>
  <c r="R96" i="18"/>
  <c r="Q96" i="18"/>
  <c r="P96" i="18"/>
  <c r="O96" i="18"/>
  <c r="N96" i="18"/>
  <c r="M96" i="18"/>
  <c r="L96" i="18"/>
  <c r="K96" i="18"/>
  <c r="J96" i="18"/>
  <c r="J109" i="18" s="1"/>
  <c r="I96" i="18"/>
  <c r="H96" i="18"/>
  <c r="G96" i="18"/>
  <c r="F96" i="18"/>
  <c r="E96" i="18"/>
  <c r="D96" i="18"/>
  <c r="AC95" i="18"/>
  <c r="AB95" i="18"/>
  <c r="AA95" i="18"/>
  <c r="Z95" i="18"/>
  <c r="Y95" i="18"/>
  <c r="X95" i="18"/>
  <c r="W95" i="18"/>
  <c r="V95" i="18"/>
  <c r="U95" i="18"/>
  <c r="T95" i="18"/>
  <c r="S95" i="18"/>
  <c r="R95" i="18"/>
  <c r="Q95" i="18"/>
  <c r="P95" i="18"/>
  <c r="O95" i="18"/>
  <c r="N95" i="18"/>
  <c r="M95" i="18"/>
  <c r="L95" i="18"/>
  <c r="K95" i="18"/>
  <c r="J95" i="18"/>
  <c r="I95" i="18"/>
  <c r="H95" i="18"/>
  <c r="G95" i="18"/>
  <c r="F95" i="18"/>
  <c r="E95" i="18"/>
  <c r="D95" i="18"/>
  <c r="AC94" i="18"/>
  <c r="AC112" i="18" s="1"/>
  <c r="AB94" i="18"/>
  <c r="AB112" i="18" s="1"/>
  <c r="AA94" i="18"/>
  <c r="AA112" i="18" s="1"/>
  <c r="Z94" i="18"/>
  <c r="Z112" i="18" s="1"/>
  <c r="Y94" i="18"/>
  <c r="Y112" i="18" s="1"/>
  <c r="X94" i="18"/>
  <c r="X112" i="18" s="1"/>
  <c r="W94" i="18"/>
  <c r="W112" i="18" s="1"/>
  <c r="V94" i="18"/>
  <c r="V112" i="18" s="1"/>
  <c r="U94" i="18"/>
  <c r="U109" i="18" s="1"/>
  <c r="T94" i="18"/>
  <c r="T109" i="18" s="1"/>
  <c r="S94" i="18"/>
  <c r="S109" i="18" s="1"/>
  <c r="R94" i="18"/>
  <c r="R109" i="18" s="1"/>
  <c r="Q94" i="18"/>
  <c r="Q112" i="18" s="1"/>
  <c r="P94" i="18"/>
  <c r="P112" i="18" s="1"/>
  <c r="O94" i="18"/>
  <c r="O112" i="18" s="1"/>
  <c r="N94" i="18"/>
  <c r="N112" i="18" s="1"/>
  <c r="M94" i="18"/>
  <c r="M112" i="18" s="1"/>
  <c r="L94" i="18"/>
  <c r="L112" i="18" s="1"/>
  <c r="K94" i="18"/>
  <c r="K112" i="18" s="1"/>
  <c r="J94" i="18"/>
  <c r="J112" i="18" s="1"/>
  <c r="I94" i="18"/>
  <c r="I109" i="18" s="1"/>
  <c r="H94" i="18"/>
  <c r="H109" i="18" s="1"/>
  <c r="G94" i="18"/>
  <c r="G109" i="18" s="1"/>
  <c r="F94" i="18"/>
  <c r="F109" i="18" s="1"/>
  <c r="E94" i="18"/>
  <c r="E112" i="18" s="1"/>
  <c r="D94" i="18"/>
  <c r="D112" i="18" s="1"/>
  <c r="AC65" i="18"/>
  <c r="AB65" i="18"/>
  <c r="AA65" i="18"/>
  <c r="Z65" i="18"/>
  <c r="Y65" i="18"/>
  <c r="X65" i="18"/>
  <c r="W65" i="18"/>
  <c r="V65" i="18"/>
  <c r="U65" i="18"/>
  <c r="T65" i="18"/>
  <c r="S65" i="18"/>
  <c r="R65" i="18"/>
  <c r="Q65" i="18"/>
  <c r="P65" i="18"/>
  <c r="O65" i="18"/>
  <c r="N65" i="18"/>
  <c r="M65" i="18"/>
  <c r="L65" i="18"/>
  <c r="K65" i="18"/>
  <c r="J65" i="18"/>
  <c r="I65" i="18"/>
  <c r="H65" i="18"/>
  <c r="G65" i="18"/>
  <c r="F65" i="18"/>
  <c r="E65" i="18"/>
  <c r="D65" i="18"/>
  <c r="AC64" i="18"/>
  <c r="AB64" i="18"/>
  <c r="AA64" i="18"/>
  <c r="Z64" i="18"/>
  <c r="Y64" i="18"/>
  <c r="X64" i="18"/>
  <c r="W64" i="18"/>
  <c r="V64" i="18"/>
  <c r="U64" i="18"/>
  <c r="T64" i="18"/>
  <c r="S64" i="18"/>
  <c r="R64" i="18"/>
  <c r="Q64" i="18"/>
  <c r="P64" i="18"/>
  <c r="O64" i="18"/>
  <c r="N64" i="18"/>
  <c r="M64" i="18"/>
  <c r="L64" i="18"/>
  <c r="K64" i="18"/>
  <c r="J64" i="18"/>
  <c r="I64" i="18"/>
  <c r="H64" i="18"/>
  <c r="G64" i="18"/>
  <c r="F64" i="18"/>
  <c r="E64" i="18"/>
  <c r="D64" i="18"/>
  <c r="AC63" i="18"/>
  <c r="AB63" i="18"/>
  <c r="AA63" i="18"/>
  <c r="Z63" i="18"/>
  <c r="Y63" i="18"/>
  <c r="X63" i="18"/>
  <c r="W63" i="18"/>
  <c r="V63" i="18"/>
  <c r="U63" i="18"/>
  <c r="T63" i="18"/>
  <c r="S63" i="18"/>
  <c r="R63" i="18"/>
  <c r="Q63" i="18"/>
  <c r="P63" i="18"/>
  <c r="O63" i="18"/>
  <c r="N63" i="18"/>
  <c r="M63" i="18"/>
  <c r="L63" i="18"/>
  <c r="K63" i="18"/>
  <c r="J63" i="18"/>
  <c r="I63" i="18"/>
  <c r="H63" i="18"/>
  <c r="G63" i="18"/>
  <c r="F63" i="18"/>
  <c r="E63" i="18"/>
  <c r="D63" i="18"/>
  <c r="AC62" i="18"/>
  <c r="AB62" i="18"/>
  <c r="AA62" i="18"/>
  <c r="Z62" i="18"/>
  <c r="Y62" i="18"/>
  <c r="X62" i="18"/>
  <c r="W62" i="18"/>
  <c r="V62" i="18"/>
  <c r="U62" i="18"/>
  <c r="T62" i="18"/>
  <c r="S62" i="18"/>
  <c r="R62" i="18"/>
  <c r="Q62" i="18"/>
  <c r="P62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AC61" i="18"/>
  <c r="AB61" i="18"/>
  <c r="AA61" i="18"/>
  <c r="Z61" i="18"/>
  <c r="Y61" i="18"/>
  <c r="X61" i="18"/>
  <c r="W61" i="18"/>
  <c r="V61" i="18"/>
  <c r="U61" i="18"/>
  <c r="T61" i="18"/>
  <c r="S61" i="18"/>
  <c r="R61" i="18"/>
  <c r="Q61" i="18"/>
  <c r="P61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AC60" i="18"/>
  <c r="AB60" i="18"/>
  <c r="AA60" i="18"/>
  <c r="Z60" i="18"/>
  <c r="Y60" i="18"/>
  <c r="X60" i="18"/>
  <c r="W60" i="18"/>
  <c r="V60" i="18"/>
  <c r="U60" i="18"/>
  <c r="T60" i="18"/>
  <c r="S60" i="18"/>
  <c r="R60" i="18"/>
  <c r="Q60" i="18"/>
  <c r="P60" i="18"/>
  <c r="O60" i="18"/>
  <c r="N60" i="18"/>
  <c r="M60" i="18"/>
  <c r="L60" i="18"/>
  <c r="K60" i="18"/>
  <c r="J60" i="18"/>
  <c r="I60" i="18"/>
  <c r="H60" i="18"/>
  <c r="G60" i="18"/>
  <c r="F60" i="18"/>
  <c r="E60" i="18"/>
  <c r="D60" i="18"/>
  <c r="AC59" i="18"/>
  <c r="AB59" i="18"/>
  <c r="AA59" i="18"/>
  <c r="Z59" i="18"/>
  <c r="Y59" i="18"/>
  <c r="X59" i="18"/>
  <c r="W59" i="18"/>
  <c r="V59" i="18"/>
  <c r="U59" i="18"/>
  <c r="T59" i="18"/>
  <c r="S59" i="18"/>
  <c r="R59" i="18"/>
  <c r="Q59" i="18"/>
  <c r="P59" i="18"/>
  <c r="O59" i="18"/>
  <c r="N59" i="18"/>
  <c r="M59" i="18"/>
  <c r="L59" i="18"/>
  <c r="K59" i="18"/>
  <c r="J59" i="18"/>
  <c r="I59" i="18"/>
  <c r="H59" i="18"/>
  <c r="G59" i="18"/>
  <c r="F59" i="18"/>
  <c r="E59" i="18"/>
  <c r="D59" i="18"/>
  <c r="AC58" i="18"/>
  <c r="AB58" i="18"/>
  <c r="AA58" i="18"/>
  <c r="Z58" i="18"/>
  <c r="Y58" i="18"/>
  <c r="X58" i="18"/>
  <c r="W58" i="18"/>
  <c r="V58" i="18"/>
  <c r="U58" i="18"/>
  <c r="T58" i="18"/>
  <c r="S58" i="18"/>
  <c r="R58" i="18"/>
  <c r="Q58" i="18"/>
  <c r="P58" i="18"/>
  <c r="O58" i="18"/>
  <c r="N58" i="18"/>
  <c r="M58" i="18"/>
  <c r="L58" i="18"/>
  <c r="K58" i="18"/>
  <c r="J58" i="18"/>
  <c r="I58" i="18"/>
  <c r="H58" i="18"/>
  <c r="G58" i="18"/>
  <c r="F58" i="18"/>
  <c r="E58" i="18"/>
  <c r="D58" i="18"/>
  <c r="AC54" i="18"/>
  <c r="AB54" i="18"/>
  <c r="AA54" i="18"/>
  <c r="Z54" i="18"/>
  <c r="Y54" i="18"/>
  <c r="X54" i="18"/>
  <c r="W54" i="18"/>
  <c r="V54" i="18"/>
  <c r="U54" i="18"/>
  <c r="T54" i="18"/>
  <c r="S54" i="18"/>
  <c r="R54" i="18"/>
  <c r="Q54" i="18"/>
  <c r="P54" i="18"/>
  <c r="O54" i="18"/>
  <c r="N54" i="18"/>
  <c r="M54" i="18"/>
  <c r="L54" i="18"/>
  <c r="K54" i="18"/>
  <c r="J54" i="18"/>
  <c r="I54" i="18"/>
  <c r="H54" i="18"/>
  <c r="G54" i="18"/>
  <c r="F54" i="18"/>
  <c r="E54" i="18"/>
  <c r="D54" i="18"/>
  <c r="AC53" i="18"/>
  <c r="AB53" i="18"/>
  <c r="AA53" i="18"/>
  <c r="Z53" i="18"/>
  <c r="Y53" i="18"/>
  <c r="X53" i="18"/>
  <c r="W53" i="18"/>
  <c r="V53" i="18"/>
  <c r="U53" i="18"/>
  <c r="T53" i="18"/>
  <c r="S53" i="18"/>
  <c r="R53" i="18"/>
  <c r="Q53" i="18"/>
  <c r="P53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AC52" i="18"/>
  <c r="AB52" i="18"/>
  <c r="AA52" i="18"/>
  <c r="Z52" i="18"/>
  <c r="Y52" i="18"/>
  <c r="X52" i="18"/>
  <c r="W52" i="18"/>
  <c r="V52" i="18"/>
  <c r="U52" i="18"/>
  <c r="T52" i="18"/>
  <c r="S52" i="18"/>
  <c r="R52" i="18"/>
  <c r="Q52" i="18"/>
  <c r="P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AC51" i="18"/>
  <c r="AB51" i="18"/>
  <c r="AA51" i="18"/>
  <c r="Z51" i="18"/>
  <c r="Y51" i="18"/>
  <c r="X51" i="18"/>
  <c r="W51" i="18"/>
  <c r="V51" i="18"/>
  <c r="U51" i="18"/>
  <c r="T51" i="18"/>
  <c r="S51" i="18"/>
  <c r="R51" i="18"/>
  <c r="Q51" i="18"/>
  <c r="P51" i="18"/>
  <c r="O51" i="18"/>
  <c r="N51" i="18"/>
  <c r="M51" i="18"/>
  <c r="L51" i="18"/>
  <c r="K51" i="18"/>
  <c r="J51" i="18"/>
  <c r="I51" i="18"/>
  <c r="H51" i="18"/>
  <c r="G51" i="18"/>
  <c r="F51" i="18"/>
  <c r="E51" i="18"/>
  <c r="D51" i="18"/>
  <c r="AC50" i="18"/>
  <c r="AB50" i="18"/>
  <c r="AA50" i="18"/>
  <c r="Z50" i="18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H50" i="18"/>
  <c r="G50" i="18"/>
  <c r="F50" i="18"/>
  <c r="E50" i="18"/>
  <c r="D50" i="18"/>
  <c r="AC49" i="18"/>
  <c r="AB49" i="18"/>
  <c r="AA49" i="18"/>
  <c r="Z49" i="18"/>
  <c r="Y49" i="18"/>
  <c r="X49" i="18"/>
  <c r="W49" i="18"/>
  <c r="V49" i="18"/>
  <c r="U49" i="18"/>
  <c r="T49" i="18"/>
  <c r="S49" i="18"/>
  <c r="R49" i="18"/>
  <c r="Q49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D49" i="18"/>
  <c r="AC48" i="18"/>
  <c r="AB48" i="18"/>
  <c r="AA48" i="18"/>
  <c r="Z48" i="18"/>
  <c r="Y48" i="18"/>
  <c r="X48" i="18"/>
  <c r="W48" i="18"/>
  <c r="V48" i="18"/>
  <c r="U48" i="18"/>
  <c r="T48" i="18"/>
  <c r="S48" i="18"/>
  <c r="R48" i="18"/>
  <c r="Q48" i="18"/>
  <c r="P48" i="18"/>
  <c r="O48" i="18"/>
  <c r="N48" i="18"/>
  <c r="M48" i="18"/>
  <c r="L48" i="18"/>
  <c r="K48" i="18"/>
  <c r="J48" i="18"/>
  <c r="I48" i="18"/>
  <c r="H48" i="18"/>
  <c r="G48" i="18"/>
  <c r="F48" i="18"/>
  <c r="E48" i="18"/>
  <c r="D48" i="18"/>
  <c r="AC47" i="18"/>
  <c r="AB47" i="18"/>
  <c r="AA47" i="18"/>
  <c r="Z47" i="18"/>
  <c r="Y47" i="18"/>
  <c r="X47" i="18"/>
  <c r="W47" i="18"/>
  <c r="V47" i="18"/>
  <c r="U47" i="18"/>
  <c r="T47" i="18"/>
  <c r="S47" i="18"/>
  <c r="R47" i="18"/>
  <c r="Q47" i="18"/>
  <c r="P47" i="18"/>
  <c r="O47" i="18"/>
  <c r="N47" i="18"/>
  <c r="M47" i="18"/>
  <c r="L47" i="18"/>
  <c r="K47" i="18"/>
  <c r="J47" i="18"/>
  <c r="I47" i="18"/>
  <c r="H47" i="18"/>
  <c r="G47" i="18"/>
  <c r="F47" i="18"/>
  <c r="E47" i="18"/>
  <c r="D47" i="18"/>
  <c r="AC43" i="18"/>
  <c r="AB43" i="18"/>
  <c r="AA43" i="18"/>
  <c r="Z43" i="18"/>
  <c r="Y43" i="18"/>
  <c r="X43" i="18"/>
  <c r="W43" i="18"/>
  <c r="V43" i="18"/>
  <c r="U43" i="18"/>
  <c r="T43" i="18"/>
  <c r="S43" i="18"/>
  <c r="R43" i="18"/>
  <c r="Q43" i="18"/>
  <c r="P43" i="18"/>
  <c r="O43" i="18"/>
  <c r="N43" i="18"/>
  <c r="M43" i="18"/>
  <c r="L43" i="18"/>
  <c r="K43" i="18"/>
  <c r="J43" i="18"/>
  <c r="I43" i="18"/>
  <c r="H43" i="18"/>
  <c r="G43" i="18"/>
  <c r="F43" i="18"/>
  <c r="E43" i="18"/>
  <c r="D43" i="18"/>
  <c r="AC42" i="18"/>
  <c r="AB42" i="18"/>
  <c r="AA42" i="18"/>
  <c r="Z42" i="18"/>
  <c r="Y42" i="18"/>
  <c r="X42" i="18"/>
  <c r="W42" i="18"/>
  <c r="V42" i="18"/>
  <c r="U42" i="18"/>
  <c r="U69" i="18" s="1"/>
  <c r="T42" i="18"/>
  <c r="T69" i="18" s="1"/>
  <c r="S42" i="18"/>
  <c r="S69" i="18" s="1"/>
  <c r="R42" i="18"/>
  <c r="R69" i="18" s="1"/>
  <c r="Q42" i="18"/>
  <c r="P42" i="18"/>
  <c r="O42" i="18"/>
  <c r="N42" i="18"/>
  <c r="M42" i="18"/>
  <c r="L42" i="18"/>
  <c r="K42" i="18"/>
  <c r="J42" i="18"/>
  <c r="I42" i="18"/>
  <c r="I69" i="18" s="1"/>
  <c r="H42" i="18"/>
  <c r="H69" i="18" s="1"/>
  <c r="G42" i="18"/>
  <c r="G69" i="18" s="1"/>
  <c r="F42" i="18"/>
  <c r="F69" i="18" s="1"/>
  <c r="E42" i="18"/>
  <c r="D42" i="18"/>
  <c r="AC41" i="18"/>
  <c r="AB41" i="18"/>
  <c r="AA41" i="18"/>
  <c r="Z41" i="18"/>
  <c r="Y41" i="18"/>
  <c r="X41" i="18"/>
  <c r="W41" i="18"/>
  <c r="V41" i="18"/>
  <c r="U41" i="18"/>
  <c r="T41" i="18"/>
  <c r="S41" i="18"/>
  <c r="R41" i="18"/>
  <c r="Q41" i="18"/>
  <c r="P41" i="18"/>
  <c r="O41" i="18"/>
  <c r="N41" i="18"/>
  <c r="M41" i="18"/>
  <c r="L41" i="18"/>
  <c r="K41" i="18"/>
  <c r="J41" i="18"/>
  <c r="I41" i="18"/>
  <c r="H41" i="18"/>
  <c r="G41" i="18"/>
  <c r="F41" i="18"/>
  <c r="E41" i="18"/>
  <c r="D41" i="18"/>
  <c r="AC40" i="18"/>
  <c r="AB40" i="18"/>
  <c r="AA40" i="18"/>
  <c r="Z40" i="18"/>
  <c r="Y40" i="18"/>
  <c r="X40" i="18"/>
  <c r="W40" i="18"/>
  <c r="V40" i="18"/>
  <c r="U40" i="18"/>
  <c r="T40" i="18"/>
  <c r="S40" i="18"/>
  <c r="R40" i="18"/>
  <c r="Q40" i="18"/>
  <c r="P40" i="18"/>
  <c r="O40" i="18"/>
  <c r="N40" i="18"/>
  <c r="M40" i="18"/>
  <c r="L40" i="18"/>
  <c r="K40" i="18"/>
  <c r="J40" i="18"/>
  <c r="I40" i="18"/>
  <c r="H40" i="18"/>
  <c r="G40" i="18"/>
  <c r="F40" i="18"/>
  <c r="E40" i="18"/>
  <c r="D40" i="18"/>
  <c r="AC39" i="18"/>
  <c r="AB39" i="18"/>
  <c r="AA39" i="18"/>
  <c r="Z39" i="18"/>
  <c r="Y39" i="18"/>
  <c r="Y67" i="18" s="1"/>
  <c r="X39" i="18"/>
  <c r="W39" i="18"/>
  <c r="V39" i="18"/>
  <c r="U39" i="18"/>
  <c r="T39" i="18"/>
  <c r="S39" i="18"/>
  <c r="R39" i="18"/>
  <c r="Q39" i="18"/>
  <c r="P39" i="18"/>
  <c r="O39" i="18"/>
  <c r="N39" i="18"/>
  <c r="M39" i="18"/>
  <c r="M67" i="18" s="1"/>
  <c r="L39" i="18"/>
  <c r="K39" i="18"/>
  <c r="J39" i="18"/>
  <c r="I39" i="18"/>
  <c r="H39" i="18"/>
  <c r="G39" i="18"/>
  <c r="F39" i="18"/>
  <c r="E39" i="18"/>
  <c r="D39" i="18"/>
  <c r="AC38" i="18"/>
  <c r="AB38" i="18"/>
  <c r="AA38" i="18"/>
  <c r="Z38" i="18"/>
  <c r="Y38" i="18"/>
  <c r="X38" i="18"/>
  <c r="W38" i="18"/>
  <c r="V38" i="18"/>
  <c r="U38" i="18"/>
  <c r="T38" i="18"/>
  <c r="S38" i="18"/>
  <c r="R38" i="18"/>
  <c r="Q38" i="18"/>
  <c r="P38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AC37" i="18"/>
  <c r="AB37" i="18"/>
  <c r="AA37" i="18"/>
  <c r="Z37" i="18"/>
  <c r="Y37" i="18"/>
  <c r="X37" i="18"/>
  <c r="W37" i="18"/>
  <c r="V37" i="18"/>
  <c r="U37" i="18"/>
  <c r="T37" i="18"/>
  <c r="S37" i="18"/>
  <c r="R37" i="18"/>
  <c r="Q37" i="18"/>
  <c r="P37" i="18"/>
  <c r="O37" i="18"/>
  <c r="N37" i="18"/>
  <c r="M37" i="18"/>
  <c r="L37" i="18"/>
  <c r="K37" i="18"/>
  <c r="J37" i="18"/>
  <c r="I37" i="18"/>
  <c r="H37" i="18"/>
  <c r="G37" i="18"/>
  <c r="F37" i="18"/>
  <c r="E37" i="18"/>
  <c r="D37" i="18"/>
  <c r="AC36" i="18"/>
  <c r="AB36" i="18"/>
  <c r="AA36" i="18"/>
  <c r="Z36" i="18"/>
  <c r="Y36" i="18"/>
  <c r="X36" i="18"/>
  <c r="W36" i="18"/>
  <c r="V36" i="18"/>
  <c r="U36" i="18"/>
  <c r="T36" i="18"/>
  <c r="S36" i="18"/>
  <c r="R36" i="18"/>
  <c r="Q36" i="18"/>
  <c r="P36" i="18"/>
  <c r="O36" i="18"/>
  <c r="N36" i="18"/>
  <c r="M36" i="18"/>
  <c r="L36" i="18"/>
  <c r="K36" i="18"/>
  <c r="J36" i="18"/>
  <c r="I36" i="18"/>
  <c r="H36" i="18"/>
  <c r="G36" i="18"/>
  <c r="F36" i="18"/>
  <c r="E36" i="18"/>
  <c r="D36" i="18"/>
  <c r="D36" i="1"/>
  <c r="D36" i="10"/>
  <c r="D67" i="1"/>
  <c r="D108" i="16"/>
  <c r="D108" i="1"/>
  <c r="D100" i="1"/>
  <c r="V67" i="18" l="1"/>
  <c r="K67" i="18"/>
  <c r="W67" i="18"/>
  <c r="L67" i="18"/>
  <c r="X67" i="18"/>
  <c r="J68" i="18"/>
  <c r="V68" i="18"/>
  <c r="J69" i="18"/>
  <c r="V69" i="18"/>
  <c r="K69" i="18"/>
  <c r="W69" i="18"/>
  <c r="W68" i="18"/>
  <c r="K68" i="18"/>
  <c r="L68" i="18"/>
  <c r="X68" i="18"/>
  <c r="N68" i="18"/>
  <c r="Z68" i="18"/>
  <c r="M68" i="18"/>
  <c r="Y68" i="18"/>
  <c r="N75" i="18"/>
  <c r="Z75" i="18"/>
  <c r="AA75" i="18"/>
  <c r="P67" i="18"/>
  <c r="AB67" i="18"/>
  <c r="L69" i="18"/>
  <c r="X69" i="18"/>
  <c r="AB75" i="18"/>
  <c r="O75" i="18"/>
  <c r="T68" i="18"/>
  <c r="N67" i="18"/>
  <c r="Z67" i="18"/>
  <c r="H68" i="18"/>
  <c r="I68" i="18"/>
  <c r="U68" i="18"/>
  <c r="O67" i="18"/>
  <c r="AA67" i="18"/>
  <c r="E67" i="18"/>
  <c r="Q67" i="18"/>
  <c r="AC67" i="18"/>
  <c r="O68" i="18"/>
  <c r="AA68" i="18"/>
  <c r="M69" i="18"/>
  <c r="Y69" i="18"/>
  <c r="E75" i="18"/>
  <c r="Q75" i="18"/>
  <c r="AC75" i="18"/>
  <c r="K109" i="18"/>
  <c r="W109" i="18"/>
  <c r="G112" i="18"/>
  <c r="S112" i="18"/>
  <c r="F67" i="18"/>
  <c r="R67" i="18"/>
  <c r="D68" i="18"/>
  <c r="P68" i="18"/>
  <c r="AB68" i="18"/>
  <c r="N69" i="18"/>
  <c r="Z69" i="18"/>
  <c r="F75" i="18"/>
  <c r="R75" i="18"/>
  <c r="L109" i="18"/>
  <c r="X109" i="18"/>
  <c r="H112" i="18"/>
  <c r="T112" i="18"/>
  <c r="G67" i="18"/>
  <c r="S67" i="18"/>
  <c r="E68" i="18"/>
  <c r="Q68" i="18"/>
  <c r="AC68" i="18"/>
  <c r="O69" i="18"/>
  <c r="AA69" i="18"/>
  <c r="G75" i="18"/>
  <c r="S75" i="18"/>
  <c r="M109" i="18"/>
  <c r="Y109" i="18"/>
  <c r="I112" i="18"/>
  <c r="U112" i="18"/>
  <c r="H67" i="18"/>
  <c r="T67" i="18"/>
  <c r="F68" i="18"/>
  <c r="R68" i="18"/>
  <c r="D69" i="18"/>
  <c r="P69" i="18"/>
  <c r="AB69" i="18"/>
  <c r="H75" i="18"/>
  <c r="T75" i="18"/>
  <c r="N109" i="18"/>
  <c r="Z109" i="18"/>
  <c r="I67" i="18"/>
  <c r="U67" i="18"/>
  <c r="G68" i="18"/>
  <c r="S68" i="18"/>
  <c r="E69" i="18"/>
  <c r="Q69" i="18"/>
  <c r="AC69" i="18"/>
  <c r="I75" i="18"/>
  <c r="U75" i="18"/>
  <c r="O109" i="18"/>
  <c r="AA109" i="18"/>
  <c r="J67" i="18"/>
  <c r="J75" i="18"/>
  <c r="V75" i="18"/>
  <c r="D109" i="18"/>
  <c r="P109" i="18"/>
  <c r="AB109" i="18"/>
  <c r="P75" i="18"/>
  <c r="K75" i="18"/>
  <c r="W75" i="18"/>
  <c r="E109" i="18"/>
  <c r="Q109" i="18"/>
  <c r="AC109" i="18"/>
  <c r="L75" i="18"/>
  <c r="X75" i="18"/>
  <c r="M75" i="18"/>
  <c r="Y75" i="18"/>
  <c r="D59" i="1" l="1"/>
  <c r="D68" i="1" s="1"/>
  <c r="D36" i="9"/>
  <c r="E36" i="9"/>
  <c r="F36" i="9"/>
  <c r="G36" i="9"/>
  <c r="H36" i="9"/>
  <c r="I36" i="9"/>
  <c r="J36" i="9"/>
  <c r="K36" i="9"/>
  <c r="L36" i="9"/>
  <c r="M36" i="9"/>
  <c r="N36" i="9"/>
  <c r="O36" i="9"/>
  <c r="P36" i="9"/>
  <c r="Q36" i="9"/>
  <c r="R36" i="9"/>
  <c r="S36" i="9"/>
  <c r="T36" i="9"/>
  <c r="U36" i="9"/>
  <c r="V36" i="9"/>
  <c r="W36" i="9"/>
  <c r="X36" i="9"/>
  <c r="Y36" i="9"/>
  <c r="Z36" i="9"/>
  <c r="AA36" i="9"/>
  <c r="AB36" i="9"/>
  <c r="D37" i="9"/>
  <c r="E37" i="9"/>
  <c r="F37" i="9"/>
  <c r="G37" i="9"/>
  <c r="H37" i="9"/>
  <c r="I37" i="9"/>
  <c r="J37" i="9"/>
  <c r="K37" i="9"/>
  <c r="L37" i="9"/>
  <c r="M37" i="9"/>
  <c r="N37" i="9"/>
  <c r="O37" i="9"/>
  <c r="P37" i="9"/>
  <c r="Q37" i="9"/>
  <c r="R37" i="9"/>
  <c r="S37" i="9"/>
  <c r="T37" i="9"/>
  <c r="U37" i="9"/>
  <c r="V37" i="9"/>
  <c r="W37" i="9"/>
  <c r="X37" i="9"/>
  <c r="Y37" i="9"/>
  <c r="Z37" i="9"/>
  <c r="AA37" i="9"/>
  <c r="AB37" i="9"/>
  <c r="D38" i="9"/>
  <c r="E38" i="9"/>
  <c r="F38" i="9"/>
  <c r="G38" i="9"/>
  <c r="H38" i="9"/>
  <c r="I38" i="9"/>
  <c r="J38" i="9"/>
  <c r="K38" i="9"/>
  <c r="L38" i="9"/>
  <c r="M38" i="9"/>
  <c r="N38" i="9"/>
  <c r="O38" i="9"/>
  <c r="P38" i="9"/>
  <c r="Q38" i="9"/>
  <c r="R38" i="9"/>
  <c r="S38" i="9"/>
  <c r="T38" i="9"/>
  <c r="U38" i="9"/>
  <c r="V38" i="9"/>
  <c r="W38" i="9"/>
  <c r="X38" i="9"/>
  <c r="Y38" i="9"/>
  <c r="Z38" i="9"/>
  <c r="AA38" i="9"/>
  <c r="BD16" i="9" s="1"/>
  <c r="AB38" i="9"/>
  <c r="D39" i="9"/>
  <c r="E39" i="9"/>
  <c r="F39" i="9"/>
  <c r="G39" i="9"/>
  <c r="H39" i="9"/>
  <c r="I39" i="9"/>
  <c r="J39" i="9"/>
  <c r="K39" i="9"/>
  <c r="L39" i="9"/>
  <c r="M39" i="9"/>
  <c r="N39" i="9"/>
  <c r="O39" i="9"/>
  <c r="P39" i="9"/>
  <c r="Q39" i="9"/>
  <c r="R39" i="9"/>
  <c r="S39" i="9"/>
  <c r="T39" i="9"/>
  <c r="U39" i="9"/>
  <c r="V39" i="9"/>
  <c r="W39" i="9"/>
  <c r="X39" i="9"/>
  <c r="Y39" i="9"/>
  <c r="Z39" i="9"/>
  <c r="AA39" i="9"/>
  <c r="BD17" i="9" s="1"/>
  <c r="AB39" i="9"/>
  <c r="D40" i="9"/>
  <c r="E40" i="9"/>
  <c r="F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T40" i="9"/>
  <c r="U40" i="9"/>
  <c r="V40" i="9"/>
  <c r="W40" i="9"/>
  <c r="X40" i="9"/>
  <c r="Y40" i="9"/>
  <c r="Z40" i="9"/>
  <c r="AA40" i="9"/>
  <c r="BD18" i="9" s="1"/>
  <c r="AB40" i="9"/>
  <c r="BE18" i="9" s="1"/>
  <c r="D41" i="9"/>
  <c r="E41" i="9"/>
  <c r="F41" i="9"/>
  <c r="G41" i="9"/>
  <c r="H41" i="9"/>
  <c r="I41" i="9"/>
  <c r="J41" i="9"/>
  <c r="AM19" i="9" s="1"/>
  <c r="K41" i="9"/>
  <c r="L41" i="9"/>
  <c r="M41" i="9"/>
  <c r="N41" i="9"/>
  <c r="AQ19" i="9" s="1"/>
  <c r="O41" i="9"/>
  <c r="P41" i="9"/>
  <c r="Q41" i="9"/>
  <c r="R41" i="9"/>
  <c r="S41" i="9"/>
  <c r="T41" i="9"/>
  <c r="U41" i="9"/>
  <c r="V41" i="9"/>
  <c r="W41" i="9"/>
  <c r="X41" i="9"/>
  <c r="Y41" i="9"/>
  <c r="Z41" i="9"/>
  <c r="AA41" i="9"/>
  <c r="BD19" i="9" s="1"/>
  <c r="AB41" i="9"/>
  <c r="BE19" i="9" s="1"/>
  <c r="D42" i="9"/>
  <c r="AG20" i="9" s="1"/>
  <c r="E42" i="9"/>
  <c r="AH20" i="9" s="1"/>
  <c r="F42" i="9"/>
  <c r="G42" i="9"/>
  <c r="AJ20" i="9" s="1"/>
  <c r="H42" i="9"/>
  <c r="AK20" i="9" s="1"/>
  <c r="I42" i="9"/>
  <c r="J42" i="9"/>
  <c r="AM20" i="9" s="1"/>
  <c r="K42" i="9"/>
  <c r="AN20" i="9" s="1"/>
  <c r="L42" i="9"/>
  <c r="M42" i="9"/>
  <c r="N42" i="9"/>
  <c r="AQ20" i="9" s="1"/>
  <c r="O42" i="9"/>
  <c r="AR20" i="9" s="1"/>
  <c r="P42" i="9"/>
  <c r="Q42" i="9"/>
  <c r="R42" i="9"/>
  <c r="S42" i="9"/>
  <c r="AV20" i="9" s="1"/>
  <c r="T42" i="9"/>
  <c r="U42" i="9"/>
  <c r="AX20" i="9" s="1"/>
  <c r="V42" i="9"/>
  <c r="W42" i="9"/>
  <c r="X42" i="9"/>
  <c r="Y42" i="9"/>
  <c r="Z42" i="9"/>
  <c r="AA42" i="9"/>
  <c r="BD20" i="9" s="1"/>
  <c r="AB42" i="9"/>
  <c r="BE20" i="9" s="1"/>
  <c r="C42" i="9"/>
  <c r="AF20" i="9" s="1"/>
  <c r="C41" i="9"/>
  <c r="AF19" i="9" s="1"/>
  <c r="C40" i="9"/>
  <c r="AF18" i="9" s="1"/>
  <c r="C39" i="9"/>
  <c r="AF17" i="9" s="1"/>
  <c r="C38" i="9"/>
  <c r="C37" i="9"/>
  <c r="D25" i="9"/>
  <c r="E25" i="9"/>
  <c r="F25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D26" i="9"/>
  <c r="E26" i="9"/>
  <c r="F26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D27" i="9"/>
  <c r="E27" i="9"/>
  <c r="F27" i="9"/>
  <c r="G27" i="9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W27" i="9"/>
  <c r="X27" i="9"/>
  <c r="Y27" i="9"/>
  <c r="Z27" i="9"/>
  <c r="AA27" i="9"/>
  <c r="BD5" i="9" s="1"/>
  <c r="AB27" i="9"/>
  <c r="D28" i="9"/>
  <c r="E28" i="9"/>
  <c r="F28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Y28" i="9"/>
  <c r="Z28" i="9"/>
  <c r="AA28" i="9"/>
  <c r="BD6" i="9" s="1"/>
  <c r="AB28" i="9"/>
  <c r="D29" i="9"/>
  <c r="E29" i="9"/>
  <c r="F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T29" i="9"/>
  <c r="U29" i="9"/>
  <c r="V29" i="9"/>
  <c r="W29" i="9"/>
  <c r="X29" i="9"/>
  <c r="Y29" i="9"/>
  <c r="Z29" i="9"/>
  <c r="AA29" i="9"/>
  <c r="BD7" i="9" s="1"/>
  <c r="AB29" i="9"/>
  <c r="BE7" i="9" s="1"/>
  <c r="D30" i="9"/>
  <c r="E30" i="9"/>
  <c r="F30" i="9"/>
  <c r="G30" i="9"/>
  <c r="H30" i="9"/>
  <c r="I30" i="9"/>
  <c r="J30" i="9"/>
  <c r="K30" i="9"/>
  <c r="L30" i="9"/>
  <c r="M30" i="9"/>
  <c r="N30" i="9"/>
  <c r="AQ8" i="9" s="1"/>
  <c r="O30" i="9"/>
  <c r="P30" i="9"/>
  <c r="Q30" i="9"/>
  <c r="R30" i="9"/>
  <c r="S30" i="9"/>
  <c r="T30" i="9"/>
  <c r="U30" i="9"/>
  <c r="V30" i="9"/>
  <c r="W30" i="9"/>
  <c r="X30" i="9"/>
  <c r="Y30" i="9"/>
  <c r="Z30" i="9"/>
  <c r="AA30" i="9"/>
  <c r="BD8" i="9" s="1"/>
  <c r="AB30" i="9"/>
  <c r="BE8" i="9" s="1"/>
  <c r="D31" i="9"/>
  <c r="AG9" i="9" s="1"/>
  <c r="E31" i="9"/>
  <c r="AH9" i="9" s="1"/>
  <c r="F31" i="9"/>
  <c r="G31" i="9"/>
  <c r="H31" i="9"/>
  <c r="AK9" i="9" s="1"/>
  <c r="I31" i="9"/>
  <c r="J31" i="9"/>
  <c r="K31" i="9"/>
  <c r="L31" i="9"/>
  <c r="M31" i="9"/>
  <c r="N31" i="9"/>
  <c r="AQ9" i="9" s="1"/>
  <c r="O31" i="9"/>
  <c r="P31" i="9"/>
  <c r="AS9" i="9" s="1"/>
  <c r="Q31" i="9"/>
  <c r="R31" i="9"/>
  <c r="S31" i="9"/>
  <c r="AV9" i="9" s="1"/>
  <c r="T31" i="9"/>
  <c r="U31" i="9"/>
  <c r="AX9" i="9" s="1"/>
  <c r="V31" i="9"/>
  <c r="W31" i="9"/>
  <c r="X31" i="9"/>
  <c r="Y31" i="9"/>
  <c r="Z31" i="9"/>
  <c r="AA31" i="9"/>
  <c r="BD9" i="9" s="1"/>
  <c r="AB31" i="9"/>
  <c r="BE9" i="9" s="1"/>
  <c r="C26" i="9"/>
  <c r="C27" i="9"/>
  <c r="C28" i="9"/>
  <c r="AF6" i="9" s="1"/>
  <c r="C29" i="9"/>
  <c r="AF7" i="9" s="1"/>
  <c r="C30" i="9"/>
  <c r="AF8" i="9" s="1"/>
  <c r="C31" i="9"/>
  <c r="AF9" i="9" s="1"/>
  <c r="D14" i="9"/>
  <c r="E14" i="9"/>
  <c r="F14" i="9"/>
  <c r="G14" i="9"/>
  <c r="H14" i="9"/>
  <c r="I14" i="9"/>
  <c r="J14" i="9"/>
  <c r="K14" i="9"/>
  <c r="L14" i="9"/>
  <c r="M14" i="9"/>
  <c r="N14" i="9"/>
  <c r="O14" i="9"/>
  <c r="P14" i="9"/>
  <c r="Q14" i="9"/>
  <c r="R14" i="9"/>
  <c r="S14" i="9"/>
  <c r="T14" i="9"/>
  <c r="U14" i="9"/>
  <c r="V14" i="9"/>
  <c r="W14" i="9"/>
  <c r="X14" i="9"/>
  <c r="Y14" i="9"/>
  <c r="Z14" i="9"/>
  <c r="AA14" i="9"/>
  <c r="AB14" i="9"/>
  <c r="D15" i="9"/>
  <c r="E15" i="9"/>
  <c r="F15" i="9"/>
  <c r="G15" i="9"/>
  <c r="H15" i="9"/>
  <c r="I15" i="9"/>
  <c r="J15" i="9"/>
  <c r="K15" i="9"/>
  <c r="L15" i="9"/>
  <c r="M15" i="9"/>
  <c r="N15" i="9"/>
  <c r="O15" i="9"/>
  <c r="P15" i="9"/>
  <c r="Q15" i="9"/>
  <c r="R15" i="9"/>
  <c r="S15" i="9"/>
  <c r="T15" i="9"/>
  <c r="U15" i="9"/>
  <c r="V15" i="9"/>
  <c r="W15" i="9"/>
  <c r="X15" i="9"/>
  <c r="Y15" i="9"/>
  <c r="Z15" i="9"/>
  <c r="AA15" i="9"/>
  <c r="AB15" i="9"/>
  <c r="D16" i="9"/>
  <c r="E16" i="9"/>
  <c r="F16" i="9"/>
  <c r="G16" i="9"/>
  <c r="H16" i="9"/>
  <c r="I16" i="9"/>
  <c r="J16" i="9"/>
  <c r="K16" i="9"/>
  <c r="L16" i="9"/>
  <c r="M16" i="9"/>
  <c r="N16" i="9"/>
  <c r="O16" i="9"/>
  <c r="P16" i="9"/>
  <c r="Q16" i="9"/>
  <c r="R16" i="9"/>
  <c r="S16" i="9"/>
  <c r="T16" i="9"/>
  <c r="U16" i="9"/>
  <c r="V16" i="9"/>
  <c r="W16" i="9"/>
  <c r="X16" i="9"/>
  <c r="Y16" i="9"/>
  <c r="Z16" i="9"/>
  <c r="AA16" i="9"/>
  <c r="AB16" i="9"/>
  <c r="D17" i="9"/>
  <c r="E17" i="9"/>
  <c r="F17" i="9"/>
  <c r="G17" i="9"/>
  <c r="H17" i="9"/>
  <c r="I17" i="9"/>
  <c r="J17" i="9"/>
  <c r="K17" i="9"/>
  <c r="L17" i="9"/>
  <c r="M17" i="9"/>
  <c r="N17" i="9"/>
  <c r="O17" i="9"/>
  <c r="P17" i="9"/>
  <c r="Q17" i="9"/>
  <c r="R17" i="9"/>
  <c r="S17" i="9"/>
  <c r="T17" i="9"/>
  <c r="U17" i="9"/>
  <c r="V17" i="9"/>
  <c r="W17" i="9"/>
  <c r="X17" i="9"/>
  <c r="Y17" i="9"/>
  <c r="Z17" i="9"/>
  <c r="AA17" i="9"/>
  <c r="AB17" i="9"/>
  <c r="D18" i="9"/>
  <c r="E18" i="9"/>
  <c r="F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D19" i="9"/>
  <c r="E19" i="9"/>
  <c r="F19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T19" i="9"/>
  <c r="U19" i="9"/>
  <c r="V19" i="9"/>
  <c r="W19" i="9"/>
  <c r="X19" i="9"/>
  <c r="Y19" i="9"/>
  <c r="Z19" i="9"/>
  <c r="AA19" i="9"/>
  <c r="AB19" i="9"/>
  <c r="D20" i="9"/>
  <c r="E20" i="9"/>
  <c r="F20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C20" i="9"/>
  <c r="C19" i="9"/>
  <c r="C18" i="9"/>
  <c r="C17" i="9"/>
  <c r="C16" i="9"/>
  <c r="C15" i="9"/>
  <c r="D3" i="9"/>
  <c r="E3" i="9"/>
  <c r="F3" i="9"/>
  <c r="G3" i="9"/>
  <c r="H3" i="9"/>
  <c r="I3" i="9"/>
  <c r="J3" i="9"/>
  <c r="K3" i="9"/>
  <c r="L3" i="9"/>
  <c r="M3" i="9"/>
  <c r="N3" i="9"/>
  <c r="O3" i="9"/>
  <c r="P3" i="9"/>
  <c r="Q3" i="9"/>
  <c r="R3" i="9"/>
  <c r="S3" i="9"/>
  <c r="T3" i="9"/>
  <c r="U3" i="9"/>
  <c r="V3" i="9"/>
  <c r="W3" i="9"/>
  <c r="X3" i="9"/>
  <c r="Y3" i="9"/>
  <c r="Z3" i="9"/>
  <c r="AA3" i="9"/>
  <c r="AB3" i="9"/>
  <c r="D4" i="9"/>
  <c r="E4" i="9"/>
  <c r="F4" i="9"/>
  <c r="G4" i="9"/>
  <c r="H4" i="9"/>
  <c r="I4" i="9"/>
  <c r="J4" i="9"/>
  <c r="K4" i="9"/>
  <c r="L4" i="9"/>
  <c r="M4" i="9"/>
  <c r="N4" i="9"/>
  <c r="O4" i="9"/>
  <c r="P4" i="9"/>
  <c r="Q4" i="9"/>
  <c r="R4" i="9"/>
  <c r="S4" i="9"/>
  <c r="T4" i="9"/>
  <c r="U4" i="9"/>
  <c r="V4" i="9"/>
  <c r="W4" i="9"/>
  <c r="X4" i="9"/>
  <c r="Y4" i="9"/>
  <c r="Z4" i="9"/>
  <c r="AA4" i="9"/>
  <c r="AB4" i="9"/>
  <c r="D5" i="9"/>
  <c r="E5" i="9"/>
  <c r="F5" i="9"/>
  <c r="G5" i="9"/>
  <c r="H5" i="9"/>
  <c r="I5" i="9"/>
  <c r="J5" i="9"/>
  <c r="K5" i="9"/>
  <c r="L5" i="9"/>
  <c r="M5" i="9"/>
  <c r="N5" i="9"/>
  <c r="O5" i="9"/>
  <c r="P5" i="9"/>
  <c r="Q5" i="9"/>
  <c r="R5" i="9"/>
  <c r="S5" i="9"/>
  <c r="T5" i="9"/>
  <c r="U5" i="9"/>
  <c r="V5" i="9"/>
  <c r="W5" i="9"/>
  <c r="X5" i="9"/>
  <c r="Y5" i="9"/>
  <c r="Z5" i="9"/>
  <c r="AA5" i="9"/>
  <c r="AB5" i="9"/>
  <c r="D6" i="9"/>
  <c r="E6" i="9"/>
  <c r="F6" i="9"/>
  <c r="G6" i="9"/>
  <c r="H6" i="9"/>
  <c r="I6" i="9"/>
  <c r="J6" i="9"/>
  <c r="K6" i="9"/>
  <c r="L6" i="9"/>
  <c r="M6" i="9"/>
  <c r="N6" i="9"/>
  <c r="O6" i="9"/>
  <c r="P6" i="9"/>
  <c r="Q6" i="9"/>
  <c r="R6" i="9"/>
  <c r="S6" i="9"/>
  <c r="T6" i="9"/>
  <c r="U6" i="9"/>
  <c r="V6" i="9"/>
  <c r="W6" i="9"/>
  <c r="X6" i="9"/>
  <c r="Y6" i="9"/>
  <c r="Z6" i="9"/>
  <c r="AA6" i="9"/>
  <c r="AB6" i="9"/>
  <c r="D7" i="9"/>
  <c r="E7" i="9"/>
  <c r="F7" i="9"/>
  <c r="G7" i="9"/>
  <c r="H7" i="9"/>
  <c r="I7" i="9"/>
  <c r="J7" i="9"/>
  <c r="K7" i="9"/>
  <c r="L7" i="9"/>
  <c r="M7" i="9"/>
  <c r="N7" i="9"/>
  <c r="O7" i="9"/>
  <c r="P7" i="9"/>
  <c r="Q7" i="9"/>
  <c r="R7" i="9"/>
  <c r="S7" i="9"/>
  <c r="T7" i="9"/>
  <c r="U7" i="9"/>
  <c r="V7" i="9"/>
  <c r="W7" i="9"/>
  <c r="X7" i="9"/>
  <c r="Y7" i="9"/>
  <c r="Z7" i="9"/>
  <c r="AA7" i="9"/>
  <c r="AB7" i="9"/>
  <c r="D8" i="9"/>
  <c r="E8" i="9"/>
  <c r="F8" i="9"/>
  <c r="G8" i="9"/>
  <c r="H8" i="9"/>
  <c r="I8" i="9"/>
  <c r="J8" i="9"/>
  <c r="K8" i="9"/>
  <c r="L8" i="9"/>
  <c r="M8" i="9"/>
  <c r="N8" i="9"/>
  <c r="O8" i="9"/>
  <c r="P8" i="9"/>
  <c r="Q8" i="9"/>
  <c r="R8" i="9"/>
  <c r="S8" i="9"/>
  <c r="T8" i="9"/>
  <c r="U8" i="9"/>
  <c r="V8" i="9"/>
  <c r="W8" i="9"/>
  <c r="X8" i="9"/>
  <c r="Y8" i="9"/>
  <c r="Z8" i="9"/>
  <c r="AA8" i="9"/>
  <c r="AB8" i="9"/>
  <c r="D9" i="9"/>
  <c r="E9" i="9"/>
  <c r="F9" i="9"/>
  <c r="G9" i="9"/>
  <c r="H9" i="9"/>
  <c r="I9" i="9"/>
  <c r="J9" i="9"/>
  <c r="K9" i="9"/>
  <c r="L9" i="9"/>
  <c r="M9" i="9"/>
  <c r="N9" i="9"/>
  <c r="O9" i="9"/>
  <c r="P9" i="9"/>
  <c r="Q9" i="9"/>
  <c r="R9" i="9"/>
  <c r="S9" i="9"/>
  <c r="T9" i="9"/>
  <c r="U9" i="9"/>
  <c r="V9" i="9"/>
  <c r="W9" i="9"/>
  <c r="X9" i="9"/>
  <c r="Y9" i="9"/>
  <c r="Z9" i="9"/>
  <c r="AA9" i="9"/>
  <c r="AB9" i="9"/>
  <c r="C9" i="9"/>
  <c r="C8" i="9"/>
  <c r="C7" i="9"/>
  <c r="C6" i="9"/>
  <c r="C5" i="9"/>
  <c r="C4" i="9"/>
  <c r="AC67" i="1"/>
  <c r="D69" i="1"/>
  <c r="D58" i="1"/>
  <c r="D60" i="1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D71" i="10"/>
  <c r="E71" i="2"/>
  <c r="F71" i="2"/>
  <c r="G71" i="2"/>
  <c r="H71" i="2"/>
  <c r="I71" i="2"/>
  <c r="J71" i="2"/>
  <c r="K71" i="2"/>
  <c r="L71" i="2"/>
  <c r="M71" i="2"/>
  <c r="N71" i="2"/>
  <c r="O71" i="2"/>
  <c r="P71" i="2"/>
  <c r="Q71" i="2"/>
  <c r="R71" i="2"/>
  <c r="S71" i="2"/>
  <c r="T71" i="2"/>
  <c r="U71" i="2"/>
  <c r="V71" i="2"/>
  <c r="W71" i="2"/>
  <c r="X71" i="2"/>
  <c r="Y71" i="2"/>
  <c r="Z71" i="2"/>
  <c r="AA71" i="2"/>
  <c r="AB71" i="2"/>
  <c r="AC71" i="2"/>
  <c r="D71" i="2"/>
  <c r="E71" i="3"/>
  <c r="F71" i="3"/>
  <c r="G71" i="3"/>
  <c r="H71" i="3"/>
  <c r="I71" i="3"/>
  <c r="J71" i="3"/>
  <c r="K71" i="3"/>
  <c r="L71" i="3"/>
  <c r="M71" i="3"/>
  <c r="N71" i="3"/>
  <c r="O71" i="3"/>
  <c r="P71" i="3"/>
  <c r="Q71" i="3"/>
  <c r="R71" i="3"/>
  <c r="S71" i="3"/>
  <c r="T71" i="3"/>
  <c r="U71" i="3"/>
  <c r="V71" i="3"/>
  <c r="W71" i="3"/>
  <c r="X71" i="3"/>
  <c r="Y71" i="3"/>
  <c r="Z71" i="3"/>
  <c r="AA71" i="3"/>
  <c r="AB71" i="3"/>
  <c r="AC71" i="3"/>
  <c r="D71" i="3"/>
  <c r="E71" i="4"/>
  <c r="F71" i="4"/>
  <c r="G71" i="4"/>
  <c r="H71" i="4"/>
  <c r="I71" i="4"/>
  <c r="J71" i="4"/>
  <c r="K71" i="4"/>
  <c r="L71" i="4"/>
  <c r="M71" i="4"/>
  <c r="N71" i="4"/>
  <c r="O71" i="4"/>
  <c r="P71" i="4"/>
  <c r="Q71" i="4"/>
  <c r="R71" i="4"/>
  <c r="S71" i="4"/>
  <c r="T71" i="4"/>
  <c r="U71" i="4"/>
  <c r="V71" i="4"/>
  <c r="W71" i="4"/>
  <c r="X71" i="4"/>
  <c r="Y71" i="4"/>
  <c r="Z71" i="4"/>
  <c r="AA71" i="4"/>
  <c r="AB71" i="4"/>
  <c r="AC71" i="4"/>
  <c r="D71" i="4"/>
  <c r="E71" i="5"/>
  <c r="F71" i="5"/>
  <c r="G71" i="5"/>
  <c r="H71" i="5"/>
  <c r="I71" i="5"/>
  <c r="J71" i="5"/>
  <c r="K71" i="5"/>
  <c r="L71" i="5"/>
  <c r="M71" i="5"/>
  <c r="N71" i="5"/>
  <c r="O71" i="5"/>
  <c r="P71" i="5"/>
  <c r="Q71" i="5"/>
  <c r="R71" i="5"/>
  <c r="S71" i="5"/>
  <c r="T71" i="5"/>
  <c r="U71" i="5"/>
  <c r="V71" i="5"/>
  <c r="W71" i="5"/>
  <c r="X71" i="5"/>
  <c r="Y71" i="5"/>
  <c r="Z71" i="5"/>
  <c r="AA71" i="5"/>
  <c r="AB71" i="5"/>
  <c r="AC71" i="5"/>
  <c r="D71" i="5"/>
  <c r="E71" i="6"/>
  <c r="F71" i="6"/>
  <c r="G71" i="6"/>
  <c r="H71" i="6"/>
  <c r="I71" i="6"/>
  <c r="J71" i="6"/>
  <c r="K71" i="6"/>
  <c r="L71" i="6"/>
  <c r="M71" i="6"/>
  <c r="N71" i="6"/>
  <c r="O71" i="6"/>
  <c r="P71" i="6"/>
  <c r="Q71" i="6"/>
  <c r="R71" i="6"/>
  <c r="S71" i="6"/>
  <c r="T71" i="6"/>
  <c r="U71" i="6"/>
  <c r="V71" i="6"/>
  <c r="W71" i="6"/>
  <c r="X71" i="6"/>
  <c r="Y71" i="6"/>
  <c r="Z71" i="6"/>
  <c r="AA71" i="6"/>
  <c r="AB71" i="6"/>
  <c r="AC71" i="6"/>
  <c r="D71" i="6"/>
  <c r="E71" i="7"/>
  <c r="F71" i="7"/>
  <c r="G71" i="7"/>
  <c r="H71" i="7"/>
  <c r="I71" i="7"/>
  <c r="J71" i="7"/>
  <c r="K71" i="7"/>
  <c r="L71" i="7"/>
  <c r="M71" i="7"/>
  <c r="N71" i="7"/>
  <c r="O71" i="7"/>
  <c r="P71" i="7"/>
  <c r="Q71" i="7"/>
  <c r="R71" i="7"/>
  <c r="S71" i="7"/>
  <c r="T71" i="7"/>
  <c r="U71" i="7"/>
  <c r="V71" i="7"/>
  <c r="W71" i="7"/>
  <c r="X71" i="7"/>
  <c r="Y71" i="7"/>
  <c r="Z71" i="7"/>
  <c r="AA71" i="7"/>
  <c r="AB71" i="7"/>
  <c r="AC71" i="7"/>
  <c r="D71" i="7"/>
  <c r="BB9" i="9" l="1"/>
  <c r="AP9" i="9"/>
  <c r="BC8" i="9"/>
  <c r="AR7" i="9"/>
  <c r="BC20" i="9"/>
  <c r="AR19" i="9"/>
  <c r="AS18" i="9"/>
  <c r="AG18" i="9"/>
  <c r="BF10" i="9"/>
  <c r="BD10" i="9"/>
  <c r="AR10" i="9"/>
  <c r="AF21" i="9"/>
  <c r="BE21" i="9"/>
  <c r="AS21" i="9"/>
  <c r="AG21" i="9"/>
  <c r="BF21" i="9"/>
  <c r="AI4" i="9"/>
  <c r="AW14" i="9"/>
  <c r="BC10" i="9"/>
  <c r="AQ10" i="9"/>
  <c r="BD21" i="9"/>
  <c r="AR21" i="9"/>
  <c r="BA9" i="9"/>
  <c r="AO9" i="9"/>
  <c r="BB8" i="9"/>
  <c r="AP8" i="9"/>
  <c r="BC7" i="9"/>
  <c r="AQ7" i="9"/>
  <c r="AR6" i="9"/>
  <c r="BE5" i="9"/>
  <c r="AS5" i="9"/>
  <c r="AG5" i="9"/>
  <c r="AT4" i="9"/>
  <c r="AH4" i="9"/>
  <c r="AU3" i="9"/>
  <c r="AI3" i="9"/>
  <c r="BB20" i="9"/>
  <c r="AP20" i="9"/>
  <c r="BC19" i="9"/>
  <c r="AR18" i="9"/>
  <c r="BE17" i="9"/>
  <c r="AS17" i="9"/>
  <c r="AG17" i="9"/>
  <c r="AT16" i="9"/>
  <c r="AH16" i="9"/>
  <c r="AU15" i="9"/>
  <c r="AI15" i="9"/>
  <c r="AV14" i="9"/>
  <c r="AJ14" i="9"/>
  <c r="AH5" i="9"/>
  <c r="BB10" i="9"/>
  <c r="AP10" i="9"/>
  <c r="BC21" i="9"/>
  <c r="AQ21" i="9"/>
  <c r="AZ9" i="9"/>
  <c r="AN9" i="9"/>
  <c r="BA8" i="9"/>
  <c r="AO8" i="9"/>
  <c r="BB7" i="9"/>
  <c r="AP7" i="9"/>
  <c r="BC6" i="9"/>
  <c r="AQ6" i="9"/>
  <c r="AR5" i="9"/>
  <c r="BE4" i="9"/>
  <c r="AS4" i="9"/>
  <c r="AG4" i="9"/>
  <c r="AT3" i="9"/>
  <c r="AH3" i="9"/>
  <c r="BA20" i="9"/>
  <c r="AO20" i="9"/>
  <c r="BB19" i="9"/>
  <c r="AP19" i="9"/>
  <c r="BC18" i="9"/>
  <c r="AQ18" i="9"/>
  <c r="AR17" i="9"/>
  <c r="BE16" i="9"/>
  <c r="AS16" i="9"/>
  <c r="AG16" i="9"/>
  <c r="AT15" i="9"/>
  <c r="AH15" i="9"/>
  <c r="AU14" i="9"/>
  <c r="AI14" i="9"/>
  <c r="AU16" i="9"/>
  <c r="BA10" i="9"/>
  <c r="AO10" i="9"/>
  <c r="BB21" i="9"/>
  <c r="AP21" i="9"/>
  <c r="AY9" i="9"/>
  <c r="AM9" i="9"/>
  <c r="AZ8" i="9"/>
  <c r="AN8" i="9"/>
  <c r="BA7" i="9"/>
  <c r="AO7" i="9"/>
  <c r="BB6" i="9"/>
  <c r="AP6" i="9"/>
  <c r="BC5" i="9"/>
  <c r="AQ5" i="9"/>
  <c r="BD4" i="9"/>
  <c r="AR4" i="9"/>
  <c r="BE3" i="9"/>
  <c r="AS3" i="9"/>
  <c r="AG3" i="9"/>
  <c r="AZ20" i="9"/>
  <c r="BA19" i="9"/>
  <c r="AO19" i="9"/>
  <c r="BB18" i="9"/>
  <c r="AP18" i="9"/>
  <c r="BC17" i="9"/>
  <c r="AQ17" i="9"/>
  <c r="AR16" i="9"/>
  <c r="BE15" i="9"/>
  <c r="AS15" i="9"/>
  <c r="AG15" i="9"/>
  <c r="AT14" i="9"/>
  <c r="AH14" i="9"/>
  <c r="AG6" i="9"/>
  <c r="AJ3" i="9"/>
  <c r="AH17" i="9"/>
  <c r="AZ10" i="9"/>
  <c r="AN10" i="9"/>
  <c r="BA21" i="9"/>
  <c r="AO21" i="9"/>
  <c r="AL9" i="9"/>
  <c r="AY8" i="9"/>
  <c r="AM8" i="9"/>
  <c r="AZ7" i="9"/>
  <c r="AN7" i="9"/>
  <c r="BA6" i="9"/>
  <c r="AO6" i="9"/>
  <c r="BB5" i="9"/>
  <c r="AP5" i="9"/>
  <c r="BC4" i="9"/>
  <c r="AQ4" i="9"/>
  <c r="BD3" i="9"/>
  <c r="AR3" i="9"/>
  <c r="AF15" i="9"/>
  <c r="AY20" i="9"/>
  <c r="AZ19" i="9"/>
  <c r="AN19" i="9"/>
  <c r="BA18" i="9"/>
  <c r="AO18" i="9"/>
  <c r="BB17" i="9"/>
  <c r="AP17" i="9"/>
  <c r="BC16" i="9"/>
  <c r="AQ16" i="9"/>
  <c r="BD15" i="9"/>
  <c r="AR15" i="9"/>
  <c r="BE14" i="9"/>
  <c r="AS14" i="9"/>
  <c r="AG14" i="9"/>
  <c r="AY10" i="9"/>
  <c r="AM10" i="9"/>
  <c r="AZ21" i="9"/>
  <c r="AN21" i="9"/>
  <c r="AW9" i="9"/>
  <c r="AX8" i="9"/>
  <c r="AL8" i="9"/>
  <c r="AY7" i="9"/>
  <c r="AM7" i="9"/>
  <c r="AZ6" i="9"/>
  <c r="AN6" i="9"/>
  <c r="BA5" i="9"/>
  <c r="AO5" i="9"/>
  <c r="BB4" i="9"/>
  <c r="AP4" i="9"/>
  <c r="BC3" i="9"/>
  <c r="AQ3" i="9"/>
  <c r="AF16" i="9"/>
  <c r="AL20" i="9"/>
  <c r="AY19" i="9"/>
  <c r="AZ18" i="9"/>
  <c r="AN18" i="9"/>
  <c r="BA17" i="9"/>
  <c r="AO17" i="9"/>
  <c r="BB16" i="9"/>
  <c r="AP16" i="9"/>
  <c r="BC15" i="9"/>
  <c r="AQ15" i="9"/>
  <c r="BD14" i="9"/>
  <c r="AR14" i="9"/>
  <c r="AK14" i="9"/>
  <c r="AL10" i="9"/>
  <c r="AY21" i="9"/>
  <c r="AM21" i="9"/>
  <c r="AJ9" i="9"/>
  <c r="AW8" i="9"/>
  <c r="AK8" i="9"/>
  <c r="AX7" i="9"/>
  <c r="AL7" i="9"/>
  <c r="AY6" i="9"/>
  <c r="AM6" i="9"/>
  <c r="AZ5" i="9"/>
  <c r="AN5" i="9"/>
  <c r="BA4" i="9"/>
  <c r="AO4" i="9"/>
  <c r="BB3" i="9"/>
  <c r="AP3" i="9"/>
  <c r="AW20" i="9"/>
  <c r="AX19" i="9"/>
  <c r="AL19" i="9"/>
  <c r="AY18" i="9"/>
  <c r="AM18" i="9"/>
  <c r="AZ17" i="9"/>
  <c r="AN17" i="9"/>
  <c r="BA16" i="9"/>
  <c r="AO16" i="9"/>
  <c r="BB15" i="9"/>
  <c r="AP15" i="9"/>
  <c r="BC14" i="9"/>
  <c r="AQ14" i="9"/>
  <c r="AS6" i="9"/>
  <c r="AW10" i="9"/>
  <c r="AK10" i="9"/>
  <c r="AX21" i="9"/>
  <c r="AL21" i="9"/>
  <c r="AF5" i="9"/>
  <c r="AU9" i="9"/>
  <c r="AI9" i="9"/>
  <c r="AV8" i="9"/>
  <c r="AJ8" i="9"/>
  <c r="AW7" i="9"/>
  <c r="AK7" i="9"/>
  <c r="AX6" i="9"/>
  <c r="AL6" i="9"/>
  <c r="AY5" i="9"/>
  <c r="AM5" i="9"/>
  <c r="AZ4" i="9"/>
  <c r="AN4" i="9"/>
  <c r="BA3" i="9"/>
  <c r="AO3" i="9"/>
  <c r="AW19" i="9"/>
  <c r="AK19" i="9"/>
  <c r="AX18" i="9"/>
  <c r="AL18" i="9"/>
  <c r="AY17" i="9"/>
  <c r="AM17" i="9"/>
  <c r="AZ16" i="9"/>
  <c r="AN16" i="9"/>
  <c r="BA15" i="9"/>
  <c r="AO15" i="9"/>
  <c r="BB14" i="9"/>
  <c r="AP14" i="9"/>
  <c r="AT5" i="9"/>
  <c r="AI16" i="9"/>
  <c r="AX10" i="9"/>
  <c r="AV10" i="9"/>
  <c r="AJ10" i="9"/>
  <c r="AW21" i="9"/>
  <c r="AK21" i="9"/>
  <c r="AF4" i="9"/>
  <c r="AT9" i="9"/>
  <c r="AU8" i="9"/>
  <c r="AI8" i="9"/>
  <c r="AV7" i="9"/>
  <c r="AJ7" i="9"/>
  <c r="AW6" i="9"/>
  <c r="AK6" i="9"/>
  <c r="AX5" i="9"/>
  <c r="AL5" i="9"/>
  <c r="AY4" i="9"/>
  <c r="AM4" i="9"/>
  <c r="AZ3" i="9"/>
  <c r="AN3" i="9"/>
  <c r="AU20" i="9"/>
  <c r="AI20" i="9"/>
  <c r="AV19" i="9"/>
  <c r="AJ19" i="9"/>
  <c r="AW18" i="9"/>
  <c r="AK18" i="9"/>
  <c r="AX17" i="9"/>
  <c r="AL17" i="9"/>
  <c r="AY16" i="9"/>
  <c r="AM16" i="9"/>
  <c r="AZ15" i="9"/>
  <c r="AN15" i="9"/>
  <c r="BA14" i="9"/>
  <c r="AO14" i="9"/>
  <c r="AV3" i="9"/>
  <c r="AV15" i="9"/>
  <c r="AU10" i="9"/>
  <c r="AI10" i="9"/>
  <c r="AV21" i="9"/>
  <c r="AJ21" i="9"/>
  <c r="AT8" i="9"/>
  <c r="AH8" i="9"/>
  <c r="AU7" i="9"/>
  <c r="AI7" i="9"/>
  <c r="AV6" i="9"/>
  <c r="AJ6" i="9"/>
  <c r="AW5" i="9"/>
  <c r="AK5" i="9"/>
  <c r="AX4" i="9"/>
  <c r="AL4" i="9"/>
  <c r="AY3" i="9"/>
  <c r="AM3" i="9"/>
  <c r="AT20" i="9"/>
  <c r="AU19" i="9"/>
  <c r="AI19" i="9"/>
  <c r="AV18" i="9"/>
  <c r="AJ18" i="9"/>
  <c r="AW17" i="9"/>
  <c r="AK17" i="9"/>
  <c r="AX16" i="9"/>
  <c r="AL16" i="9"/>
  <c r="AY15" i="9"/>
  <c r="AM15" i="9"/>
  <c r="AZ14" i="9"/>
  <c r="AN14" i="9"/>
  <c r="AU4" i="9"/>
  <c r="AT17" i="9"/>
  <c r="AT10" i="9"/>
  <c r="AH10" i="9"/>
  <c r="AU21" i="9"/>
  <c r="AI21" i="9"/>
  <c r="AR9" i="9"/>
  <c r="AS8" i="9"/>
  <c r="AG8" i="9"/>
  <c r="AT7" i="9"/>
  <c r="AH7" i="9"/>
  <c r="AU6" i="9"/>
  <c r="AI6" i="9"/>
  <c r="AV5" i="9"/>
  <c r="AJ5" i="9"/>
  <c r="AW4" i="9"/>
  <c r="AK4" i="9"/>
  <c r="AX3" i="9"/>
  <c r="AL3" i="9"/>
  <c r="AS20" i="9"/>
  <c r="AT19" i="9"/>
  <c r="AH19" i="9"/>
  <c r="AU18" i="9"/>
  <c r="AI18" i="9"/>
  <c r="AV17" i="9"/>
  <c r="AJ17" i="9"/>
  <c r="AW16" i="9"/>
  <c r="AK16" i="9"/>
  <c r="AX15" i="9"/>
  <c r="AL15" i="9"/>
  <c r="AY14" i="9"/>
  <c r="AM14" i="9"/>
  <c r="BE6" i="9"/>
  <c r="AJ15" i="9"/>
  <c r="AF10" i="9"/>
  <c r="BE10" i="9"/>
  <c r="AS10" i="9"/>
  <c r="AG10" i="9"/>
  <c r="AT21" i="9"/>
  <c r="AH21" i="9"/>
  <c r="BC9" i="9"/>
  <c r="AR8" i="9"/>
  <c r="AS7" i="9"/>
  <c r="AG7" i="9"/>
  <c r="AT6" i="9"/>
  <c r="AH6" i="9"/>
  <c r="AU5" i="9"/>
  <c r="AI5" i="9"/>
  <c r="AV4" i="9"/>
  <c r="AJ4" i="9"/>
  <c r="AW3" i="9"/>
  <c r="AK3" i="9"/>
  <c r="AS19" i="9"/>
  <c r="AG19" i="9"/>
  <c r="AT18" i="9"/>
  <c r="AH18" i="9"/>
  <c r="AU17" i="9"/>
  <c r="AI17" i="9"/>
  <c r="AV16" i="9"/>
  <c r="AJ16" i="9"/>
  <c r="AW15" i="9"/>
  <c r="AK15" i="9"/>
  <c r="AX14" i="9"/>
  <c r="AL14" i="9"/>
  <c r="AC30" i="9"/>
  <c r="AC42" i="9"/>
  <c r="AC39" i="9"/>
  <c r="BF17" i="9" s="1"/>
  <c r="AC38" i="9"/>
  <c r="AC26" i="9"/>
  <c r="AC28" i="9"/>
  <c r="AC41" i="9"/>
  <c r="BF19" i="9" s="1"/>
  <c r="AC27" i="9"/>
  <c r="AC54" i="9"/>
  <c r="AC56" i="9"/>
  <c r="AC58" i="9"/>
  <c r="AC57" i="9"/>
  <c r="AC52" i="9"/>
  <c r="AC53" i="9"/>
  <c r="AC55" i="9"/>
  <c r="AC40" i="9"/>
  <c r="BF18" i="9" s="1"/>
  <c r="AC37" i="9"/>
  <c r="BF15" i="9" s="1"/>
  <c r="AC29" i="9"/>
  <c r="AC25" i="9"/>
  <c r="AC31" i="9"/>
  <c r="AC15" i="9"/>
  <c r="AC20" i="9"/>
  <c r="AC14" i="9"/>
  <c r="AC16" i="9"/>
  <c r="AC17" i="9"/>
  <c r="AC18" i="9"/>
  <c r="AC19" i="9"/>
  <c r="AC3" i="9"/>
  <c r="AG52" i="9" l="1"/>
  <c r="BF3" i="9"/>
  <c r="AG58" i="9"/>
  <c r="AG54" i="9"/>
  <c r="AG56" i="9"/>
  <c r="BF16" i="9"/>
  <c r="BF20" i="9"/>
  <c r="AG55" i="9"/>
  <c r="AG53" i="9"/>
  <c r="AG57" i="9"/>
  <c r="L75" i="11"/>
  <c r="X75" i="11"/>
  <c r="E97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N110" i="1" s="1"/>
  <c r="M103" i="1"/>
  <c r="L103" i="1"/>
  <c r="K103" i="1"/>
  <c r="J103" i="1"/>
  <c r="I103" i="1"/>
  <c r="H103" i="1"/>
  <c r="G103" i="1"/>
  <c r="F103" i="1"/>
  <c r="E103" i="1"/>
  <c r="D103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R108" i="1" s="1"/>
  <c r="Q101" i="1"/>
  <c r="P101" i="1"/>
  <c r="O101" i="1"/>
  <c r="N101" i="1"/>
  <c r="M101" i="1"/>
  <c r="L101" i="1"/>
  <c r="K101" i="1"/>
  <c r="J101" i="1"/>
  <c r="I101" i="1"/>
  <c r="H101" i="1"/>
  <c r="G101" i="1"/>
  <c r="F101" i="1"/>
  <c r="F108" i="1" s="1"/>
  <c r="E101" i="1"/>
  <c r="D101" i="1"/>
  <c r="AC100" i="1"/>
  <c r="AB100" i="1"/>
  <c r="AA100" i="1"/>
  <c r="Z100" i="1"/>
  <c r="Z108" i="1" s="1"/>
  <c r="Y100" i="1"/>
  <c r="X100" i="1"/>
  <c r="W100" i="1"/>
  <c r="V100" i="1"/>
  <c r="U100" i="1"/>
  <c r="T100" i="1"/>
  <c r="S100" i="1"/>
  <c r="R100" i="1"/>
  <c r="Q100" i="1"/>
  <c r="P100" i="1"/>
  <c r="O100" i="1"/>
  <c r="N100" i="1"/>
  <c r="N108" i="1" s="1"/>
  <c r="M100" i="1"/>
  <c r="L100" i="1"/>
  <c r="K100" i="1"/>
  <c r="J100" i="1"/>
  <c r="I100" i="1"/>
  <c r="H100" i="1"/>
  <c r="G100" i="1"/>
  <c r="F100" i="1"/>
  <c r="E100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D97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AC94" i="1"/>
  <c r="AB94" i="1"/>
  <c r="AA94" i="1"/>
  <c r="Z94" i="1"/>
  <c r="Y94" i="1"/>
  <c r="X94" i="1"/>
  <c r="X112" i="1" s="1"/>
  <c r="W94" i="1"/>
  <c r="V94" i="1"/>
  <c r="U94" i="1"/>
  <c r="T94" i="1"/>
  <c r="S94" i="1"/>
  <c r="R94" i="1"/>
  <c r="Q94" i="1"/>
  <c r="P94" i="1"/>
  <c r="O94" i="1"/>
  <c r="N94" i="1"/>
  <c r="M94" i="1"/>
  <c r="L94" i="1"/>
  <c r="L112" i="1" s="1"/>
  <c r="K94" i="1"/>
  <c r="J94" i="1"/>
  <c r="I94" i="1"/>
  <c r="H94" i="1"/>
  <c r="G94" i="1"/>
  <c r="F94" i="1"/>
  <c r="E94" i="1"/>
  <c r="D94" i="1"/>
  <c r="AC106" i="11"/>
  <c r="AB106" i="11"/>
  <c r="AA106" i="11"/>
  <c r="Z106" i="11"/>
  <c r="Y106" i="11"/>
  <c r="X106" i="11"/>
  <c r="W106" i="11"/>
  <c r="V106" i="11"/>
  <c r="U106" i="11"/>
  <c r="T106" i="11"/>
  <c r="S106" i="11"/>
  <c r="R106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AC105" i="11"/>
  <c r="AB105" i="11"/>
  <c r="AA105" i="11"/>
  <c r="Z105" i="11"/>
  <c r="Y105" i="11"/>
  <c r="X105" i="11"/>
  <c r="W105" i="11"/>
  <c r="V105" i="11"/>
  <c r="U105" i="11"/>
  <c r="T105" i="11"/>
  <c r="S105" i="11"/>
  <c r="R105" i="11"/>
  <c r="Q105" i="11"/>
  <c r="P105" i="11"/>
  <c r="O105" i="11"/>
  <c r="N105" i="11"/>
  <c r="M105" i="11"/>
  <c r="L105" i="11"/>
  <c r="K105" i="11"/>
  <c r="J105" i="11"/>
  <c r="I105" i="11"/>
  <c r="H105" i="11"/>
  <c r="G105" i="11"/>
  <c r="F105" i="11"/>
  <c r="E105" i="11"/>
  <c r="D105" i="11"/>
  <c r="AC104" i="11"/>
  <c r="AB104" i="11"/>
  <c r="AA104" i="11"/>
  <c r="Z104" i="11"/>
  <c r="Y104" i="11"/>
  <c r="X104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AC103" i="11"/>
  <c r="AB103" i="11"/>
  <c r="AA103" i="11"/>
  <c r="Z103" i="11"/>
  <c r="Y103" i="11"/>
  <c r="X103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H110" i="11" s="1"/>
  <c r="G103" i="11"/>
  <c r="F103" i="11"/>
  <c r="E103" i="11"/>
  <c r="D103" i="11"/>
  <c r="AC102" i="11"/>
  <c r="AC110" i="11" s="1"/>
  <c r="AB102" i="11"/>
  <c r="AB110" i="11" s="1"/>
  <c r="AA102" i="11"/>
  <c r="Z102" i="11"/>
  <c r="Y102" i="11"/>
  <c r="X102" i="11"/>
  <c r="W102" i="11"/>
  <c r="V102" i="11"/>
  <c r="U102" i="11"/>
  <c r="T102" i="11"/>
  <c r="S102" i="11"/>
  <c r="R102" i="11"/>
  <c r="Q102" i="11"/>
  <c r="Q110" i="11" s="1"/>
  <c r="P102" i="11"/>
  <c r="P110" i="11" s="1"/>
  <c r="O102" i="11"/>
  <c r="N102" i="11"/>
  <c r="M102" i="11"/>
  <c r="L102" i="11"/>
  <c r="K102" i="11"/>
  <c r="J102" i="11"/>
  <c r="I102" i="11"/>
  <c r="H102" i="11"/>
  <c r="G102" i="11"/>
  <c r="F102" i="11"/>
  <c r="E102" i="11"/>
  <c r="E110" i="11" s="1"/>
  <c r="D102" i="11"/>
  <c r="D110" i="11" s="1"/>
  <c r="AC101" i="11"/>
  <c r="AB101" i="11"/>
  <c r="AA101" i="11"/>
  <c r="Z101" i="11"/>
  <c r="Y101" i="11"/>
  <c r="X101" i="11"/>
  <c r="X108" i="11" s="1"/>
  <c r="W101" i="11"/>
  <c r="V101" i="11"/>
  <c r="U101" i="11"/>
  <c r="T101" i="11"/>
  <c r="S101" i="11"/>
  <c r="R101" i="11"/>
  <c r="Q101" i="11"/>
  <c r="P101" i="11"/>
  <c r="O101" i="11"/>
  <c r="N101" i="11"/>
  <c r="M101" i="11"/>
  <c r="L101" i="11"/>
  <c r="L108" i="11" s="1"/>
  <c r="K101" i="11"/>
  <c r="J101" i="11"/>
  <c r="I101" i="11"/>
  <c r="H101" i="11"/>
  <c r="G101" i="11"/>
  <c r="F101" i="11"/>
  <c r="E101" i="11"/>
  <c r="D101" i="11"/>
  <c r="AC100" i="11"/>
  <c r="AC108" i="11" s="1"/>
  <c r="AB100" i="11"/>
  <c r="AB108" i="11" s="1"/>
  <c r="AA100" i="11"/>
  <c r="Z100" i="11"/>
  <c r="Y100" i="11"/>
  <c r="X100" i="11"/>
  <c r="W100" i="11"/>
  <c r="V100" i="11"/>
  <c r="V108" i="11" s="1"/>
  <c r="U100" i="11"/>
  <c r="U108" i="11" s="1"/>
  <c r="T100" i="11"/>
  <c r="T108" i="11" s="1"/>
  <c r="S100" i="11"/>
  <c r="R100" i="11"/>
  <c r="Q100" i="11"/>
  <c r="Q108" i="11" s="1"/>
  <c r="P100" i="11"/>
  <c r="P108" i="11" s="1"/>
  <c r="O100" i="11"/>
  <c r="N100" i="11"/>
  <c r="M100" i="11"/>
  <c r="L100" i="11"/>
  <c r="K100" i="11"/>
  <c r="J100" i="11"/>
  <c r="J108" i="11" s="1"/>
  <c r="I100" i="11"/>
  <c r="I108" i="11" s="1"/>
  <c r="H100" i="11"/>
  <c r="H108" i="11" s="1"/>
  <c r="G100" i="11"/>
  <c r="F100" i="11"/>
  <c r="E100" i="11"/>
  <c r="E108" i="11" s="1"/>
  <c r="D100" i="11"/>
  <c r="D108" i="11" s="1"/>
  <c r="AC99" i="11"/>
  <c r="AB99" i="11"/>
  <c r="AA99" i="11"/>
  <c r="Z99" i="11"/>
  <c r="Y99" i="11"/>
  <c r="X99" i="11"/>
  <c r="W99" i="11"/>
  <c r="V99" i="11"/>
  <c r="U99" i="11"/>
  <c r="T99" i="11"/>
  <c r="S99" i="11"/>
  <c r="R99" i="11"/>
  <c r="Q99" i="11"/>
  <c r="P99" i="11"/>
  <c r="O99" i="11"/>
  <c r="N99" i="11"/>
  <c r="M99" i="11"/>
  <c r="L99" i="11"/>
  <c r="K99" i="11"/>
  <c r="J99" i="11"/>
  <c r="I99" i="11"/>
  <c r="H99" i="11"/>
  <c r="G99" i="11"/>
  <c r="F99" i="11"/>
  <c r="E99" i="11"/>
  <c r="D99" i="11"/>
  <c r="AC98" i="11"/>
  <c r="AB98" i="11"/>
  <c r="AA98" i="11"/>
  <c r="Z98" i="11"/>
  <c r="Y98" i="11"/>
  <c r="X98" i="11"/>
  <c r="W98" i="11"/>
  <c r="V98" i="11"/>
  <c r="U98" i="11"/>
  <c r="T98" i="11"/>
  <c r="S98" i="11"/>
  <c r="R98" i="11"/>
  <c r="Q98" i="11"/>
  <c r="P98" i="11"/>
  <c r="O98" i="11"/>
  <c r="N98" i="11"/>
  <c r="M98" i="11"/>
  <c r="L98" i="11"/>
  <c r="K98" i="11"/>
  <c r="J98" i="11"/>
  <c r="I98" i="11"/>
  <c r="H98" i="11"/>
  <c r="G98" i="11"/>
  <c r="F98" i="11"/>
  <c r="E98" i="11"/>
  <c r="D98" i="11"/>
  <c r="AC97" i="11"/>
  <c r="AB97" i="11"/>
  <c r="AA97" i="11"/>
  <c r="Z97" i="11"/>
  <c r="Y97" i="11"/>
  <c r="X97" i="11"/>
  <c r="W97" i="11"/>
  <c r="V97" i="11"/>
  <c r="U97" i="11"/>
  <c r="T97" i="11"/>
  <c r="S97" i="11"/>
  <c r="R97" i="11"/>
  <c r="Q97" i="11"/>
  <c r="P97" i="11"/>
  <c r="O97" i="11"/>
  <c r="N97" i="11"/>
  <c r="M97" i="11"/>
  <c r="L97" i="11"/>
  <c r="K97" i="11"/>
  <c r="J97" i="11"/>
  <c r="I97" i="11"/>
  <c r="H97" i="11"/>
  <c r="G97" i="11"/>
  <c r="F97" i="11"/>
  <c r="E97" i="11"/>
  <c r="D97" i="11"/>
  <c r="AC96" i="11"/>
  <c r="AB96" i="11"/>
  <c r="AA96" i="11"/>
  <c r="Z96" i="11"/>
  <c r="Y96" i="11"/>
  <c r="X96" i="11"/>
  <c r="W96" i="11"/>
  <c r="V96" i="11"/>
  <c r="U96" i="11"/>
  <c r="T96" i="11"/>
  <c r="S96" i="11"/>
  <c r="R96" i="11"/>
  <c r="Q96" i="11"/>
  <c r="P96" i="11"/>
  <c r="O96" i="11"/>
  <c r="N96" i="11"/>
  <c r="M96" i="11"/>
  <c r="L96" i="11"/>
  <c r="K96" i="11"/>
  <c r="J96" i="11"/>
  <c r="I96" i="11"/>
  <c r="H96" i="11"/>
  <c r="G96" i="11"/>
  <c r="F96" i="11"/>
  <c r="E96" i="11"/>
  <c r="D96" i="11"/>
  <c r="AC95" i="11"/>
  <c r="AB95" i="11"/>
  <c r="AA95" i="11"/>
  <c r="Z95" i="11"/>
  <c r="Y95" i="11"/>
  <c r="X95" i="11"/>
  <c r="W95" i="11"/>
  <c r="V95" i="11"/>
  <c r="U95" i="11"/>
  <c r="T95" i="11"/>
  <c r="S95" i="11"/>
  <c r="R95" i="11"/>
  <c r="Q95" i="11"/>
  <c r="P95" i="11"/>
  <c r="O95" i="11"/>
  <c r="N95" i="11"/>
  <c r="M95" i="11"/>
  <c r="L95" i="11"/>
  <c r="K95" i="11"/>
  <c r="J95" i="11"/>
  <c r="I95" i="11"/>
  <c r="H95" i="11"/>
  <c r="G95" i="11"/>
  <c r="F95" i="11"/>
  <c r="E95" i="11"/>
  <c r="D95" i="11"/>
  <c r="AC94" i="11"/>
  <c r="AB94" i="11"/>
  <c r="AA94" i="11"/>
  <c r="Z94" i="11"/>
  <c r="Y94" i="11"/>
  <c r="X94" i="11"/>
  <c r="W94" i="11"/>
  <c r="V94" i="11"/>
  <c r="U94" i="11"/>
  <c r="T94" i="11"/>
  <c r="S94" i="11"/>
  <c r="R94" i="11"/>
  <c r="Q94" i="11"/>
  <c r="P94" i="11"/>
  <c r="O94" i="11"/>
  <c r="N94" i="11"/>
  <c r="M94" i="11"/>
  <c r="L94" i="11"/>
  <c r="K94" i="11"/>
  <c r="J94" i="11"/>
  <c r="I94" i="11"/>
  <c r="H94" i="11"/>
  <c r="G94" i="11"/>
  <c r="F94" i="11"/>
  <c r="E94" i="11"/>
  <c r="D94" i="11"/>
  <c r="Z108" i="12"/>
  <c r="N108" i="12"/>
  <c r="AC106" i="12"/>
  <c r="AB106" i="12"/>
  <c r="AA106" i="12"/>
  <c r="Z106" i="12"/>
  <c r="Y106" i="12"/>
  <c r="X106" i="12"/>
  <c r="W106" i="12"/>
  <c r="V106" i="12"/>
  <c r="U106" i="12"/>
  <c r="T106" i="12"/>
  <c r="S106" i="12"/>
  <c r="R106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AC105" i="12"/>
  <c r="AB105" i="12"/>
  <c r="AA105" i="12"/>
  <c r="Z105" i="12"/>
  <c r="Y105" i="12"/>
  <c r="X105" i="12"/>
  <c r="W105" i="12"/>
  <c r="V105" i="12"/>
  <c r="U105" i="12"/>
  <c r="T105" i="12"/>
  <c r="S105" i="12"/>
  <c r="R105" i="12"/>
  <c r="Q105" i="12"/>
  <c r="P105" i="12"/>
  <c r="O105" i="12"/>
  <c r="N105" i="12"/>
  <c r="M105" i="12"/>
  <c r="L105" i="12"/>
  <c r="K105" i="12"/>
  <c r="J105" i="12"/>
  <c r="I105" i="12"/>
  <c r="H105" i="12"/>
  <c r="G105" i="12"/>
  <c r="F105" i="12"/>
  <c r="E105" i="12"/>
  <c r="D105" i="12"/>
  <c r="AC104" i="12"/>
  <c r="AB104" i="12"/>
  <c r="AA104" i="12"/>
  <c r="Z104" i="12"/>
  <c r="Y104" i="12"/>
  <c r="X104" i="12"/>
  <c r="W104" i="12"/>
  <c r="V104" i="12"/>
  <c r="U104" i="12"/>
  <c r="T104" i="12"/>
  <c r="S104" i="12"/>
  <c r="R104" i="12"/>
  <c r="Q104" i="12"/>
  <c r="P104" i="12"/>
  <c r="O104" i="12"/>
  <c r="N104" i="12"/>
  <c r="M104" i="12"/>
  <c r="L104" i="12"/>
  <c r="K104" i="12"/>
  <c r="J104" i="12"/>
  <c r="J110" i="12" s="1"/>
  <c r="I104" i="12"/>
  <c r="H104" i="12"/>
  <c r="G104" i="12"/>
  <c r="F104" i="12"/>
  <c r="E104" i="12"/>
  <c r="D104" i="12"/>
  <c r="AC103" i="12"/>
  <c r="AB103" i="12"/>
  <c r="AA103" i="12"/>
  <c r="Z103" i="12"/>
  <c r="Y103" i="12"/>
  <c r="X103" i="12"/>
  <c r="W103" i="12"/>
  <c r="V103" i="12"/>
  <c r="U103" i="12"/>
  <c r="T103" i="12"/>
  <c r="S103" i="12"/>
  <c r="R103" i="12"/>
  <c r="Q103" i="12"/>
  <c r="P103" i="12"/>
  <c r="O103" i="12"/>
  <c r="N103" i="12"/>
  <c r="M103" i="12"/>
  <c r="L103" i="12"/>
  <c r="K103" i="12"/>
  <c r="J103" i="12"/>
  <c r="I103" i="12"/>
  <c r="H103" i="12"/>
  <c r="G103" i="12"/>
  <c r="F103" i="12"/>
  <c r="E103" i="12"/>
  <c r="D103" i="12"/>
  <c r="AC102" i="12"/>
  <c r="AB102" i="12"/>
  <c r="AA102" i="12"/>
  <c r="AA110" i="12" s="1"/>
  <c r="Z102" i="12"/>
  <c r="Z110" i="12" s="1"/>
  <c r="Y102" i="12"/>
  <c r="X102" i="12"/>
  <c r="W102" i="12"/>
  <c r="V102" i="12"/>
  <c r="U102" i="12"/>
  <c r="T102" i="12"/>
  <c r="S102" i="12"/>
  <c r="R102" i="12"/>
  <c r="Q102" i="12"/>
  <c r="P102" i="12"/>
  <c r="O102" i="12"/>
  <c r="O110" i="12" s="1"/>
  <c r="N102" i="12"/>
  <c r="N110" i="12" s="1"/>
  <c r="M102" i="12"/>
  <c r="L102" i="12"/>
  <c r="K102" i="12"/>
  <c r="J102" i="12"/>
  <c r="I102" i="12"/>
  <c r="H102" i="12"/>
  <c r="G102" i="12"/>
  <c r="F102" i="12"/>
  <c r="E102" i="12"/>
  <c r="D102" i="12"/>
  <c r="AC101" i="12"/>
  <c r="AB101" i="12"/>
  <c r="AA101" i="12"/>
  <c r="Z101" i="12"/>
  <c r="Y101" i="12"/>
  <c r="X101" i="12"/>
  <c r="W101" i="12"/>
  <c r="V101" i="12"/>
  <c r="U101" i="12"/>
  <c r="T101" i="12"/>
  <c r="S101" i="12"/>
  <c r="R101" i="12"/>
  <c r="Q101" i="12"/>
  <c r="P101" i="12"/>
  <c r="O101" i="12"/>
  <c r="N101" i="12"/>
  <c r="M101" i="12"/>
  <c r="L101" i="12"/>
  <c r="K101" i="12"/>
  <c r="J101" i="12"/>
  <c r="I101" i="12"/>
  <c r="H101" i="12"/>
  <c r="G101" i="12"/>
  <c r="F101" i="12"/>
  <c r="E101" i="12"/>
  <c r="D101" i="12"/>
  <c r="AC100" i="12"/>
  <c r="AB100" i="12"/>
  <c r="AA100" i="12"/>
  <c r="Z100" i="12"/>
  <c r="Y100" i="12"/>
  <c r="X100" i="12"/>
  <c r="W100" i="12"/>
  <c r="V100" i="12"/>
  <c r="U100" i="12"/>
  <c r="T100" i="12"/>
  <c r="S100" i="12"/>
  <c r="S108" i="12" s="1"/>
  <c r="R100" i="12"/>
  <c r="R108" i="12" s="1"/>
  <c r="Q100" i="12"/>
  <c r="P100" i="12"/>
  <c r="O100" i="12"/>
  <c r="N100" i="12"/>
  <c r="M100" i="12"/>
  <c r="L100" i="12"/>
  <c r="K100" i="12"/>
  <c r="J100" i="12"/>
  <c r="I100" i="12"/>
  <c r="H100" i="12"/>
  <c r="G100" i="12"/>
  <c r="G108" i="12" s="1"/>
  <c r="F100" i="12"/>
  <c r="F108" i="12" s="1"/>
  <c r="E100" i="12"/>
  <c r="D100" i="12"/>
  <c r="AC99" i="12"/>
  <c r="AB99" i="12"/>
  <c r="AA99" i="12"/>
  <c r="Z99" i="12"/>
  <c r="Y99" i="12"/>
  <c r="X99" i="12"/>
  <c r="W99" i="12"/>
  <c r="V99" i="12"/>
  <c r="U99" i="12"/>
  <c r="T99" i="12"/>
  <c r="S99" i="12"/>
  <c r="R99" i="12"/>
  <c r="Q99" i="12"/>
  <c r="P99" i="12"/>
  <c r="O99" i="12"/>
  <c r="N99" i="12"/>
  <c r="M99" i="12"/>
  <c r="L99" i="12"/>
  <c r="K99" i="12"/>
  <c r="J99" i="12"/>
  <c r="I99" i="12"/>
  <c r="H99" i="12"/>
  <c r="G99" i="12"/>
  <c r="F99" i="12"/>
  <c r="E99" i="12"/>
  <c r="D99" i="12"/>
  <c r="AC98" i="12"/>
  <c r="AB98" i="12"/>
  <c r="AA98" i="12"/>
  <c r="Z98" i="12"/>
  <c r="Y98" i="12"/>
  <c r="X98" i="12"/>
  <c r="W98" i="12"/>
  <c r="V98" i="12"/>
  <c r="U98" i="12"/>
  <c r="T98" i="12"/>
  <c r="S98" i="12"/>
  <c r="R98" i="12"/>
  <c r="Q98" i="12"/>
  <c r="P98" i="12"/>
  <c r="O98" i="12"/>
  <c r="N98" i="12"/>
  <c r="M98" i="12"/>
  <c r="L98" i="12"/>
  <c r="K98" i="12"/>
  <c r="J98" i="12"/>
  <c r="I98" i="12"/>
  <c r="H98" i="12"/>
  <c r="G98" i="12"/>
  <c r="F98" i="12"/>
  <c r="E98" i="12"/>
  <c r="D98" i="12"/>
  <c r="AC97" i="12"/>
  <c r="AB97" i="12"/>
  <c r="AA97" i="12"/>
  <c r="Z97" i="12"/>
  <c r="Y97" i="12"/>
  <c r="X97" i="12"/>
  <c r="W97" i="12"/>
  <c r="V97" i="12"/>
  <c r="U97" i="12"/>
  <c r="T97" i="12"/>
  <c r="S97" i="12"/>
  <c r="R97" i="12"/>
  <c r="Q97" i="12"/>
  <c r="P97" i="12"/>
  <c r="O97" i="12"/>
  <c r="N97" i="12"/>
  <c r="M97" i="12"/>
  <c r="L97" i="12"/>
  <c r="K97" i="12"/>
  <c r="J97" i="12"/>
  <c r="I97" i="12"/>
  <c r="H97" i="12"/>
  <c r="G97" i="12"/>
  <c r="F97" i="12"/>
  <c r="E97" i="12"/>
  <c r="D97" i="12"/>
  <c r="AC96" i="12"/>
  <c r="AB96" i="12"/>
  <c r="AA96" i="12"/>
  <c r="Z96" i="12"/>
  <c r="Y96" i="12"/>
  <c r="X96" i="12"/>
  <c r="W96" i="12"/>
  <c r="V96" i="12"/>
  <c r="U96" i="12"/>
  <c r="T96" i="12"/>
  <c r="S96" i="12"/>
  <c r="R96" i="12"/>
  <c r="Q96" i="12"/>
  <c r="P96" i="12"/>
  <c r="O96" i="12"/>
  <c r="N96" i="12"/>
  <c r="M96" i="12"/>
  <c r="L96" i="12"/>
  <c r="K96" i="12"/>
  <c r="J96" i="12"/>
  <c r="I96" i="12"/>
  <c r="H96" i="12"/>
  <c r="G96" i="12"/>
  <c r="F96" i="12"/>
  <c r="E96" i="12"/>
  <c r="D96" i="12"/>
  <c r="AC95" i="12"/>
  <c r="AB95" i="12"/>
  <c r="AA95" i="12"/>
  <c r="Z95" i="12"/>
  <c r="Y95" i="12"/>
  <c r="X95" i="12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AC94" i="12"/>
  <c r="AB94" i="12"/>
  <c r="AA94" i="12"/>
  <c r="Z94" i="12"/>
  <c r="Y94" i="12"/>
  <c r="X94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AC106" i="16"/>
  <c r="AB106" i="16"/>
  <c r="AA106" i="16"/>
  <c r="Z106" i="16"/>
  <c r="Y106" i="16"/>
  <c r="X106" i="16"/>
  <c r="W106" i="16"/>
  <c r="V106" i="16"/>
  <c r="U106" i="16"/>
  <c r="T106" i="16"/>
  <c r="S106" i="16"/>
  <c r="R106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AC105" i="16"/>
  <c r="AB105" i="16"/>
  <c r="AA105" i="16"/>
  <c r="Z105" i="16"/>
  <c r="Y105" i="16"/>
  <c r="X105" i="16"/>
  <c r="W105" i="16"/>
  <c r="V105" i="16"/>
  <c r="U105" i="16"/>
  <c r="T105" i="16"/>
  <c r="S105" i="16"/>
  <c r="R105" i="16"/>
  <c r="Q105" i="16"/>
  <c r="P105" i="16"/>
  <c r="O105" i="16"/>
  <c r="N105" i="16"/>
  <c r="M105" i="16"/>
  <c r="L105" i="16"/>
  <c r="K105" i="16"/>
  <c r="J105" i="16"/>
  <c r="I105" i="16"/>
  <c r="H105" i="16"/>
  <c r="G105" i="16"/>
  <c r="F105" i="16"/>
  <c r="E105" i="16"/>
  <c r="D105" i="16"/>
  <c r="AC104" i="16"/>
  <c r="AB104" i="16"/>
  <c r="AA104" i="16"/>
  <c r="Z104" i="16"/>
  <c r="Y104" i="16"/>
  <c r="X104" i="16"/>
  <c r="W104" i="16"/>
  <c r="W110" i="16" s="1"/>
  <c r="V104" i="16"/>
  <c r="U104" i="16"/>
  <c r="T104" i="16"/>
  <c r="S104" i="16"/>
  <c r="R104" i="16"/>
  <c r="Q104" i="16"/>
  <c r="P104" i="16"/>
  <c r="O104" i="16"/>
  <c r="N104" i="16"/>
  <c r="M104" i="16"/>
  <c r="L104" i="16"/>
  <c r="K104" i="16"/>
  <c r="K110" i="16" s="1"/>
  <c r="J104" i="16"/>
  <c r="I104" i="16"/>
  <c r="H104" i="16"/>
  <c r="G104" i="16"/>
  <c r="F104" i="16"/>
  <c r="E104" i="16"/>
  <c r="D104" i="16"/>
  <c r="AC103" i="16"/>
  <c r="AB103" i="16"/>
  <c r="AA103" i="16"/>
  <c r="Z103" i="16"/>
  <c r="Y103" i="16"/>
  <c r="X103" i="16"/>
  <c r="W103" i="16"/>
  <c r="V103" i="16"/>
  <c r="U103" i="16"/>
  <c r="T103" i="16"/>
  <c r="S103" i="16"/>
  <c r="R103" i="16"/>
  <c r="Q103" i="16"/>
  <c r="P103" i="16"/>
  <c r="O103" i="16"/>
  <c r="N103" i="16"/>
  <c r="M103" i="16"/>
  <c r="L103" i="16"/>
  <c r="K103" i="16"/>
  <c r="J103" i="16"/>
  <c r="J110" i="16" s="1"/>
  <c r="I103" i="16"/>
  <c r="H103" i="16"/>
  <c r="G103" i="16"/>
  <c r="F103" i="16"/>
  <c r="E103" i="16"/>
  <c r="D103" i="16"/>
  <c r="AC102" i="16"/>
  <c r="AB102" i="16"/>
  <c r="AA102" i="16"/>
  <c r="Z102" i="16"/>
  <c r="Y102" i="16"/>
  <c r="X102" i="16"/>
  <c r="W102" i="16"/>
  <c r="V102" i="16"/>
  <c r="U102" i="16"/>
  <c r="U110" i="16" s="1"/>
  <c r="T102" i="16"/>
  <c r="S102" i="16"/>
  <c r="S110" i="16" s="1"/>
  <c r="R102" i="16"/>
  <c r="Q102" i="16"/>
  <c r="P102" i="16"/>
  <c r="O102" i="16"/>
  <c r="N102" i="16"/>
  <c r="M102" i="16"/>
  <c r="L102" i="16"/>
  <c r="K102" i="16"/>
  <c r="J102" i="16"/>
  <c r="I102" i="16"/>
  <c r="I110" i="16" s="1"/>
  <c r="H102" i="16"/>
  <c r="G102" i="16"/>
  <c r="G110" i="16" s="1"/>
  <c r="F102" i="16"/>
  <c r="E102" i="16"/>
  <c r="D102" i="16"/>
  <c r="AC101" i="16"/>
  <c r="AB101" i="16"/>
  <c r="AA101" i="16"/>
  <c r="Z101" i="16"/>
  <c r="Y101" i="16"/>
  <c r="X101" i="16"/>
  <c r="W101" i="16"/>
  <c r="V101" i="16"/>
  <c r="U101" i="16"/>
  <c r="T101" i="16"/>
  <c r="S101" i="16"/>
  <c r="R101" i="16"/>
  <c r="Q101" i="16"/>
  <c r="P101" i="16"/>
  <c r="O101" i="16"/>
  <c r="O108" i="16" s="1"/>
  <c r="N101" i="16"/>
  <c r="N108" i="16" s="1"/>
  <c r="M101" i="16"/>
  <c r="L101" i="16"/>
  <c r="K101" i="16"/>
  <c r="J101" i="16"/>
  <c r="I101" i="16"/>
  <c r="H101" i="16"/>
  <c r="G101" i="16"/>
  <c r="F101" i="16"/>
  <c r="E101" i="16"/>
  <c r="D101" i="16"/>
  <c r="AC100" i="16"/>
  <c r="AB100" i="16"/>
  <c r="AB108" i="16" s="1"/>
  <c r="AA100" i="16"/>
  <c r="Z100" i="16"/>
  <c r="Y100" i="16"/>
  <c r="Y108" i="16" s="1"/>
  <c r="X100" i="16"/>
  <c r="W100" i="16"/>
  <c r="W108" i="16" s="1"/>
  <c r="V100" i="16"/>
  <c r="U100" i="16"/>
  <c r="T100" i="16"/>
  <c r="T108" i="16" s="1"/>
  <c r="S100" i="16"/>
  <c r="S108" i="16" s="1"/>
  <c r="R100" i="16"/>
  <c r="Q100" i="16"/>
  <c r="P100" i="16"/>
  <c r="P108" i="16" s="1"/>
  <c r="O100" i="16"/>
  <c r="N100" i="16"/>
  <c r="M100" i="16"/>
  <c r="M108" i="16" s="1"/>
  <c r="L100" i="16"/>
  <c r="K100" i="16"/>
  <c r="K108" i="16" s="1"/>
  <c r="J100" i="16"/>
  <c r="I100" i="16"/>
  <c r="H100" i="16"/>
  <c r="H108" i="16" s="1"/>
  <c r="G100" i="16"/>
  <c r="G108" i="16" s="1"/>
  <c r="F100" i="16"/>
  <c r="E100" i="16"/>
  <c r="D100" i="16"/>
  <c r="AC99" i="16"/>
  <c r="AB99" i="16"/>
  <c r="AA99" i="16"/>
  <c r="Z99" i="16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AC98" i="16"/>
  <c r="AB98" i="16"/>
  <c r="AA98" i="16"/>
  <c r="Z98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AC97" i="16"/>
  <c r="AB97" i="16"/>
  <c r="AA97" i="16"/>
  <c r="Z97" i="16"/>
  <c r="Y97" i="16"/>
  <c r="X97" i="16"/>
  <c r="W97" i="16"/>
  <c r="V97" i="16"/>
  <c r="U97" i="16"/>
  <c r="T97" i="16"/>
  <c r="S97" i="16"/>
  <c r="R97" i="16"/>
  <c r="Q97" i="16"/>
  <c r="P97" i="16"/>
  <c r="O97" i="16"/>
  <c r="N97" i="16"/>
  <c r="M97" i="16"/>
  <c r="L97" i="16"/>
  <c r="K97" i="16"/>
  <c r="J97" i="16"/>
  <c r="I97" i="16"/>
  <c r="H97" i="16"/>
  <c r="G97" i="16"/>
  <c r="F97" i="16"/>
  <c r="E97" i="16"/>
  <c r="D97" i="16"/>
  <c r="AC96" i="16"/>
  <c r="AB96" i="16"/>
  <c r="AA96" i="16"/>
  <c r="Z96" i="16"/>
  <c r="Y96" i="16"/>
  <c r="X96" i="16"/>
  <c r="W96" i="16"/>
  <c r="V96" i="16"/>
  <c r="U96" i="16"/>
  <c r="T96" i="16"/>
  <c r="S96" i="16"/>
  <c r="R96" i="16"/>
  <c r="Q96" i="16"/>
  <c r="P96" i="16"/>
  <c r="O96" i="16"/>
  <c r="N96" i="16"/>
  <c r="M96" i="16"/>
  <c r="L96" i="16"/>
  <c r="K96" i="16"/>
  <c r="J96" i="16"/>
  <c r="I96" i="16"/>
  <c r="H96" i="16"/>
  <c r="G96" i="16"/>
  <c r="F96" i="16"/>
  <c r="E96" i="16"/>
  <c r="D96" i="16"/>
  <c r="AC95" i="16"/>
  <c r="AB95" i="16"/>
  <c r="AA95" i="16"/>
  <c r="Z95" i="16"/>
  <c r="Y95" i="16"/>
  <c r="X95" i="16"/>
  <c r="W95" i="16"/>
  <c r="V95" i="16"/>
  <c r="U95" i="16"/>
  <c r="T95" i="16"/>
  <c r="S95" i="16"/>
  <c r="R95" i="16"/>
  <c r="Q95" i="16"/>
  <c r="P95" i="16"/>
  <c r="O95" i="16"/>
  <c r="N95" i="16"/>
  <c r="M95" i="16"/>
  <c r="L95" i="16"/>
  <c r="K95" i="16"/>
  <c r="J95" i="16"/>
  <c r="I95" i="16"/>
  <c r="H95" i="16"/>
  <c r="G95" i="16"/>
  <c r="F95" i="16"/>
  <c r="E95" i="16"/>
  <c r="D95" i="16"/>
  <c r="AC94" i="16"/>
  <c r="AB94" i="16"/>
  <c r="AA94" i="16"/>
  <c r="Z94" i="16"/>
  <c r="Y94" i="16"/>
  <c r="X94" i="16"/>
  <c r="W94" i="16"/>
  <c r="W109" i="16" s="1"/>
  <c r="V94" i="16"/>
  <c r="U94" i="16"/>
  <c r="T94" i="16"/>
  <c r="S94" i="16"/>
  <c r="R94" i="16"/>
  <c r="Q94" i="16"/>
  <c r="P94" i="16"/>
  <c r="O94" i="16"/>
  <c r="N94" i="16"/>
  <c r="M94" i="16"/>
  <c r="L94" i="16"/>
  <c r="K94" i="16"/>
  <c r="K109" i="16" s="1"/>
  <c r="J94" i="16"/>
  <c r="I94" i="16"/>
  <c r="H94" i="16"/>
  <c r="G94" i="16"/>
  <c r="F94" i="16"/>
  <c r="E94" i="16"/>
  <c r="D94" i="16"/>
  <c r="D112" i="16" s="1"/>
  <c r="AC106" i="13"/>
  <c r="AB106" i="13"/>
  <c r="AA106" i="13"/>
  <c r="Z106" i="13"/>
  <c r="Y106" i="13"/>
  <c r="X106" i="13"/>
  <c r="W106" i="13"/>
  <c r="V106" i="13"/>
  <c r="U106" i="13"/>
  <c r="T106" i="13"/>
  <c r="S106" i="13"/>
  <c r="R106" i="13"/>
  <c r="Q106" i="13"/>
  <c r="P106" i="13"/>
  <c r="O106" i="13"/>
  <c r="N106" i="13"/>
  <c r="M106" i="13"/>
  <c r="L106" i="13"/>
  <c r="K106" i="13"/>
  <c r="J106" i="13"/>
  <c r="I106" i="13"/>
  <c r="H106" i="13"/>
  <c r="G106" i="13"/>
  <c r="F106" i="13"/>
  <c r="E106" i="13"/>
  <c r="D106" i="13"/>
  <c r="AC105" i="13"/>
  <c r="AB105" i="13"/>
  <c r="AA105" i="13"/>
  <c r="Z105" i="13"/>
  <c r="Y105" i="13"/>
  <c r="X105" i="13"/>
  <c r="W105" i="13"/>
  <c r="V105" i="13"/>
  <c r="U105" i="13"/>
  <c r="T105" i="13"/>
  <c r="S105" i="13"/>
  <c r="R105" i="13"/>
  <c r="Q105" i="13"/>
  <c r="P105" i="13"/>
  <c r="O105" i="13"/>
  <c r="N105" i="13"/>
  <c r="M105" i="13"/>
  <c r="L105" i="13"/>
  <c r="K105" i="13"/>
  <c r="J105" i="13"/>
  <c r="I105" i="13"/>
  <c r="H105" i="13"/>
  <c r="G105" i="13"/>
  <c r="F105" i="13"/>
  <c r="E105" i="13"/>
  <c r="D105" i="13"/>
  <c r="AC104" i="13"/>
  <c r="AB104" i="13"/>
  <c r="AA104" i="13"/>
  <c r="Z104" i="13"/>
  <c r="Y104" i="13"/>
  <c r="X104" i="13"/>
  <c r="W104" i="13"/>
  <c r="V104" i="13"/>
  <c r="U104" i="13"/>
  <c r="T104" i="13"/>
  <c r="S104" i="13"/>
  <c r="R104" i="13"/>
  <c r="Q104" i="13"/>
  <c r="P104" i="13"/>
  <c r="O104" i="13"/>
  <c r="N104" i="13"/>
  <c r="M104" i="13"/>
  <c r="L104" i="13"/>
  <c r="K104" i="13"/>
  <c r="J104" i="13"/>
  <c r="I104" i="13"/>
  <c r="H104" i="13"/>
  <c r="G104" i="13"/>
  <c r="F104" i="13"/>
  <c r="E104" i="13"/>
  <c r="D104" i="13"/>
  <c r="AC103" i="13"/>
  <c r="AB103" i="13"/>
  <c r="AA103" i="13"/>
  <c r="Z103" i="13"/>
  <c r="Y103" i="13"/>
  <c r="X103" i="13"/>
  <c r="W103" i="13"/>
  <c r="V103" i="13"/>
  <c r="U103" i="13"/>
  <c r="T103" i="13"/>
  <c r="S103" i="13"/>
  <c r="R103" i="13"/>
  <c r="Q103" i="13"/>
  <c r="P103" i="13"/>
  <c r="O103" i="13"/>
  <c r="N103" i="13"/>
  <c r="M103" i="13"/>
  <c r="L103" i="13"/>
  <c r="K103" i="13"/>
  <c r="J103" i="13"/>
  <c r="I103" i="13"/>
  <c r="H103" i="13"/>
  <c r="G103" i="13"/>
  <c r="F103" i="13"/>
  <c r="E103" i="13"/>
  <c r="D103" i="13"/>
  <c r="AC102" i="13"/>
  <c r="AB102" i="13"/>
  <c r="AB110" i="13" s="1"/>
  <c r="AA102" i="13"/>
  <c r="Z102" i="13"/>
  <c r="Y102" i="13"/>
  <c r="X102" i="13"/>
  <c r="W102" i="13"/>
  <c r="V102" i="13"/>
  <c r="U102" i="13"/>
  <c r="U110" i="13" s="1"/>
  <c r="T102" i="13"/>
  <c r="S102" i="13"/>
  <c r="R102" i="13"/>
  <c r="R110" i="13" s="1"/>
  <c r="Q102" i="13"/>
  <c r="P102" i="13"/>
  <c r="P110" i="13" s="1"/>
  <c r="O102" i="13"/>
  <c r="N102" i="13"/>
  <c r="M102" i="13"/>
  <c r="L102" i="13"/>
  <c r="K102" i="13"/>
  <c r="J102" i="13"/>
  <c r="I102" i="13"/>
  <c r="I110" i="13" s="1"/>
  <c r="H102" i="13"/>
  <c r="G102" i="13"/>
  <c r="F102" i="13"/>
  <c r="F110" i="13" s="1"/>
  <c r="E102" i="13"/>
  <c r="D102" i="13"/>
  <c r="D110" i="13" s="1"/>
  <c r="AC101" i="13"/>
  <c r="AB101" i="13"/>
  <c r="AA101" i="13"/>
  <c r="Z101" i="13"/>
  <c r="Y101" i="13"/>
  <c r="X101" i="13"/>
  <c r="W101" i="13"/>
  <c r="V101" i="13"/>
  <c r="U101" i="13"/>
  <c r="T101" i="13"/>
  <c r="S101" i="13"/>
  <c r="R101" i="13"/>
  <c r="Q101" i="13"/>
  <c r="P101" i="13"/>
  <c r="O101" i="13"/>
  <c r="N101" i="13"/>
  <c r="M101" i="13"/>
  <c r="L101" i="13"/>
  <c r="K101" i="13"/>
  <c r="J101" i="13"/>
  <c r="I101" i="13"/>
  <c r="H101" i="13"/>
  <c r="G101" i="13"/>
  <c r="F101" i="13"/>
  <c r="E101" i="13"/>
  <c r="D101" i="13"/>
  <c r="AC100" i="13"/>
  <c r="AB100" i="13"/>
  <c r="AA100" i="13"/>
  <c r="Z100" i="13"/>
  <c r="Y100" i="13"/>
  <c r="Y108" i="13" s="1"/>
  <c r="X100" i="13"/>
  <c r="W100" i="13"/>
  <c r="V100" i="13"/>
  <c r="V108" i="13" s="1"/>
  <c r="U100" i="13"/>
  <c r="U108" i="13" s="1"/>
  <c r="T100" i="13"/>
  <c r="T108" i="13" s="1"/>
  <c r="S100" i="13"/>
  <c r="R100" i="13"/>
  <c r="Q100" i="13"/>
  <c r="P100" i="13"/>
  <c r="O100" i="13"/>
  <c r="N100" i="13"/>
  <c r="M100" i="13"/>
  <c r="M108" i="13" s="1"/>
  <c r="L100" i="13"/>
  <c r="K100" i="13"/>
  <c r="J100" i="13"/>
  <c r="J108" i="13" s="1"/>
  <c r="I100" i="13"/>
  <c r="I108" i="13" s="1"/>
  <c r="H100" i="13"/>
  <c r="H108" i="13" s="1"/>
  <c r="G100" i="13"/>
  <c r="F100" i="13"/>
  <c r="E100" i="13"/>
  <c r="D100" i="13"/>
  <c r="AC99" i="13"/>
  <c r="AB99" i="13"/>
  <c r="AA99" i="13"/>
  <c r="Z99" i="13"/>
  <c r="Y99" i="13"/>
  <c r="X99" i="13"/>
  <c r="W99" i="13"/>
  <c r="V99" i="13"/>
  <c r="U99" i="13"/>
  <c r="T99" i="13"/>
  <c r="S99" i="13"/>
  <c r="R99" i="13"/>
  <c r="Q99" i="13"/>
  <c r="P99" i="13"/>
  <c r="O99" i="13"/>
  <c r="N99" i="13"/>
  <c r="M99" i="13"/>
  <c r="L99" i="13"/>
  <c r="K99" i="13"/>
  <c r="J99" i="13"/>
  <c r="I99" i="13"/>
  <c r="H99" i="13"/>
  <c r="G99" i="13"/>
  <c r="F99" i="13"/>
  <c r="E99" i="13"/>
  <c r="D99" i="13"/>
  <c r="AC98" i="13"/>
  <c r="AB98" i="13"/>
  <c r="AA98" i="13"/>
  <c r="Z98" i="13"/>
  <c r="Y98" i="13"/>
  <c r="X98" i="13"/>
  <c r="W98" i="13"/>
  <c r="V98" i="13"/>
  <c r="U98" i="13"/>
  <c r="T98" i="13"/>
  <c r="S98" i="13"/>
  <c r="R98" i="13"/>
  <c r="Q98" i="13"/>
  <c r="P98" i="13"/>
  <c r="O98" i="13"/>
  <c r="N98" i="13"/>
  <c r="M98" i="13"/>
  <c r="L98" i="13"/>
  <c r="K98" i="13"/>
  <c r="J98" i="13"/>
  <c r="I98" i="13"/>
  <c r="H98" i="13"/>
  <c r="G98" i="13"/>
  <c r="F98" i="13"/>
  <c r="E98" i="13"/>
  <c r="D98" i="13"/>
  <c r="AC97" i="13"/>
  <c r="AB97" i="13"/>
  <c r="AA97" i="13"/>
  <c r="Z97" i="13"/>
  <c r="Y97" i="13"/>
  <c r="X97" i="13"/>
  <c r="W97" i="13"/>
  <c r="V97" i="13"/>
  <c r="U97" i="13"/>
  <c r="T97" i="13"/>
  <c r="S97" i="13"/>
  <c r="R97" i="13"/>
  <c r="Q97" i="13"/>
  <c r="P97" i="13"/>
  <c r="O97" i="13"/>
  <c r="N97" i="13"/>
  <c r="M97" i="13"/>
  <c r="L97" i="13"/>
  <c r="K97" i="13"/>
  <c r="J97" i="13"/>
  <c r="I97" i="13"/>
  <c r="H97" i="13"/>
  <c r="G97" i="13"/>
  <c r="F97" i="13"/>
  <c r="E97" i="13"/>
  <c r="D97" i="13"/>
  <c r="AC96" i="13"/>
  <c r="AB96" i="13"/>
  <c r="AA96" i="13"/>
  <c r="Z96" i="13"/>
  <c r="Y96" i="13"/>
  <c r="X96" i="13"/>
  <c r="W96" i="13"/>
  <c r="V96" i="13"/>
  <c r="U96" i="13"/>
  <c r="T96" i="13"/>
  <c r="S96" i="13"/>
  <c r="R96" i="13"/>
  <c r="Q96" i="13"/>
  <c r="P96" i="13"/>
  <c r="O96" i="13"/>
  <c r="N96" i="13"/>
  <c r="M96" i="13"/>
  <c r="L96" i="13"/>
  <c r="K96" i="13"/>
  <c r="J96" i="13"/>
  <c r="I96" i="13"/>
  <c r="H96" i="13"/>
  <c r="G96" i="13"/>
  <c r="F96" i="13"/>
  <c r="E96" i="13"/>
  <c r="D96" i="13"/>
  <c r="AC95" i="13"/>
  <c r="AB95" i="13"/>
  <c r="AA95" i="13"/>
  <c r="Z95" i="13"/>
  <c r="Y95" i="13"/>
  <c r="X95" i="13"/>
  <c r="W95" i="13"/>
  <c r="V95" i="13"/>
  <c r="U95" i="13"/>
  <c r="T95" i="13"/>
  <c r="S95" i="13"/>
  <c r="R95" i="13"/>
  <c r="Q95" i="13"/>
  <c r="P95" i="13"/>
  <c r="O95" i="13"/>
  <c r="N95" i="13"/>
  <c r="M95" i="13"/>
  <c r="L95" i="13"/>
  <c r="K95" i="13"/>
  <c r="J95" i="13"/>
  <c r="I95" i="13"/>
  <c r="H95" i="13"/>
  <c r="G95" i="13"/>
  <c r="F95" i="13"/>
  <c r="E95" i="13"/>
  <c r="D95" i="13"/>
  <c r="AC94" i="13"/>
  <c r="AB94" i="13"/>
  <c r="AA94" i="13"/>
  <c r="Z94" i="13"/>
  <c r="Y94" i="13"/>
  <c r="X94" i="13"/>
  <c r="W94" i="13"/>
  <c r="V94" i="13"/>
  <c r="U94" i="13"/>
  <c r="T94" i="13"/>
  <c r="T109" i="13" s="1"/>
  <c r="S94" i="13"/>
  <c r="R94" i="13"/>
  <c r="Q94" i="13"/>
  <c r="P94" i="13"/>
  <c r="O94" i="13"/>
  <c r="N94" i="13"/>
  <c r="M94" i="13"/>
  <c r="L94" i="13"/>
  <c r="K94" i="13"/>
  <c r="J94" i="13"/>
  <c r="I94" i="13"/>
  <c r="H94" i="13"/>
  <c r="H109" i="13" s="1"/>
  <c r="G94" i="13"/>
  <c r="F94" i="13"/>
  <c r="E94" i="13"/>
  <c r="D94" i="13"/>
  <c r="D94" i="14"/>
  <c r="AC106" i="14"/>
  <c r="AB106" i="14"/>
  <c r="AA106" i="14"/>
  <c r="Z106" i="14"/>
  <c r="Y106" i="14"/>
  <c r="X106" i="14"/>
  <c r="W106" i="14"/>
  <c r="V106" i="14"/>
  <c r="U106" i="14"/>
  <c r="T106" i="14"/>
  <c r="S106" i="14"/>
  <c r="R106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AC105" i="14"/>
  <c r="AB105" i="14"/>
  <c r="AA105" i="14"/>
  <c r="Z105" i="14"/>
  <c r="Y105" i="14"/>
  <c r="X105" i="14"/>
  <c r="W105" i="14"/>
  <c r="V105" i="14"/>
  <c r="U105" i="14"/>
  <c r="T105" i="14"/>
  <c r="S105" i="14"/>
  <c r="R105" i="14"/>
  <c r="Q105" i="14"/>
  <c r="P105" i="14"/>
  <c r="O105" i="14"/>
  <c r="N105" i="14"/>
  <c r="M105" i="14"/>
  <c r="L105" i="14"/>
  <c r="K105" i="14"/>
  <c r="J105" i="14"/>
  <c r="I105" i="14"/>
  <c r="H105" i="14"/>
  <c r="G105" i="14"/>
  <c r="F105" i="14"/>
  <c r="E105" i="14"/>
  <c r="D105" i="14"/>
  <c r="AC104" i="14"/>
  <c r="AB104" i="14"/>
  <c r="AA104" i="14"/>
  <c r="Z104" i="14"/>
  <c r="Y104" i="14"/>
  <c r="X104" i="14"/>
  <c r="W104" i="14"/>
  <c r="V104" i="14"/>
  <c r="U104" i="14"/>
  <c r="T104" i="14"/>
  <c r="S104" i="14"/>
  <c r="R104" i="14"/>
  <c r="Q104" i="14"/>
  <c r="P104" i="14"/>
  <c r="O104" i="14"/>
  <c r="N104" i="14"/>
  <c r="M104" i="14"/>
  <c r="L104" i="14"/>
  <c r="K104" i="14"/>
  <c r="J104" i="14"/>
  <c r="I104" i="14"/>
  <c r="H104" i="14"/>
  <c r="G104" i="14"/>
  <c r="F104" i="14"/>
  <c r="E104" i="14"/>
  <c r="D104" i="14"/>
  <c r="AC103" i="14"/>
  <c r="AB103" i="14"/>
  <c r="AA103" i="14"/>
  <c r="Z103" i="14"/>
  <c r="Y103" i="14"/>
  <c r="X103" i="14"/>
  <c r="W103" i="14"/>
  <c r="V103" i="14"/>
  <c r="U103" i="14"/>
  <c r="T103" i="14"/>
  <c r="S103" i="14"/>
  <c r="R103" i="14"/>
  <c r="Q103" i="14"/>
  <c r="P103" i="14"/>
  <c r="O103" i="14"/>
  <c r="N103" i="14"/>
  <c r="M103" i="14"/>
  <c r="L103" i="14"/>
  <c r="K103" i="14"/>
  <c r="J103" i="14"/>
  <c r="I103" i="14"/>
  <c r="H103" i="14"/>
  <c r="G103" i="14"/>
  <c r="F103" i="14"/>
  <c r="E103" i="14"/>
  <c r="D103" i="14"/>
  <c r="AC102" i="14"/>
  <c r="AB102" i="14"/>
  <c r="AA102" i="14"/>
  <c r="Z102" i="14"/>
  <c r="Z110" i="14" s="1"/>
  <c r="Y102" i="14"/>
  <c r="X102" i="14"/>
  <c r="W102" i="14"/>
  <c r="V102" i="14"/>
  <c r="U102" i="14"/>
  <c r="T102" i="14"/>
  <c r="S102" i="14"/>
  <c r="R102" i="14"/>
  <c r="Q102" i="14"/>
  <c r="P102" i="14"/>
  <c r="O102" i="14"/>
  <c r="N102" i="14"/>
  <c r="N110" i="14" s="1"/>
  <c r="M102" i="14"/>
  <c r="L102" i="14"/>
  <c r="K102" i="14"/>
  <c r="J102" i="14"/>
  <c r="I102" i="14"/>
  <c r="H102" i="14"/>
  <c r="G102" i="14"/>
  <c r="F102" i="14"/>
  <c r="E102" i="14"/>
  <c r="D102" i="14"/>
  <c r="AC101" i="14"/>
  <c r="AB101" i="14"/>
  <c r="AA101" i="14"/>
  <c r="Z101" i="14"/>
  <c r="Y101" i="14"/>
  <c r="X101" i="14"/>
  <c r="W101" i="14"/>
  <c r="V101" i="14"/>
  <c r="U101" i="14"/>
  <c r="T101" i="14"/>
  <c r="S101" i="14"/>
  <c r="R101" i="14"/>
  <c r="Q101" i="14"/>
  <c r="P101" i="14"/>
  <c r="O101" i="14"/>
  <c r="N101" i="14"/>
  <c r="M101" i="14"/>
  <c r="L101" i="14"/>
  <c r="K101" i="14"/>
  <c r="J101" i="14"/>
  <c r="I101" i="14"/>
  <c r="H101" i="14"/>
  <c r="G101" i="14"/>
  <c r="F101" i="14"/>
  <c r="E101" i="14"/>
  <c r="D101" i="14"/>
  <c r="AC100" i="14"/>
  <c r="AB100" i="14"/>
  <c r="AA100" i="14"/>
  <c r="AA108" i="14" s="1"/>
  <c r="Z100" i="14"/>
  <c r="Y100" i="14"/>
  <c r="X100" i="14"/>
  <c r="W100" i="14"/>
  <c r="V100" i="14"/>
  <c r="U100" i="14"/>
  <c r="T100" i="14"/>
  <c r="S100" i="14"/>
  <c r="R100" i="14"/>
  <c r="R108" i="14" s="1"/>
  <c r="Q100" i="14"/>
  <c r="P100" i="14"/>
  <c r="O100" i="14"/>
  <c r="O108" i="14" s="1"/>
  <c r="N100" i="14"/>
  <c r="M100" i="14"/>
  <c r="L100" i="14"/>
  <c r="K100" i="14"/>
  <c r="J100" i="14"/>
  <c r="I100" i="14"/>
  <c r="H100" i="14"/>
  <c r="G100" i="14"/>
  <c r="F100" i="14"/>
  <c r="F108" i="14" s="1"/>
  <c r="E100" i="14"/>
  <c r="D100" i="14"/>
  <c r="AC99" i="14"/>
  <c r="AB99" i="14"/>
  <c r="AA99" i="14"/>
  <c r="Z99" i="14"/>
  <c r="Y99" i="14"/>
  <c r="X99" i="14"/>
  <c r="W99" i="14"/>
  <c r="V99" i="14"/>
  <c r="U99" i="14"/>
  <c r="T99" i="14"/>
  <c r="S99" i="14"/>
  <c r="R99" i="14"/>
  <c r="Q99" i="14"/>
  <c r="P99" i="14"/>
  <c r="O99" i="14"/>
  <c r="N99" i="14"/>
  <c r="M99" i="14"/>
  <c r="L99" i="14"/>
  <c r="K99" i="14"/>
  <c r="J99" i="14"/>
  <c r="I99" i="14"/>
  <c r="H99" i="14"/>
  <c r="G99" i="14"/>
  <c r="F99" i="14"/>
  <c r="E99" i="14"/>
  <c r="D99" i="14"/>
  <c r="AC98" i="14"/>
  <c r="AB98" i="14"/>
  <c r="AA98" i="14"/>
  <c r="Z98" i="14"/>
  <c r="Y98" i="14"/>
  <c r="X98" i="14"/>
  <c r="W98" i="14"/>
  <c r="V98" i="14"/>
  <c r="U98" i="14"/>
  <c r="T98" i="14"/>
  <c r="S98" i="14"/>
  <c r="R98" i="14"/>
  <c r="Q98" i="14"/>
  <c r="P98" i="14"/>
  <c r="O98" i="14"/>
  <c r="N98" i="14"/>
  <c r="M98" i="14"/>
  <c r="L98" i="14"/>
  <c r="K98" i="14"/>
  <c r="J98" i="14"/>
  <c r="I98" i="14"/>
  <c r="H98" i="14"/>
  <c r="G98" i="14"/>
  <c r="F98" i="14"/>
  <c r="E98" i="14"/>
  <c r="D98" i="14"/>
  <c r="AC97" i="14"/>
  <c r="AB97" i="14"/>
  <c r="AA97" i="14"/>
  <c r="Z97" i="14"/>
  <c r="Y97" i="14"/>
  <c r="X97" i="14"/>
  <c r="W97" i="14"/>
  <c r="V97" i="14"/>
  <c r="U97" i="14"/>
  <c r="T97" i="14"/>
  <c r="S97" i="14"/>
  <c r="R97" i="14"/>
  <c r="Q97" i="14"/>
  <c r="P97" i="14"/>
  <c r="O97" i="14"/>
  <c r="N97" i="14"/>
  <c r="M97" i="14"/>
  <c r="L97" i="14"/>
  <c r="K97" i="14"/>
  <c r="J97" i="14"/>
  <c r="I97" i="14"/>
  <c r="H97" i="14"/>
  <c r="G97" i="14"/>
  <c r="F97" i="14"/>
  <c r="E97" i="14"/>
  <c r="D97" i="14"/>
  <c r="AC96" i="14"/>
  <c r="AB96" i="14"/>
  <c r="AA96" i="14"/>
  <c r="Z96" i="14"/>
  <c r="Y96" i="14"/>
  <c r="X96" i="14"/>
  <c r="W96" i="14"/>
  <c r="V96" i="14"/>
  <c r="U96" i="14"/>
  <c r="T96" i="14"/>
  <c r="S96" i="14"/>
  <c r="R96" i="14"/>
  <c r="Q96" i="14"/>
  <c r="P96" i="14"/>
  <c r="O96" i="14"/>
  <c r="N96" i="14"/>
  <c r="M96" i="14"/>
  <c r="L96" i="14"/>
  <c r="K96" i="14"/>
  <c r="J96" i="14"/>
  <c r="I96" i="14"/>
  <c r="H96" i="14"/>
  <c r="G96" i="14"/>
  <c r="F96" i="14"/>
  <c r="E96" i="14"/>
  <c r="D96" i="14"/>
  <c r="AC95" i="14"/>
  <c r="AB95" i="14"/>
  <c r="AA95" i="14"/>
  <c r="Z95" i="14"/>
  <c r="Y95" i="14"/>
  <c r="X95" i="14"/>
  <c r="W95" i="14"/>
  <c r="V95" i="14"/>
  <c r="U95" i="14"/>
  <c r="T95" i="14"/>
  <c r="S95" i="14"/>
  <c r="R95" i="14"/>
  <c r="Q95" i="14"/>
  <c r="P95" i="14"/>
  <c r="O95" i="14"/>
  <c r="N95" i="14"/>
  <c r="M95" i="14"/>
  <c r="L95" i="14"/>
  <c r="K95" i="14"/>
  <c r="J95" i="14"/>
  <c r="I95" i="14"/>
  <c r="H95" i="14"/>
  <c r="G95" i="14"/>
  <c r="F95" i="14"/>
  <c r="E95" i="14"/>
  <c r="D95" i="14"/>
  <c r="AC94" i="14"/>
  <c r="AB94" i="14"/>
  <c r="AA94" i="14"/>
  <c r="Z94" i="14"/>
  <c r="Y94" i="14"/>
  <c r="X94" i="14"/>
  <c r="W94" i="14"/>
  <c r="V94" i="14"/>
  <c r="U94" i="14"/>
  <c r="T94" i="14"/>
  <c r="S94" i="14"/>
  <c r="R94" i="14"/>
  <c r="Q94" i="14"/>
  <c r="P94" i="14"/>
  <c r="O94" i="14"/>
  <c r="N94" i="14"/>
  <c r="M94" i="14"/>
  <c r="L94" i="14"/>
  <c r="K94" i="14"/>
  <c r="J94" i="14"/>
  <c r="I94" i="14"/>
  <c r="H94" i="14"/>
  <c r="G94" i="14"/>
  <c r="F94" i="14"/>
  <c r="E94" i="14"/>
  <c r="I109" i="15"/>
  <c r="J109" i="15"/>
  <c r="K109" i="15"/>
  <c r="L109" i="15"/>
  <c r="U109" i="15"/>
  <c r="V109" i="15"/>
  <c r="W109" i="15"/>
  <c r="X109" i="15"/>
  <c r="E94" i="15"/>
  <c r="E109" i="15" s="1"/>
  <c r="F94" i="15"/>
  <c r="F112" i="15" s="1"/>
  <c r="G94" i="15"/>
  <c r="G112" i="15" s="1"/>
  <c r="H94" i="15"/>
  <c r="H109" i="15" s="1"/>
  <c r="I94" i="15"/>
  <c r="J94" i="15"/>
  <c r="J112" i="15" s="1"/>
  <c r="K94" i="15"/>
  <c r="K112" i="15" s="1"/>
  <c r="L94" i="15"/>
  <c r="M94" i="15"/>
  <c r="M109" i="15" s="1"/>
  <c r="N94" i="15"/>
  <c r="N109" i="15" s="1"/>
  <c r="O94" i="15"/>
  <c r="P94" i="15"/>
  <c r="P109" i="15" s="1"/>
  <c r="Q94" i="15"/>
  <c r="Q109" i="15" s="1"/>
  <c r="R94" i="15"/>
  <c r="R112" i="15" s="1"/>
  <c r="S94" i="15"/>
  <c r="S112" i="15" s="1"/>
  <c r="T94" i="15"/>
  <c r="T109" i="15" s="1"/>
  <c r="U94" i="15"/>
  <c r="V94" i="15"/>
  <c r="V112" i="15" s="1"/>
  <c r="W94" i="15"/>
  <c r="W112" i="15" s="1"/>
  <c r="X94" i="15"/>
  <c r="Y94" i="15"/>
  <c r="Y109" i="15" s="1"/>
  <c r="Z94" i="15"/>
  <c r="Z109" i="15" s="1"/>
  <c r="AA94" i="15"/>
  <c r="AB94" i="15"/>
  <c r="AB109" i="15" s="1"/>
  <c r="AC94" i="15"/>
  <c r="AC109" i="15" s="1"/>
  <c r="E95" i="15"/>
  <c r="F95" i="15"/>
  <c r="G95" i="15"/>
  <c r="H95" i="15"/>
  <c r="I95" i="15"/>
  <c r="I112" i="15" s="1"/>
  <c r="J95" i="15"/>
  <c r="K95" i="15"/>
  <c r="L95" i="15"/>
  <c r="M95" i="15"/>
  <c r="N95" i="15"/>
  <c r="O95" i="15"/>
  <c r="O109" i="15" s="1"/>
  <c r="P95" i="15"/>
  <c r="Q95" i="15"/>
  <c r="R95" i="15"/>
  <c r="S95" i="15"/>
  <c r="T95" i="15"/>
  <c r="U95" i="15"/>
  <c r="U112" i="15" s="1"/>
  <c r="V95" i="15"/>
  <c r="W95" i="15"/>
  <c r="X95" i="15"/>
  <c r="Y95" i="15"/>
  <c r="Z95" i="15"/>
  <c r="AA95" i="15"/>
  <c r="AA109" i="15" s="1"/>
  <c r="AB95" i="15"/>
  <c r="AC95" i="15"/>
  <c r="E96" i="15"/>
  <c r="F96" i="15"/>
  <c r="G96" i="15"/>
  <c r="H96" i="15"/>
  <c r="H112" i="15" s="1"/>
  <c r="I96" i="15"/>
  <c r="J96" i="15"/>
  <c r="K96" i="15"/>
  <c r="L96" i="15"/>
  <c r="M96" i="15"/>
  <c r="N96" i="15"/>
  <c r="O96" i="15"/>
  <c r="P96" i="15"/>
  <c r="Q96" i="15"/>
  <c r="R96" i="15"/>
  <c r="S96" i="15"/>
  <c r="T96" i="15"/>
  <c r="T112" i="15" s="1"/>
  <c r="U96" i="15"/>
  <c r="V96" i="15"/>
  <c r="W96" i="15"/>
  <c r="X96" i="15"/>
  <c r="Y96" i="15"/>
  <c r="Z96" i="15"/>
  <c r="AA96" i="15"/>
  <c r="AB96" i="15"/>
  <c r="AC96" i="15"/>
  <c r="E97" i="15"/>
  <c r="F97" i="15"/>
  <c r="G97" i="15"/>
  <c r="H97" i="15"/>
  <c r="I97" i="15"/>
  <c r="J97" i="15"/>
  <c r="K97" i="15"/>
  <c r="L97" i="15"/>
  <c r="M97" i="15"/>
  <c r="N97" i="15"/>
  <c r="O97" i="15"/>
  <c r="P97" i="15"/>
  <c r="Q97" i="15"/>
  <c r="R97" i="15"/>
  <c r="S97" i="15"/>
  <c r="T97" i="15"/>
  <c r="U97" i="15"/>
  <c r="V97" i="15"/>
  <c r="W97" i="15"/>
  <c r="X97" i="15"/>
  <c r="Y97" i="15"/>
  <c r="Z97" i="15"/>
  <c r="AA97" i="15"/>
  <c r="AB97" i="15"/>
  <c r="AC97" i="15"/>
  <c r="E98" i="15"/>
  <c r="F98" i="15"/>
  <c r="G98" i="15"/>
  <c r="H98" i="15"/>
  <c r="I98" i="15"/>
  <c r="J98" i="15"/>
  <c r="K98" i="15"/>
  <c r="L98" i="15"/>
  <c r="L112" i="15" s="1"/>
  <c r="M98" i="15"/>
  <c r="M112" i="15" s="1"/>
  <c r="N98" i="15"/>
  <c r="N112" i="15" s="1"/>
  <c r="O98" i="15"/>
  <c r="O112" i="15" s="1"/>
  <c r="P98" i="15"/>
  <c r="Q98" i="15"/>
  <c r="R98" i="15"/>
  <c r="S98" i="15"/>
  <c r="T98" i="15"/>
  <c r="U98" i="15"/>
  <c r="V98" i="15"/>
  <c r="W98" i="15"/>
  <c r="X98" i="15"/>
  <c r="X112" i="15" s="1"/>
  <c r="Y98" i="15"/>
  <c r="Y112" i="15" s="1"/>
  <c r="Z98" i="15"/>
  <c r="Z112" i="15" s="1"/>
  <c r="AA98" i="15"/>
  <c r="AA112" i="15" s="1"/>
  <c r="AB98" i="15"/>
  <c r="AC98" i="15"/>
  <c r="E99" i="15"/>
  <c r="F99" i="15"/>
  <c r="G99" i="15"/>
  <c r="H99" i="15"/>
  <c r="I99" i="15"/>
  <c r="J99" i="15"/>
  <c r="K99" i="15"/>
  <c r="L99" i="15"/>
  <c r="M99" i="15"/>
  <c r="N99" i="15"/>
  <c r="O99" i="15"/>
  <c r="P99" i="15"/>
  <c r="Q99" i="15"/>
  <c r="R99" i="15"/>
  <c r="S99" i="15"/>
  <c r="T99" i="15"/>
  <c r="U99" i="15"/>
  <c r="V99" i="15"/>
  <c r="W99" i="15"/>
  <c r="X99" i="15"/>
  <c r="Y99" i="15"/>
  <c r="Z99" i="15"/>
  <c r="AA99" i="15"/>
  <c r="AB99" i="15"/>
  <c r="AC99" i="15"/>
  <c r="E100" i="15"/>
  <c r="E108" i="15" s="1"/>
  <c r="F100" i="15"/>
  <c r="F108" i="15" s="1"/>
  <c r="G100" i="15"/>
  <c r="G108" i="15" s="1"/>
  <c r="H100" i="15"/>
  <c r="H108" i="15" s="1"/>
  <c r="I100" i="15"/>
  <c r="I108" i="15" s="1"/>
  <c r="J100" i="15"/>
  <c r="J108" i="15" s="1"/>
  <c r="K100" i="15"/>
  <c r="K108" i="15" s="1"/>
  <c r="L100" i="15"/>
  <c r="L108" i="15" s="1"/>
  <c r="M100" i="15"/>
  <c r="M108" i="15" s="1"/>
  <c r="N100" i="15"/>
  <c r="N108" i="15" s="1"/>
  <c r="O100" i="15"/>
  <c r="O108" i="15" s="1"/>
  <c r="P100" i="15"/>
  <c r="P108" i="15" s="1"/>
  <c r="Q100" i="15"/>
  <c r="Q108" i="15" s="1"/>
  <c r="R100" i="15"/>
  <c r="R108" i="15" s="1"/>
  <c r="S100" i="15"/>
  <c r="S108" i="15" s="1"/>
  <c r="T100" i="15"/>
  <c r="T108" i="15" s="1"/>
  <c r="U100" i="15"/>
  <c r="U108" i="15" s="1"/>
  <c r="V100" i="15"/>
  <c r="V108" i="15" s="1"/>
  <c r="W100" i="15"/>
  <c r="W108" i="15" s="1"/>
  <c r="X100" i="15"/>
  <c r="X108" i="15" s="1"/>
  <c r="Y100" i="15"/>
  <c r="Y108" i="15" s="1"/>
  <c r="Z100" i="15"/>
  <c r="Z108" i="15" s="1"/>
  <c r="AA100" i="15"/>
  <c r="AA108" i="15" s="1"/>
  <c r="AB100" i="15"/>
  <c r="AB108" i="15" s="1"/>
  <c r="AC100" i="15"/>
  <c r="AC108" i="15" s="1"/>
  <c r="E101" i="15"/>
  <c r="F101" i="15"/>
  <c r="G101" i="15"/>
  <c r="H101" i="15"/>
  <c r="I101" i="15"/>
  <c r="J101" i="15"/>
  <c r="K101" i="15"/>
  <c r="L101" i="15"/>
  <c r="M101" i="15"/>
  <c r="N101" i="15"/>
  <c r="O101" i="15"/>
  <c r="P101" i="15"/>
  <c r="Q101" i="15"/>
  <c r="R101" i="15"/>
  <c r="S101" i="15"/>
  <c r="T101" i="15"/>
  <c r="U101" i="15"/>
  <c r="V101" i="15"/>
  <c r="W101" i="15"/>
  <c r="X101" i="15"/>
  <c r="Y101" i="15"/>
  <c r="Z101" i="15"/>
  <c r="AA101" i="15"/>
  <c r="AB101" i="15"/>
  <c r="AC101" i="15"/>
  <c r="E102" i="15"/>
  <c r="E110" i="15" s="1"/>
  <c r="F102" i="15"/>
  <c r="F110" i="15" s="1"/>
  <c r="G102" i="15"/>
  <c r="G110" i="15" s="1"/>
  <c r="H102" i="15"/>
  <c r="H110" i="15" s="1"/>
  <c r="I102" i="15"/>
  <c r="I110" i="15" s="1"/>
  <c r="J102" i="15"/>
  <c r="J110" i="15" s="1"/>
  <c r="K102" i="15"/>
  <c r="K110" i="15" s="1"/>
  <c r="L102" i="15"/>
  <c r="L110" i="15" s="1"/>
  <c r="M102" i="15"/>
  <c r="M110" i="15" s="1"/>
  <c r="N102" i="15"/>
  <c r="N110" i="15" s="1"/>
  <c r="O102" i="15"/>
  <c r="O110" i="15" s="1"/>
  <c r="P102" i="15"/>
  <c r="P110" i="15" s="1"/>
  <c r="Q102" i="15"/>
  <c r="Q110" i="15" s="1"/>
  <c r="R102" i="15"/>
  <c r="R110" i="15" s="1"/>
  <c r="S102" i="15"/>
  <c r="S110" i="15" s="1"/>
  <c r="T102" i="15"/>
  <c r="T110" i="15" s="1"/>
  <c r="U102" i="15"/>
  <c r="U110" i="15" s="1"/>
  <c r="V102" i="15"/>
  <c r="V110" i="15" s="1"/>
  <c r="W102" i="15"/>
  <c r="W110" i="15" s="1"/>
  <c r="X102" i="15"/>
  <c r="X110" i="15" s="1"/>
  <c r="Y102" i="15"/>
  <c r="Y110" i="15" s="1"/>
  <c r="Z102" i="15"/>
  <c r="Z110" i="15" s="1"/>
  <c r="AA102" i="15"/>
  <c r="AA110" i="15" s="1"/>
  <c r="AB102" i="15"/>
  <c r="AB110" i="15" s="1"/>
  <c r="AC102" i="15"/>
  <c r="AC110" i="15" s="1"/>
  <c r="E103" i="15"/>
  <c r="F103" i="15"/>
  <c r="G103" i="15"/>
  <c r="H103" i="15"/>
  <c r="I103" i="15"/>
  <c r="J103" i="15"/>
  <c r="K103" i="15"/>
  <c r="L103" i="15"/>
  <c r="M103" i="15"/>
  <c r="N103" i="15"/>
  <c r="O103" i="15"/>
  <c r="P103" i="15"/>
  <c r="Q103" i="15"/>
  <c r="R103" i="15"/>
  <c r="S103" i="15"/>
  <c r="T103" i="15"/>
  <c r="U103" i="15"/>
  <c r="V103" i="15"/>
  <c r="W103" i="15"/>
  <c r="X103" i="15"/>
  <c r="Y103" i="15"/>
  <c r="Z103" i="15"/>
  <c r="AA103" i="15"/>
  <c r="AB103" i="15"/>
  <c r="AC103" i="15"/>
  <c r="E104" i="15"/>
  <c r="F104" i="15"/>
  <c r="G104" i="15"/>
  <c r="H104" i="15"/>
  <c r="I104" i="15"/>
  <c r="J104" i="15"/>
  <c r="K104" i="15"/>
  <c r="L104" i="15"/>
  <c r="M104" i="15"/>
  <c r="N104" i="15"/>
  <c r="O104" i="15"/>
  <c r="P104" i="15"/>
  <c r="Q104" i="15"/>
  <c r="R104" i="15"/>
  <c r="S104" i="15"/>
  <c r="T104" i="15"/>
  <c r="U104" i="15"/>
  <c r="V104" i="15"/>
  <c r="W104" i="15"/>
  <c r="X104" i="15"/>
  <c r="Y104" i="15"/>
  <c r="Z104" i="15"/>
  <c r="AA104" i="15"/>
  <c r="AB104" i="15"/>
  <c r="AC104" i="15"/>
  <c r="E105" i="15"/>
  <c r="F105" i="15"/>
  <c r="G105" i="15"/>
  <c r="H105" i="15"/>
  <c r="I105" i="15"/>
  <c r="J105" i="15"/>
  <c r="K105" i="15"/>
  <c r="L105" i="15"/>
  <c r="M105" i="15"/>
  <c r="N105" i="15"/>
  <c r="O105" i="15"/>
  <c r="P105" i="15"/>
  <c r="Q105" i="15"/>
  <c r="R105" i="15"/>
  <c r="S105" i="15"/>
  <c r="T105" i="15"/>
  <c r="U105" i="15"/>
  <c r="V105" i="15"/>
  <c r="W105" i="15"/>
  <c r="X105" i="15"/>
  <c r="Y105" i="15"/>
  <c r="Z105" i="15"/>
  <c r="AA105" i="15"/>
  <c r="AB105" i="15"/>
  <c r="AC105" i="15"/>
  <c r="E106" i="15"/>
  <c r="F106" i="15"/>
  <c r="G106" i="15"/>
  <c r="H106" i="15"/>
  <c r="I106" i="15"/>
  <c r="J106" i="15"/>
  <c r="K106" i="15"/>
  <c r="L106" i="15"/>
  <c r="M106" i="15"/>
  <c r="N106" i="15"/>
  <c r="O106" i="15"/>
  <c r="P106" i="15"/>
  <c r="Q106" i="15"/>
  <c r="R106" i="15"/>
  <c r="S106" i="15"/>
  <c r="T106" i="15"/>
  <c r="U106" i="15"/>
  <c r="V106" i="15"/>
  <c r="W106" i="15"/>
  <c r="X106" i="15"/>
  <c r="Y106" i="15"/>
  <c r="Z106" i="15"/>
  <c r="AA106" i="15"/>
  <c r="AB106" i="15"/>
  <c r="AC106" i="15"/>
  <c r="D102" i="15"/>
  <c r="D110" i="15" s="1"/>
  <c r="D103" i="15"/>
  <c r="D104" i="15"/>
  <c r="D105" i="15"/>
  <c r="D106" i="15"/>
  <c r="D95" i="15"/>
  <c r="D96" i="15"/>
  <c r="D97" i="15"/>
  <c r="D98" i="15"/>
  <c r="D99" i="15"/>
  <c r="D100" i="15"/>
  <c r="D108" i="15" s="1"/>
  <c r="D101" i="15"/>
  <c r="D94" i="15"/>
  <c r="D112" i="15" s="1"/>
  <c r="AC65" i="16"/>
  <c r="AB65" i="16"/>
  <c r="AA65" i="16"/>
  <c r="Z65" i="16"/>
  <c r="Y65" i="16"/>
  <c r="X65" i="16"/>
  <c r="W65" i="16"/>
  <c r="V65" i="16"/>
  <c r="U65" i="16"/>
  <c r="T65" i="16"/>
  <c r="S65" i="16"/>
  <c r="R65" i="16"/>
  <c r="Q65" i="16"/>
  <c r="P65" i="16"/>
  <c r="O65" i="16"/>
  <c r="N65" i="16"/>
  <c r="M65" i="16"/>
  <c r="L65" i="16"/>
  <c r="K65" i="16"/>
  <c r="J65" i="16"/>
  <c r="I65" i="16"/>
  <c r="H65" i="16"/>
  <c r="G65" i="16"/>
  <c r="F65" i="16"/>
  <c r="E65" i="16"/>
  <c r="D65" i="16"/>
  <c r="AC64" i="16"/>
  <c r="AB64" i="16"/>
  <c r="AA64" i="16"/>
  <c r="Z64" i="16"/>
  <c r="Y64" i="16"/>
  <c r="X64" i="16"/>
  <c r="W64" i="16"/>
  <c r="V64" i="16"/>
  <c r="U64" i="16"/>
  <c r="T64" i="16"/>
  <c r="S64" i="16"/>
  <c r="R64" i="16"/>
  <c r="Q64" i="16"/>
  <c r="P64" i="16"/>
  <c r="O64" i="16"/>
  <c r="N64" i="16"/>
  <c r="M64" i="16"/>
  <c r="L64" i="16"/>
  <c r="K64" i="16"/>
  <c r="J64" i="16"/>
  <c r="I64" i="16"/>
  <c r="H64" i="16"/>
  <c r="G64" i="16"/>
  <c r="F64" i="16"/>
  <c r="E64" i="16"/>
  <c r="D64" i="16"/>
  <c r="AC63" i="16"/>
  <c r="AB63" i="16"/>
  <c r="AA63" i="16"/>
  <c r="Z63" i="16"/>
  <c r="Y63" i="16"/>
  <c r="X63" i="16"/>
  <c r="W63" i="16"/>
  <c r="V63" i="16"/>
  <c r="U63" i="16"/>
  <c r="T63" i="16"/>
  <c r="S63" i="16"/>
  <c r="R63" i="16"/>
  <c r="Q63" i="16"/>
  <c r="P63" i="16"/>
  <c r="O63" i="16"/>
  <c r="N63" i="16"/>
  <c r="M63" i="16"/>
  <c r="L63" i="16"/>
  <c r="K63" i="16"/>
  <c r="J63" i="16"/>
  <c r="I63" i="16"/>
  <c r="H63" i="16"/>
  <c r="G63" i="16"/>
  <c r="F63" i="16"/>
  <c r="E63" i="16"/>
  <c r="D63" i="16"/>
  <c r="AC62" i="16"/>
  <c r="AB62" i="16"/>
  <c r="AA62" i="16"/>
  <c r="Z62" i="16"/>
  <c r="Y62" i="16"/>
  <c r="X62" i="16"/>
  <c r="W62" i="16"/>
  <c r="V62" i="16"/>
  <c r="U62" i="16"/>
  <c r="T62" i="16"/>
  <c r="S62" i="16"/>
  <c r="R62" i="16"/>
  <c r="Q62" i="16"/>
  <c r="P62" i="16"/>
  <c r="O62" i="16"/>
  <c r="N62" i="16"/>
  <c r="M62" i="16"/>
  <c r="L62" i="16"/>
  <c r="K62" i="16"/>
  <c r="J62" i="16"/>
  <c r="I62" i="16"/>
  <c r="H62" i="16"/>
  <c r="G62" i="16"/>
  <c r="F62" i="16"/>
  <c r="E62" i="16"/>
  <c r="D62" i="16"/>
  <c r="AC61" i="16"/>
  <c r="AB61" i="16"/>
  <c r="AA61" i="16"/>
  <c r="Z61" i="16"/>
  <c r="Y61" i="16"/>
  <c r="X61" i="16"/>
  <c r="W61" i="16"/>
  <c r="V61" i="16"/>
  <c r="U61" i="16"/>
  <c r="T61" i="16"/>
  <c r="S61" i="16"/>
  <c r="R61" i="16"/>
  <c r="Q61" i="16"/>
  <c r="P61" i="16"/>
  <c r="O61" i="16"/>
  <c r="N61" i="16"/>
  <c r="M61" i="16"/>
  <c r="L61" i="16"/>
  <c r="K61" i="16"/>
  <c r="J61" i="16"/>
  <c r="I61" i="16"/>
  <c r="H61" i="16"/>
  <c r="G61" i="16"/>
  <c r="F61" i="16"/>
  <c r="E61" i="16"/>
  <c r="D61" i="16"/>
  <c r="AC60" i="16"/>
  <c r="AB60" i="16"/>
  <c r="AA60" i="16"/>
  <c r="Z60" i="16"/>
  <c r="Y60" i="16"/>
  <c r="X60" i="16"/>
  <c r="W60" i="16"/>
  <c r="V60" i="16"/>
  <c r="U60" i="16"/>
  <c r="T60" i="16"/>
  <c r="S60" i="16"/>
  <c r="R60" i="16"/>
  <c r="Q60" i="16"/>
  <c r="P60" i="16"/>
  <c r="O60" i="16"/>
  <c r="N60" i="16"/>
  <c r="M60" i="16"/>
  <c r="L60" i="16"/>
  <c r="K60" i="16"/>
  <c r="J60" i="16"/>
  <c r="I60" i="16"/>
  <c r="H60" i="16"/>
  <c r="G60" i="16"/>
  <c r="F60" i="16"/>
  <c r="E60" i="16"/>
  <c r="D60" i="16"/>
  <c r="AC59" i="16"/>
  <c r="AB59" i="16"/>
  <c r="AA59" i="16"/>
  <c r="Z59" i="16"/>
  <c r="Y59" i="16"/>
  <c r="X59" i="16"/>
  <c r="W59" i="16"/>
  <c r="V59" i="16"/>
  <c r="U59" i="16"/>
  <c r="T59" i="16"/>
  <c r="S59" i="16"/>
  <c r="R59" i="16"/>
  <c r="Q59" i="16"/>
  <c r="P59" i="16"/>
  <c r="O59" i="16"/>
  <c r="N59" i="16"/>
  <c r="M59" i="16"/>
  <c r="L59" i="16"/>
  <c r="K59" i="16"/>
  <c r="J59" i="16"/>
  <c r="I59" i="16"/>
  <c r="H59" i="16"/>
  <c r="G59" i="16"/>
  <c r="F59" i="16"/>
  <c r="E59" i="16"/>
  <c r="D59" i="16"/>
  <c r="AC58" i="16"/>
  <c r="AB58" i="16"/>
  <c r="AA58" i="16"/>
  <c r="Z58" i="16"/>
  <c r="Y58" i="16"/>
  <c r="X58" i="16"/>
  <c r="W58" i="16"/>
  <c r="V58" i="16"/>
  <c r="U58" i="16"/>
  <c r="T58" i="16"/>
  <c r="S58" i="16"/>
  <c r="R58" i="16"/>
  <c r="Q58" i="16"/>
  <c r="P58" i="16"/>
  <c r="O58" i="16"/>
  <c r="N58" i="16"/>
  <c r="M58" i="16"/>
  <c r="L58" i="16"/>
  <c r="K58" i="16"/>
  <c r="J58" i="16"/>
  <c r="I58" i="16"/>
  <c r="H58" i="16"/>
  <c r="G58" i="16"/>
  <c r="F58" i="16"/>
  <c r="E58" i="16"/>
  <c r="D58" i="16"/>
  <c r="AC54" i="16"/>
  <c r="AB54" i="16"/>
  <c r="AA54" i="16"/>
  <c r="Z54" i="16"/>
  <c r="Y54" i="16"/>
  <c r="X54" i="16"/>
  <c r="W54" i="16"/>
  <c r="V54" i="16"/>
  <c r="U54" i="16"/>
  <c r="T54" i="16"/>
  <c r="S54" i="16"/>
  <c r="R54" i="16"/>
  <c r="Q54" i="16"/>
  <c r="P54" i="16"/>
  <c r="O54" i="16"/>
  <c r="N54" i="16"/>
  <c r="M54" i="16"/>
  <c r="L54" i="16"/>
  <c r="K54" i="16"/>
  <c r="J54" i="16"/>
  <c r="I54" i="16"/>
  <c r="H54" i="16"/>
  <c r="G54" i="16"/>
  <c r="F54" i="16"/>
  <c r="E54" i="16"/>
  <c r="D54" i="16"/>
  <c r="AC53" i="16"/>
  <c r="AB53" i="16"/>
  <c r="AA53" i="16"/>
  <c r="Z53" i="16"/>
  <c r="Y53" i="16"/>
  <c r="X53" i="16"/>
  <c r="W53" i="16"/>
  <c r="V53" i="16"/>
  <c r="U53" i="16"/>
  <c r="T53" i="16"/>
  <c r="S53" i="16"/>
  <c r="R53" i="16"/>
  <c r="Q53" i="16"/>
  <c r="P53" i="16"/>
  <c r="O53" i="16"/>
  <c r="N53" i="16"/>
  <c r="M53" i="16"/>
  <c r="L53" i="16"/>
  <c r="K53" i="16"/>
  <c r="J53" i="16"/>
  <c r="I53" i="16"/>
  <c r="H53" i="16"/>
  <c r="G53" i="16"/>
  <c r="F53" i="16"/>
  <c r="E53" i="16"/>
  <c r="D53" i="16"/>
  <c r="AC52" i="16"/>
  <c r="AB52" i="16"/>
  <c r="AA52" i="16"/>
  <c r="Z52" i="16"/>
  <c r="Y52" i="16"/>
  <c r="X52" i="16"/>
  <c r="W52" i="16"/>
  <c r="V52" i="16"/>
  <c r="U52" i="16"/>
  <c r="T52" i="16"/>
  <c r="S52" i="16"/>
  <c r="R52" i="16"/>
  <c r="Q52" i="16"/>
  <c r="P52" i="16"/>
  <c r="O52" i="16"/>
  <c r="N52" i="16"/>
  <c r="M52" i="16"/>
  <c r="L52" i="16"/>
  <c r="K52" i="16"/>
  <c r="J52" i="16"/>
  <c r="I52" i="16"/>
  <c r="H52" i="16"/>
  <c r="G52" i="16"/>
  <c r="F52" i="16"/>
  <c r="E52" i="16"/>
  <c r="D52" i="16"/>
  <c r="AC51" i="16"/>
  <c r="AB51" i="16"/>
  <c r="AA51" i="16"/>
  <c r="Z51" i="16"/>
  <c r="Y51" i="16"/>
  <c r="X51" i="16"/>
  <c r="W51" i="16"/>
  <c r="V51" i="16"/>
  <c r="U51" i="16"/>
  <c r="T51" i="16"/>
  <c r="S51" i="16"/>
  <c r="R51" i="16"/>
  <c r="Q51" i="16"/>
  <c r="P51" i="16"/>
  <c r="O51" i="16"/>
  <c r="N51" i="16"/>
  <c r="M51" i="16"/>
  <c r="L51" i="16"/>
  <c r="K51" i="16"/>
  <c r="J51" i="16"/>
  <c r="I51" i="16"/>
  <c r="H51" i="16"/>
  <c r="G51" i="16"/>
  <c r="F51" i="16"/>
  <c r="E51" i="16"/>
  <c r="D51" i="16"/>
  <c r="AC50" i="16"/>
  <c r="AB50" i="16"/>
  <c r="AA50" i="16"/>
  <c r="Z50" i="16"/>
  <c r="Y50" i="16"/>
  <c r="X50" i="16"/>
  <c r="W50" i="16"/>
  <c r="V50" i="16"/>
  <c r="U50" i="16"/>
  <c r="T50" i="16"/>
  <c r="S50" i="16"/>
  <c r="R50" i="16"/>
  <c r="Q50" i="16"/>
  <c r="P50" i="16"/>
  <c r="O50" i="16"/>
  <c r="N50" i="16"/>
  <c r="M50" i="16"/>
  <c r="L50" i="16"/>
  <c r="K50" i="16"/>
  <c r="J50" i="16"/>
  <c r="I50" i="16"/>
  <c r="H50" i="16"/>
  <c r="G50" i="16"/>
  <c r="F50" i="16"/>
  <c r="E50" i="16"/>
  <c r="D50" i="16"/>
  <c r="AC49" i="16"/>
  <c r="AB49" i="16"/>
  <c r="AA49" i="16"/>
  <c r="Z49" i="16"/>
  <c r="Y49" i="16"/>
  <c r="X49" i="16"/>
  <c r="W49" i="16"/>
  <c r="V49" i="16"/>
  <c r="U49" i="16"/>
  <c r="T49" i="16"/>
  <c r="S49" i="16"/>
  <c r="R49" i="16"/>
  <c r="Q49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49" i="16"/>
  <c r="AC48" i="16"/>
  <c r="AB48" i="16"/>
  <c r="AA48" i="16"/>
  <c r="Z48" i="16"/>
  <c r="Y48" i="16"/>
  <c r="X48" i="16"/>
  <c r="W48" i="16"/>
  <c r="V48" i="16"/>
  <c r="U48" i="16"/>
  <c r="T48" i="16"/>
  <c r="S48" i="16"/>
  <c r="R48" i="16"/>
  <c r="Q48" i="16"/>
  <c r="P48" i="16"/>
  <c r="O48" i="16"/>
  <c r="N48" i="16"/>
  <c r="M48" i="16"/>
  <c r="L48" i="16"/>
  <c r="K48" i="16"/>
  <c r="J48" i="16"/>
  <c r="I48" i="16"/>
  <c r="H48" i="16"/>
  <c r="G48" i="16"/>
  <c r="F48" i="16"/>
  <c r="E48" i="16"/>
  <c r="D48" i="16"/>
  <c r="AC47" i="16"/>
  <c r="AB47" i="16"/>
  <c r="AA47" i="16"/>
  <c r="Z47" i="16"/>
  <c r="Y47" i="16"/>
  <c r="X47" i="16"/>
  <c r="W47" i="16"/>
  <c r="V47" i="16"/>
  <c r="U47" i="16"/>
  <c r="T47" i="16"/>
  <c r="S47" i="16"/>
  <c r="R47" i="16"/>
  <c r="Q47" i="16"/>
  <c r="P47" i="16"/>
  <c r="O47" i="16"/>
  <c r="N47" i="16"/>
  <c r="M47" i="16"/>
  <c r="L47" i="16"/>
  <c r="K47" i="16"/>
  <c r="J47" i="16"/>
  <c r="I47" i="16"/>
  <c r="H47" i="16"/>
  <c r="G47" i="16"/>
  <c r="F47" i="16"/>
  <c r="E47" i="16"/>
  <c r="D47" i="16"/>
  <c r="AC43" i="16"/>
  <c r="AB43" i="16"/>
  <c r="AA43" i="16"/>
  <c r="Z43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AC42" i="16"/>
  <c r="AB42" i="16"/>
  <c r="AA42" i="16"/>
  <c r="Z42" i="16"/>
  <c r="Y42" i="16"/>
  <c r="X42" i="16"/>
  <c r="W42" i="16"/>
  <c r="V42" i="16"/>
  <c r="U42" i="16"/>
  <c r="T42" i="16"/>
  <c r="S42" i="16"/>
  <c r="R42" i="16"/>
  <c r="Q42" i="16"/>
  <c r="P42" i="16"/>
  <c r="O42" i="16"/>
  <c r="N42" i="16"/>
  <c r="M42" i="16"/>
  <c r="L42" i="16"/>
  <c r="K42" i="16"/>
  <c r="J42" i="16"/>
  <c r="I42" i="16"/>
  <c r="H42" i="16"/>
  <c r="G42" i="16"/>
  <c r="F42" i="16"/>
  <c r="E42" i="16"/>
  <c r="D42" i="16"/>
  <c r="AC41" i="16"/>
  <c r="AB41" i="16"/>
  <c r="AA41" i="16"/>
  <c r="Z41" i="16"/>
  <c r="Y41" i="16"/>
  <c r="X41" i="16"/>
  <c r="W41" i="16"/>
  <c r="V41" i="16"/>
  <c r="U41" i="16"/>
  <c r="T41" i="16"/>
  <c r="S41" i="16"/>
  <c r="R41" i="16"/>
  <c r="Q41" i="16"/>
  <c r="P41" i="16"/>
  <c r="O41" i="16"/>
  <c r="N41" i="16"/>
  <c r="M41" i="16"/>
  <c r="L41" i="16"/>
  <c r="K41" i="16"/>
  <c r="J41" i="16"/>
  <c r="I41" i="16"/>
  <c r="H41" i="16"/>
  <c r="G41" i="16"/>
  <c r="F41" i="16"/>
  <c r="E41" i="16"/>
  <c r="D41" i="16"/>
  <c r="AC40" i="16"/>
  <c r="AB40" i="16"/>
  <c r="AA40" i="16"/>
  <c r="Z40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AC39" i="16"/>
  <c r="AB39" i="16"/>
  <c r="AA39" i="16"/>
  <c r="Z39" i="16"/>
  <c r="Y39" i="16"/>
  <c r="X39" i="16"/>
  <c r="W39" i="16"/>
  <c r="V39" i="16"/>
  <c r="U39" i="16"/>
  <c r="T39" i="16"/>
  <c r="S39" i="16"/>
  <c r="R39" i="16"/>
  <c r="Q39" i="16"/>
  <c r="P39" i="16"/>
  <c r="O39" i="16"/>
  <c r="N39" i="16"/>
  <c r="M39" i="16"/>
  <c r="L39" i="16"/>
  <c r="K39" i="16"/>
  <c r="J39" i="16"/>
  <c r="I39" i="16"/>
  <c r="H39" i="16"/>
  <c r="G39" i="16"/>
  <c r="F39" i="16"/>
  <c r="E39" i="16"/>
  <c r="D39" i="16"/>
  <c r="AC38" i="16"/>
  <c r="AB38" i="16"/>
  <c r="AA38" i="16"/>
  <c r="Z38" i="16"/>
  <c r="Y38" i="16"/>
  <c r="X38" i="16"/>
  <c r="W38" i="16"/>
  <c r="V38" i="16"/>
  <c r="U38" i="16"/>
  <c r="T38" i="16"/>
  <c r="S38" i="16"/>
  <c r="R38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AC37" i="16"/>
  <c r="AB37" i="16"/>
  <c r="AA37" i="16"/>
  <c r="Z37" i="16"/>
  <c r="Y37" i="16"/>
  <c r="X37" i="16"/>
  <c r="X75" i="16" s="1"/>
  <c r="W37" i="16"/>
  <c r="V37" i="16"/>
  <c r="U37" i="16"/>
  <c r="T37" i="16"/>
  <c r="S37" i="16"/>
  <c r="R37" i="16"/>
  <c r="Q37" i="16"/>
  <c r="P37" i="16"/>
  <c r="O37" i="16"/>
  <c r="N37" i="16"/>
  <c r="M37" i="16"/>
  <c r="L37" i="16"/>
  <c r="L75" i="16" s="1"/>
  <c r="K37" i="16"/>
  <c r="J37" i="16"/>
  <c r="I37" i="16"/>
  <c r="H37" i="16"/>
  <c r="G37" i="16"/>
  <c r="F37" i="16"/>
  <c r="E37" i="16"/>
  <c r="D37" i="16"/>
  <c r="AC36" i="16"/>
  <c r="AB36" i="16"/>
  <c r="AA36" i="16"/>
  <c r="AA75" i="16" s="1"/>
  <c r="Z36" i="16"/>
  <c r="Z75" i="16" s="1"/>
  <c r="Y36" i="16"/>
  <c r="Y75" i="16" s="1"/>
  <c r="X36" i="16"/>
  <c r="W36" i="16"/>
  <c r="V36" i="16"/>
  <c r="V75" i="16" s="1"/>
  <c r="U36" i="16"/>
  <c r="U75" i="16" s="1"/>
  <c r="T36" i="16"/>
  <c r="T75" i="16" s="1"/>
  <c r="S36" i="16"/>
  <c r="R36" i="16"/>
  <c r="Q36" i="16"/>
  <c r="P36" i="16"/>
  <c r="O36" i="16"/>
  <c r="O75" i="16" s="1"/>
  <c r="N36" i="16"/>
  <c r="N75" i="16" s="1"/>
  <c r="M36" i="16"/>
  <c r="M75" i="16" s="1"/>
  <c r="L36" i="16"/>
  <c r="K36" i="16"/>
  <c r="J36" i="16"/>
  <c r="J75" i="16" s="1"/>
  <c r="I36" i="16"/>
  <c r="I75" i="16" s="1"/>
  <c r="H36" i="16"/>
  <c r="H75" i="16" s="1"/>
  <c r="G36" i="16"/>
  <c r="F36" i="16"/>
  <c r="E36" i="16"/>
  <c r="D36" i="16"/>
  <c r="AC65" i="15"/>
  <c r="AB65" i="15"/>
  <c r="AA65" i="15"/>
  <c r="Z65" i="15"/>
  <c r="Y65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AC64" i="15"/>
  <c r="AB64" i="15"/>
  <c r="AA64" i="15"/>
  <c r="Z64" i="15"/>
  <c r="Y64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AC63" i="15"/>
  <c r="AB63" i="15"/>
  <c r="AA63" i="15"/>
  <c r="Z63" i="15"/>
  <c r="Y63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AC62" i="15"/>
  <c r="AB62" i="15"/>
  <c r="AA62" i="15"/>
  <c r="Z62" i="15"/>
  <c r="Y62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AC61" i="15"/>
  <c r="AB61" i="15"/>
  <c r="AA61" i="15"/>
  <c r="Z61" i="15"/>
  <c r="Y61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AC60" i="15"/>
  <c r="AB60" i="15"/>
  <c r="AA60" i="15"/>
  <c r="Z60" i="15"/>
  <c r="Y60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AC59" i="15"/>
  <c r="AB59" i="15"/>
  <c r="AA59" i="15"/>
  <c r="Z59" i="15"/>
  <c r="Y59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AC58" i="15"/>
  <c r="AB58" i="15"/>
  <c r="AA58" i="15"/>
  <c r="Z58" i="15"/>
  <c r="Y58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AC54" i="15"/>
  <c r="AB54" i="15"/>
  <c r="AA54" i="15"/>
  <c r="Z54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AC53" i="15"/>
  <c r="AB53" i="15"/>
  <c r="AA53" i="15"/>
  <c r="Z53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AC52" i="15"/>
  <c r="AB52" i="15"/>
  <c r="AA52" i="15"/>
  <c r="Z52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AC51" i="15"/>
  <c r="AB51" i="15"/>
  <c r="AA51" i="15"/>
  <c r="Z51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AC50" i="15"/>
  <c r="AB50" i="15"/>
  <c r="AA50" i="15"/>
  <c r="Z50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AC49" i="15"/>
  <c r="AB49" i="15"/>
  <c r="AA49" i="15"/>
  <c r="Z49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AC48" i="15"/>
  <c r="AB48" i="15"/>
  <c r="AA48" i="15"/>
  <c r="Z48" i="15"/>
  <c r="Y48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AC47" i="15"/>
  <c r="AB47" i="15"/>
  <c r="AA47" i="15"/>
  <c r="Z47" i="15"/>
  <c r="Y47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AC43" i="15"/>
  <c r="AB43" i="15"/>
  <c r="AA43" i="15"/>
  <c r="Z43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AC42" i="15"/>
  <c r="AB42" i="15"/>
  <c r="AA42" i="15"/>
  <c r="Z42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AC41" i="15"/>
  <c r="AC75" i="15" s="1"/>
  <c r="AB41" i="15"/>
  <c r="AA41" i="15"/>
  <c r="Z41" i="15"/>
  <c r="Y41" i="15"/>
  <c r="X41" i="15"/>
  <c r="W41" i="15"/>
  <c r="V41" i="15"/>
  <c r="U41" i="15"/>
  <c r="T41" i="15"/>
  <c r="S41" i="15"/>
  <c r="R41" i="15"/>
  <c r="Q41" i="15"/>
  <c r="Q75" i="15" s="1"/>
  <c r="P41" i="15"/>
  <c r="O41" i="15"/>
  <c r="N41" i="15"/>
  <c r="M41" i="15"/>
  <c r="L41" i="15"/>
  <c r="K41" i="15"/>
  <c r="J41" i="15"/>
  <c r="I41" i="15"/>
  <c r="H41" i="15"/>
  <c r="G41" i="15"/>
  <c r="F41" i="15"/>
  <c r="E41" i="15"/>
  <c r="E75" i="15" s="1"/>
  <c r="D41" i="15"/>
  <c r="AC40" i="15"/>
  <c r="AB40" i="15"/>
  <c r="AA40" i="15"/>
  <c r="Z40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AC39" i="15"/>
  <c r="AB39" i="15"/>
  <c r="AA39" i="15"/>
  <c r="Z39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AC38" i="15"/>
  <c r="AB38" i="15"/>
  <c r="AA38" i="15"/>
  <c r="Z38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AC37" i="15"/>
  <c r="AB37" i="15"/>
  <c r="AA37" i="15"/>
  <c r="Z37" i="15"/>
  <c r="Z75" i="15" s="1"/>
  <c r="Y37" i="15"/>
  <c r="X37" i="15"/>
  <c r="W37" i="15"/>
  <c r="V37" i="15"/>
  <c r="U37" i="15"/>
  <c r="T37" i="15"/>
  <c r="S37" i="15"/>
  <c r="R37" i="15"/>
  <c r="Q37" i="15"/>
  <c r="P37" i="15"/>
  <c r="O37" i="15"/>
  <c r="N37" i="15"/>
  <c r="N75" i="15" s="1"/>
  <c r="M37" i="15"/>
  <c r="L37" i="15"/>
  <c r="K37" i="15"/>
  <c r="J37" i="15"/>
  <c r="I37" i="15"/>
  <c r="H37" i="15"/>
  <c r="G37" i="15"/>
  <c r="F37" i="15"/>
  <c r="E37" i="15"/>
  <c r="D37" i="15"/>
  <c r="AC36" i="15"/>
  <c r="AB36" i="15"/>
  <c r="AA36" i="15"/>
  <c r="Z36" i="15"/>
  <c r="Y36" i="15"/>
  <c r="X36" i="15"/>
  <c r="X75" i="15" s="1"/>
  <c r="W36" i="15"/>
  <c r="W75" i="15" s="1"/>
  <c r="V36" i="15"/>
  <c r="U36" i="15"/>
  <c r="T36" i="15"/>
  <c r="S36" i="15"/>
  <c r="S75" i="15" s="1"/>
  <c r="R36" i="15"/>
  <c r="R75" i="15" s="1"/>
  <c r="Q36" i="15"/>
  <c r="P36" i="15"/>
  <c r="O36" i="15"/>
  <c r="N36" i="15"/>
  <c r="M36" i="15"/>
  <c r="L36" i="15"/>
  <c r="L75" i="15" s="1"/>
  <c r="K36" i="15"/>
  <c r="K75" i="15" s="1"/>
  <c r="J36" i="15"/>
  <c r="I36" i="15"/>
  <c r="H36" i="15"/>
  <c r="G36" i="15"/>
  <c r="G75" i="15" s="1"/>
  <c r="F36" i="15"/>
  <c r="F75" i="15" s="1"/>
  <c r="E36" i="15"/>
  <c r="D36" i="15"/>
  <c r="D75" i="15" s="1"/>
  <c r="AC65" i="14"/>
  <c r="AB65" i="14"/>
  <c r="AA65" i="14"/>
  <c r="Z65" i="14"/>
  <c r="Y65" i="14"/>
  <c r="X65" i="14"/>
  <c r="W65" i="14"/>
  <c r="V65" i="14"/>
  <c r="U65" i="14"/>
  <c r="T65" i="14"/>
  <c r="S65" i="14"/>
  <c r="R65" i="14"/>
  <c r="Q65" i="14"/>
  <c r="P65" i="14"/>
  <c r="O65" i="14"/>
  <c r="N65" i="14"/>
  <c r="M65" i="14"/>
  <c r="L65" i="14"/>
  <c r="K65" i="14"/>
  <c r="J65" i="14"/>
  <c r="I65" i="14"/>
  <c r="H65" i="14"/>
  <c r="G65" i="14"/>
  <c r="F65" i="14"/>
  <c r="E65" i="14"/>
  <c r="D65" i="14"/>
  <c r="AC64" i="14"/>
  <c r="AB64" i="14"/>
  <c r="AA64" i="14"/>
  <c r="Z64" i="14"/>
  <c r="Y64" i="14"/>
  <c r="X64" i="14"/>
  <c r="W64" i="14"/>
  <c r="V64" i="14"/>
  <c r="U64" i="14"/>
  <c r="T64" i="14"/>
  <c r="S64" i="14"/>
  <c r="R64" i="14"/>
  <c r="Q64" i="14"/>
  <c r="P64" i="14"/>
  <c r="O64" i="14"/>
  <c r="N64" i="14"/>
  <c r="M64" i="14"/>
  <c r="L64" i="14"/>
  <c r="K64" i="14"/>
  <c r="J64" i="14"/>
  <c r="I64" i="14"/>
  <c r="H64" i="14"/>
  <c r="G64" i="14"/>
  <c r="F64" i="14"/>
  <c r="E64" i="14"/>
  <c r="D64" i="14"/>
  <c r="AC63" i="14"/>
  <c r="AB63" i="14"/>
  <c r="AA63" i="14"/>
  <c r="Z63" i="14"/>
  <c r="Y63" i="14"/>
  <c r="X63" i="14"/>
  <c r="W63" i="14"/>
  <c r="V63" i="14"/>
  <c r="U63" i="14"/>
  <c r="T63" i="14"/>
  <c r="S63" i="14"/>
  <c r="R63" i="14"/>
  <c r="Q63" i="14"/>
  <c r="P63" i="14"/>
  <c r="O63" i="14"/>
  <c r="N63" i="14"/>
  <c r="M63" i="14"/>
  <c r="L63" i="14"/>
  <c r="K63" i="14"/>
  <c r="J63" i="14"/>
  <c r="I63" i="14"/>
  <c r="H63" i="14"/>
  <c r="G63" i="14"/>
  <c r="F63" i="14"/>
  <c r="E63" i="14"/>
  <c r="D63" i="14"/>
  <c r="AC62" i="14"/>
  <c r="AB62" i="14"/>
  <c r="AA62" i="14"/>
  <c r="Z62" i="14"/>
  <c r="Y62" i="14"/>
  <c r="X62" i="14"/>
  <c r="W62" i="14"/>
  <c r="V62" i="14"/>
  <c r="U62" i="14"/>
  <c r="T62" i="14"/>
  <c r="S62" i="14"/>
  <c r="R62" i="14"/>
  <c r="Q62" i="14"/>
  <c r="P62" i="14"/>
  <c r="O62" i="14"/>
  <c r="N62" i="14"/>
  <c r="M62" i="14"/>
  <c r="L62" i="14"/>
  <c r="K62" i="14"/>
  <c r="J62" i="14"/>
  <c r="I62" i="14"/>
  <c r="H62" i="14"/>
  <c r="G62" i="14"/>
  <c r="F62" i="14"/>
  <c r="E62" i="14"/>
  <c r="D62" i="14"/>
  <c r="AC61" i="14"/>
  <c r="AB61" i="14"/>
  <c r="AA61" i="14"/>
  <c r="Z61" i="14"/>
  <c r="Y61" i="14"/>
  <c r="X61" i="14"/>
  <c r="W61" i="14"/>
  <c r="V61" i="14"/>
  <c r="U61" i="14"/>
  <c r="T61" i="14"/>
  <c r="S61" i="14"/>
  <c r="R61" i="14"/>
  <c r="Q61" i="14"/>
  <c r="P61" i="14"/>
  <c r="O61" i="14"/>
  <c r="N61" i="14"/>
  <c r="M61" i="14"/>
  <c r="L61" i="14"/>
  <c r="K61" i="14"/>
  <c r="J61" i="14"/>
  <c r="I61" i="14"/>
  <c r="H61" i="14"/>
  <c r="G61" i="14"/>
  <c r="F61" i="14"/>
  <c r="E61" i="14"/>
  <c r="D61" i="14"/>
  <c r="AC60" i="14"/>
  <c r="AB60" i="14"/>
  <c r="AA60" i="14"/>
  <c r="Z60" i="14"/>
  <c r="Y60" i="14"/>
  <c r="X60" i="14"/>
  <c r="W60" i="14"/>
  <c r="V60" i="14"/>
  <c r="U60" i="14"/>
  <c r="T60" i="14"/>
  <c r="S60" i="14"/>
  <c r="R60" i="14"/>
  <c r="Q60" i="14"/>
  <c r="P60" i="14"/>
  <c r="O60" i="14"/>
  <c r="N60" i="14"/>
  <c r="M60" i="14"/>
  <c r="L60" i="14"/>
  <c r="K60" i="14"/>
  <c r="J60" i="14"/>
  <c r="I60" i="14"/>
  <c r="H60" i="14"/>
  <c r="G60" i="14"/>
  <c r="F60" i="14"/>
  <c r="E60" i="14"/>
  <c r="D60" i="14"/>
  <c r="AC59" i="14"/>
  <c r="AB59" i="14"/>
  <c r="AA59" i="14"/>
  <c r="Z59" i="14"/>
  <c r="Y59" i="14"/>
  <c r="X59" i="14"/>
  <c r="W59" i="14"/>
  <c r="V59" i="14"/>
  <c r="U59" i="14"/>
  <c r="T59" i="14"/>
  <c r="S59" i="14"/>
  <c r="R59" i="14"/>
  <c r="Q59" i="14"/>
  <c r="P59" i="14"/>
  <c r="O59" i="14"/>
  <c r="N59" i="14"/>
  <c r="M59" i="14"/>
  <c r="L59" i="14"/>
  <c r="K59" i="14"/>
  <c r="J59" i="14"/>
  <c r="I59" i="14"/>
  <c r="H59" i="14"/>
  <c r="G59" i="14"/>
  <c r="F59" i="14"/>
  <c r="E59" i="14"/>
  <c r="D59" i="14"/>
  <c r="AC58" i="14"/>
  <c r="AB58" i="14"/>
  <c r="AA58" i="14"/>
  <c r="Z58" i="14"/>
  <c r="Y58" i="14"/>
  <c r="X58" i="14"/>
  <c r="W58" i="14"/>
  <c r="V58" i="14"/>
  <c r="U58" i="14"/>
  <c r="T58" i="14"/>
  <c r="S58" i="14"/>
  <c r="R58" i="14"/>
  <c r="Q58" i="14"/>
  <c r="P58" i="14"/>
  <c r="O58" i="14"/>
  <c r="N58" i="14"/>
  <c r="M58" i="14"/>
  <c r="L58" i="14"/>
  <c r="K58" i="14"/>
  <c r="J58" i="14"/>
  <c r="I58" i="14"/>
  <c r="H58" i="14"/>
  <c r="G58" i="14"/>
  <c r="F58" i="14"/>
  <c r="E58" i="14"/>
  <c r="D58" i="14"/>
  <c r="AC54" i="14"/>
  <c r="AB54" i="14"/>
  <c r="AA54" i="14"/>
  <c r="Z54" i="14"/>
  <c r="Y54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AC53" i="14"/>
  <c r="AB53" i="14"/>
  <c r="AA53" i="14"/>
  <c r="Z53" i="14"/>
  <c r="Y53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AC52" i="14"/>
  <c r="AB52" i="14"/>
  <c r="AA52" i="14"/>
  <c r="Z52" i="14"/>
  <c r="Y52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AC51" i="14"/>
  <c r="AB51" i="14"/>
  <c r="AA51" i="14"/>
  <c r="Z51" i="14"/>
  <c r="Y51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AC50" i="14"/>
  <c r="AB50" i="14"/>
  <c r="AA50" i="14"/>
  <c r="Z50" i="14"/>
  <c r="Y50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AC49" i="14"/>
  <c r="AB49" i="14"/>
  <c r="AA49" i="14"/>
  <c r="Z49" i="14"/>
  <c r="Y49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AC48" i="14"/>
  <c r="AB48" i="14"/>
  <c r="AA48" i="14"/>
  <c r="Z48" i="14"/>
  <c r="Y48" i="14"/>
  <c r="X48" i="14"/>
  <c r="W48" i="14"/>
  <c r="V48" i="14"/>
  <c r="U48" i="14"/>
  <c r="T48" i="14"/>
  <c r="S48" i="14"/>
  <c r="R48" i="14"/>
  <c r="Q48" i="14"/>
  <c r="P48" i="14"/>
  <c r="O48" i="14"/>
  <c r="N48" i="14"/>
  <c r="M48" i="14"/>
  <c r="L48" i="14"/>
  <c r="K48" i="14"/>
  <c r="J48" i="14"/>
  <c r="I48" i="14"/>
  <c r="H48" i="14"/>
  <c r="G48" i="14"/>
  <c r="F48" i="14"/>
  <c r="E48" i="14"/>
  <c r="D48" i="14"/>
  <c r="AC47" i="14"/>
  <c r="AB47" i="14"/>
  <c r="AA47" i="14"/>
  <c r="Z47" i="14"/>
  <c r="Y47" i="14"/>
  <c r="X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H47" i="14"/>
  <c r="G47" i="14"/>
  <c r="F47" i="14"/>
  <c r="E47" i="14"/>
  <c r="D47" i="14"/>
  <c r="AC43" i="14"/>
  <c r="AB43" i="14"/>
  <c r="AA43" i="14"/>
  <c r="Z43" i="14"/>
  <c r="Y43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AC42" i="14"/>
  <c r="AB42" i="14"/>
  <c r="AA42" i="14"/>
  <c r="Z42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AC41" i="14"/>
  <c r="AB41" i="14"/>
  <c r="AA41" i="14"/>
  <c r="Z41" i="14"/>
  <c r="Y41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AC40" i="14"/>
  <c r="AB40" i="14"/>
  <c r="AA40" i="14"/>
  <c r="Z40" i="14"/>
  <c r="Y40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AC39" i="14"/>
  <c r="AB39" i="14"/>
  <c r="AA39" i="14"/>
  <c r="Z39" i="14"/>
  <c r="Y39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AC38" i="14"/>
  <c r="AB38" i="14"/>
  <c r="AA38" i="14"/>
  <c r="Z38" i="14"/>
  <c r="Y38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AC37" i="14"/>
  <c r="AB37" i="14"/>
  <c r="AA37" i="14"/>
  <c r="Z37" i="14"/>
  <c r="Y37" i="14"/>
  <c r="X37" i="14"/>
  <c r="W37" i="14"/>
  <c r="V37" i="14"/>
  <c r="U37" i="14"/>
  <c r="T37" i="14"/>
  <c r="S37" i="14"/>
  <c r="R37" i="14"/>
  <c r="Q37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AC36" i="14"/>
  <c r="AB36" i="14"/>
  <c r="AA36" i="14"/>
  <c r="Z36" i="14"/>
  <c r="Y36" i="14"/>
  <c r="X36" i="14"/>
  <c r="W36" i="14"/>
  <c r="V36" i="14"/>
  <c r="U36" i="14"/>
  <c r="T36" i="14"/>
  <c r="S36" i="14"/>
  <c r="R36" i="14"/>
  <c r="Q36" i="14"/>
  <c r="P36" i="14"/>
  <c r="O36" i="14"/>
  <c r="N36" i="14"/>
  <c r="M36" i="14"/>
  <c r="L36" i="14"/>
  <c r="K36" i="14"/>
  <c r="J36" i="14"/>
  <c r="I36" i="14"/>
  <c r="H36" i="14"/>
  <c r="G36" i="14"/>
  <c r="F36" i="14"/>
  <c r="E36" i="14"/>
  <c r="D36" i="14"/>
  <c r="AC65" i="13"/>
  <c r="AB65" i="13"/>
  <c r="AA65" i="13"/>
  <c r="Z65" i="13"/>
  <c r="Y65" i="13"/>
  <c r="X65" i="13"/>
  <c r="W65" i="13"/>
  <c r="V65" i="13"/>
  <c r="U65" i="13"/>
  <c r="T65" i="13"/>
  <c r="S65" i="13"/>
  <c r="R65" i="13"/>
  <c r="Q65" i="13"/>
  <c r="P65" i="13"/>
  <c r="O65" i="13"/>
  <c r="N65" i="13"/>
  <c r="M65" i="13"/>
  <c r="L65" i="13"/>
  <c r="K65" i="13"/>
  <c r="J65" i="13"/>
  <c r="I65" i="13"/>
  <c r="H65" i="13"/>
  <c r="G65" i="13"/>
  <c r="F65" i="13"/>
  <c r="E65" i="13"/>
  <c r="D65" i="13"/>
  <c r="AC64" i="13"/>
  <c r="AB64" i="13"/>
  <c r="AA64" i="13"/>
  <c r="Z64" i="13"/>
  <c r="Y64" i="13"/>
  <c r="X64" i="13"/>
  <c r="W64" i="13"/>
  <c r="V64" i="13"/>
  <c r="U64" i="13"/>
  <c r="T64" i="13"/>
  <c r="S64" i="13"/>
  <c r="R64" i="13"/>
  <c r="Q64" i="13"/>
  <c r="P64" i="13"/>
  <c r="O64" i="13"/>
  <c r="N64" i="13"/>
  <c r="M64" i="13"/>
  <c r="L64" i="13"/>
  <c r="K64" i="13"/>
  <c r="J64" i="13"/>
  <c r="I64" i="13"/>
  <c r="H64" i="13"/>
  <c r="G64" i="13"/>
  <c r="F64" i="13"/>
  <c r="E64" i="13"/>
  <c r="D64" i="13"/>
  <c r="AC63" i="13"/>
  <c r="AB63" i="13"/>
  <c r="AA63" i="13"/>
  <c r="Z63" i="13"/>
  <c r="Y63" i="13"/>
  <c r="X63" i="13"/>
  <c r="W63" i="13"/>
  <c r="V63" i="13"/>
  <c r="U63" i="13"/>
  <c r="T63" i="13"/>
  <c r="S63" i="13"/>
  <c r="R63" i="13"/>
  <c r="Q63" i="13"/>
  <c r="P63" i="13"/>
  <c r="O63" i="13"/>
  <c r="N63" i="13"/>
  <c r="M63" i="13"/>
  <c r="L63" i="13"/>
  <c r="K63" i="13"/>
  <c r="J63" i="13"/>
  <c r="I63" i="13"/>
  <c r="H63" i="13"/>
  <c r="G63" i="13"/>
  <c r="F63" i="13"/>
  <c r="E63" i="13"/>
  <c r="D63" i="13"/>
  <c r="AC62" i="13"/>
  <c r="AB62" i="13"/>
  <c r="AA62" i="13"/>
  <c r="Z62" i="13"/>
  <c r="Y62" i="13"/>
  <c r="X62" i="13"/>
  <c r="W62" i="13"/>
  <c r="V62" i="13"/>
  <c r="U62" i="13"/>
  <c r="T62" i="13"/>
  <c r="S62" i="13"/>
  <c r="R62" i="13"/>
  <c r="Q62" i="13"/>
  <c r="P62" i="13"/>
  <c r="O62" i="13"/>
  <c r="N62" i="13"/>
  <c r="M62" i="13"/>
  <c r="L62" i="13"/>
  <c r="K62" i="13"/>
  <c r="J62" i="13"/>
  <c r="I62" i="13"/>
  <c r="H62" i="13"/>
  <c r="G62" i="13"/>
  <c r="F62" i="13"/>
  <c r="E62" i="13"/>
  <c r="D62" i="13"/>
  <c r="AC61" i="13"/>
  <c r="AB61" i="13"/>
  <c r="AA61" i="13"/>
  <c r="Z61" i="13"/>
  <c r="Y61" i="13"/>
  <c r="X61" i="13"/>
  <c r="W61" i="13"/>
  <c r="V61" i="13"/>
  <c r="U61" i="13"/>
  <c r="T61" i="13"/>
  <c r="S61" i="13"/>
  <c r="R61" i="13"/>
  <c r="Q61" i="13"/>
  <c r="P61" i="13"/>
  <c r="O61" i="13"/>
  <c r="N61" i="13"/>
  <c r="M61" i="13"/>
  <c r="L61" i="13"/>
  <c r="K61" i="13"/>
  <c r="J61" i="13"/>
  <c r="I61" i="13"/>
  <c r="H61" i="13"/>
  <c r="G61" i="13"/>
  <c r="F61" i="13"/>
  <c r="E61" i="13"/>
  <c r="D61" i="13"/>
  <c r="AC60" i="13"/>
  <c r="AB60" i="13"/>
  <c r="AA60" i="13"/>
  <c r="Z60" i="13"/>
  <c r="Y60" i="13"/>
  <c r="X60" i="13"/>
  <c r="W60" i="13"/>
  <c r="V60" i="13"/>
  <c r="U60" i="13"/>
  <c r="T60" i="13"/>
  <c r="S60" i="13"/>
  <c r="R60" i="13"/>
  <c r="Q60" i="13"/>
  <c r="P60" i="13"/>
  <c r="O60" i="13"/>
  <c r="N60" i="13"/>
  <c r="M60" i="13"/>
  <c r="L60" i="13"/>
  <c r="K60" i="13"/>
  <c r="J60" i="13"/>
  <c r="I60" i="13"/>
  <c r="H60" i="13"/>
  <c r="G60" i="13"/>
  <c r="F60" i="13"/>
  <c r="E60" i="13"/>
  <c r="D60" i="13"/>
  <c r="AC59" i="13"/>
  <c r="AB59" i="13"/>
  <c r="AA59" i="13"/>
  <c r="Z59" i="13"/>
  <c r="Y59" i="13"/>
  <c r="X59" i="13"/>
  <c r="W59" i="13"/>
  <c r="V59" i="13"/>
  <c r="U59" i="13"/>
  <c r="T59" i="13"/>
  <c r="S59" i="13"/>
  <c r="R59" i="13"/>
  <c r="Q59" i="13"/>
  <c r="P59" i="13"/>
  <c r="O59" i="13"/>
  <c r="N59" i="13"/>
  <c r="M59" i="13"/>
  <c r="L59" i="13"/>
  <c r="K59" i="13"/>
  <c r="J59" i="13"/>
  <c r="I59" i="13"/>
  <c r="H59" i="13"/>
  <c r="G59" i="13"/>
  <c r="F59" i="13"/>
  <c r="E59" i="13"/>
  <c r="D59" i="13"/>
  <c r="AC58" i="13"/>
  <c r="AB58" i="13"/>
  <c r="AA58" i="13"/>
  <c r="Z58" i="13"/>
  <c r="Y58" i="13"/>
  <c r="X58" i="13"/>
  <c r="W58" i="13"/>
  <c r="V58" i="13"/>
  <c r="U58" i="13"/>
  <c r="T58" i="13"/>
  <c r="S58" i="13"/>
  <c r="R58" i="13"/>
  <c r="Q58" i="13"/>
  <c r="P58" i="13"/>
  <c r="O58" i="13"/>
  <c r="N58" i="13"/>
  <c r="M58" i="13"/>
  <c r="L58" i="13"/>
  <c r="K58" i="13"/>
  <c r="J58" i="13"/>
  <c r="I58" i="13"/>
  <c r="H58" i="13"/>
  <c r="G58" i="13"/>
  <c r="F58" i="13"/>
  <c r="E58" i="13"/>
  <c r="D58" i="13"/>
  <c r="AC54" i="13"/>
  <c r="AB54" i="13"/>
  <c r="AA54" i="13"/>
  <c r="Z54" i="13"/>
  <c r="Y54" i="13"/>
  <c r="X54" i="13"/>
  <c r="W54" i="13"/>
  <c r="V54" i="13"/>
  <c r="U54" i="13"/>
  <c r="T54" i="13"/>
  <c r="S54" i="13"/>
  <c r="R54" i="13"/>
  <c r="Q54" i="13"/>
  <c r="P54" i="13"/>
  <c r="O54" i="13"/>
  <c r="N54" i="13"/>
  <c r="M54" i="13"/>
  <c r="L54" i="13"/>
  <c r="K54" i="13"/>
  <c r="J54" i="13"/>
  <c r="I54" i="13"/>
  <c r="H54" i="13"/>
  <c r="G54" i="13"/>
  <c r="F54" i="13"/>
  <c r="E54" i="13"/>
  <c r="D54" i="13"/>
  <c r="AC53" i="13"/>
  <c r="AB53" i="13"/>
  <c r="AA53" i="13"/>
  <c r="Z53" i="13"/>
  <c r="Y53" i="13"/>
  <c r="X53" i="13"/>
  <c r="W53" i="13"/>
  <c r="V53" i="13"/>
  <c r="U53" i="13"/>
  <c r="T53" i="13"/>
  <c r="S53" i="13"/>
  <c r="R53" i="13"/>
  <c r="Q53" i="13"/>
  <c r="P53" i="13"/>
  <c r="O53" i="13"/>
  <c r="N53" i="13"/>
  <c r="M53" i="13"/>
  <c r="L53" i="13"/>
  <c r="K53" i="13"/>
  <c r="J53" i="13"/>
  <c r="I53" i="13"/>
  <c r="H53" i="13"/>
  <c r="G53" i="13"/>
  <c r="F53" i="13"/>
  <c r="E53" i="13"/>
  <c r="D53" i="13"/>
  <c r="AC52" i="13"/>
  <c r="AB52" i="13"/>
  <c r="AA52" i="13"/>
  <c r="Z52" i="13"/>
  <c r="Y52" i="13"/>
  <c r="X52" i="13"/>
  <c r="W52" i="13"/>
  <c r="V52" i="13"/>
  <c r="U52" i="13"/>
  <c r="T52" i="13"/>
  <c r="S52" i="13"/>
  <c r="R52" i="13"/>
  <c r="Q52" i="13"/>
  <c r="P52" i="13"/>
  <c r="O52" i="13"/>
  <c r="N52" i="13"/>
  <c r="M52" i="13"/>
  <c r="L52" i="13"/>
  <c r="K52" i="13"/>
  <c r="J52" i="13"/>
  <c r="I52" i="13"/>
  <c r="H52" i="13"/>
  <c r="G52" i="13"/>
  <c r="F52" i="13"/>
  <c r="E52" i="13"/>
  <c r="D52" i="13"/>
  <c r="AC51" i="13"/>
  <c r="AB51" i="13"/>
  <c r="AA51" i="13"/>
  <c r="Z51" i="13"/>
  <c r="Y51" i="13"/>
  <c r="X51" i="13"/>
  <c r="W51" i="13"/>
  <c r="V51" i="13"/>
  <c r="U51" i="13"/>
  <c r="T51" i="13"/>
  <c r="S51" i="13"/>
  <c r="R51" i="13"/>
  <c r="Q51" i="13"/>
  <c r="P51" i="13"/>
  <c r="O51" i="13"/>
  <c r="N51" i="13"/>
  <c r="M51" i="13"/>
  <c r="L51" i="13"/>
  <c r="K51" i="13"/>
  <c r="J51" i="13"/>
  <c r="I51" i="13"/>
  <c r="H51" i="13"/>
  <c r="G51" i="13"/>
  <c r="F51" i="13"/>
  <c r="E51" i="13"/>
  <c r="D51" i="13"/>
  <c r="AC50" i="13"/>
  <c r="AB50" i="13"/>
  <c r="AA50" i="13"/>
  <c r="Z50" i="13"/>
  <c r="Y50" i="13"/>
  <c r="X50" i="13"/>
  <c r="W50" i="13"/>
  <c r="V50" i="13"/>
  <c r="U50" i="13"/>
  <c r="T50" i="13"/>
  <c r="S50" i="13"/>
  <c r="R50" i="13"/>
  <c r="Q50" i="13"/>
  <c r="P50" i="13"/>
  <c r="O50" i="13"/>
  <c r="N50" i="13"/>
  <c r="M50" i="13"/>
  <c r="L50" i="13"/>
  <c r="K50" i="13"/>
  <c r="J50" i="13"/>
  <c r="I50" i="13"/>
  <c r="H50" i="13"/>
  <c r="G50" i="13"/>
  <c r="F50" i="13"/>
  <c r="E50" i="13"/>
  <c r="D50" i="13"/>
  <c r="AC49" i="13"/>
  <c r="AB49" i="13"/>
  <c r="AA49" i="13"/>
  <c r="Z49" i="13"/>
  <c r="Y49" i="13"/>
  <c r="X49" i="13"/>
  <c r="W49" i="13"/>
  <c r="V49" i="13"/>
  <c r="U49" i="13"/>
  <c r="T49" i="13"/>
  <c r="S49" i="13"/>
  <c r="R49" i="13"/>
  <c r="Q49" i="13"/>
  <c r="P49" i="13"/>
  <c r="O49" i="13"/>
  <c r="N49" i="13"/>
  <c r="M49" i="13"/>
  <c r="L49" i="13"/>
  <c r="K49" i="13"/>
  <c r="J49" i="13"/>
  <c r="I49" i="13"/>
  <c r="H49" i="13"/>
  <c r="G49" i="13"/>
  <c r="F49" i="13"/>
  <c r="E49" i="13"/>
  <c r="D49" i="13"/>
  <c r="AC48" i="13"/>
  <c r="AB48" i="13"/>
  <c r="AA48" i="13"/>
  <c r="Z48" i="13"/>
  <c r="Y48" i="13"/>
  <c r="X48" i="13"/>
  <c r="W48" i="13"/>
  <c r="V48" i="13"/>
  <c r="U48" i="13"/>
  <c r="T48" i="13"/>
  <c r="S48" i="13"/>
  <c r="R48" i="13"/>
  <c r="Q48" i="13"/>
  <c r="P48" i="13"/>
  <c r="O48" i="13"/>
  <c r="N48" i="13"/>
  <c r="M48" i="13"/>
  <c r="L48" i="13"/>
  <c r="K48" i="13"/>
  <c r="J48" i="13"/>
  <c r="I48" i="13"/>
  <c r="H48" i="13"/>
  <c r="G48" i="13"/>
  <c r="F48" i="13"/>
  <c r="E48" i="13"/>
  <c r="D48" i="13"/>
  <c r="AC47" i="13"/>
  <c r="AB47" i="13"/>
  <c r="AA47" i="13"/>
  <c r="Z47" i="13"/>
  <c r="Y47" i="13"/>
  <c r="X47" i="13"/>
  <c r="W47" i="13"/>
  <c r="V47" i="13"/>
  <c r="U47" i="13"/>
  <c r="T47" i="13"/>
  <c r="S47" i="13"/>
  <c r="R47" i="13"/>
  <c r="Q47" i="13"/>
  <c r="P47" i="13"/>
  <c r="O47" i="13"/>
  <c r="N47" i="13"/>
  <c r="M47" i="13"/>
  <c r="L47" i="13"/>
  <c r="K47" i="13"/>
  <c r="J47" i="13"/>
  <c r="I47" i="13"/>
  <c r="H47" i="13"/>
  <c r="G47" i="13"/>
  <c r="F47" i="13"/>
  <c r="E47" i="13"/>
  <c r="D47" i="13"/>
  <c r="AC43" i="13"/>
  <c r="AB43" i="13"/>
  <c r="AA43" i="13"/>
  <c r="Z43" i="13"/>
  <c r="Y43" i="13"/>
  <c r="X43" i="13"/>
  <c r="W43" i="13"/>
  <c r="V43" i="13"/>
  <c r="U43" i="13"/>
  <c r="T43" i="13"/>
  <c r="S43" i="13"/>
  <c r="R43" i="13"/>
  <c r="Q43" i="13"/>
  <c r="P43" i="13"/>
  <c r="O43" i="13"/>
  <c r="N43" i="13"/>
  <c r="M43" i="13"/>
  <c r="L43" i="13"/>
  <c r="K43" i="13"/>
  <c r="J43" i="13"/>
  <c r="I43" i="13"/>
  <c r="H43" i="13"/>
  <c r="G43" i="13"/>
  <c r="F43" i="13"/>
  <c r="E43" i="13"/>
  <c r="D43" i="13"/>
  <c r="AC42" i="13"/>
  <c r="AB42" i="13"/>
  <c r="AA42" i="13"/>
  <c r="Z42" i="13"/>
  <c r="Y42" i="13"/>
  <c r="X42" i="13"/>
  <c r="W42" i="13"/>
  <c r="V42" i="13"/>
  <c r="U42" i="13"/>
  <c r="T42" i="13"/>
  <c r="S42" i="13"/>
  <c r="R42" i="13"/>
  <c r="Q42" i="13"/>
  <c r="P42" i="13"/>
  <c r="O42" i="13"/>
  <c r="N42" i="13"/>
  <c r="M42" i="13"/>
  <c r="L42" i="13"/>
  <c r="K42" i="13"/>
  <c r="J42" i="13"/>
  <c r="I42" i="13"/>
  <c r="H42" i="13"/>
  <c r="G42" i="13"/>
  <c r="F42" i="13"/>
  <c r="E42" i="13"/>
  <c r="D42" i="13"/>
  <c r="AC41" i="13"/>
  <c r="AB41" i="13"/>
  <c r="AA41" i="13"/>
  <c r="Z41" i="13"/>
  <c r="Y41" i="13"/>
  <c r="X41" i="13"/>
  <c r="W41" i="13"/>
  <c r="V41" i="13"/>
  <c r="U41" i="13"/>
  <c r="T41" i="13"/>
  <c r="S41" i="13"/>
  <c r="R41" i="13"/>
  <c r="Q41" i="13"/>
  <c r="P41" i="13"/>
  <c r="O41" i="13"/>
  <c r="N41" i="13"/>
  <c r="M41" i="13"/>
  <c r="L41" i="13"/>
  <c r="K41" i="13"/>
  <c r="J41" i="13"/>
  <c r="I41" i="13"/>
  <c r="H41" i="13"/>
  <c r="G41" i="13"/>
  <c r="F41" i="13"/>
  <c r="E41" i="13"/>
  <c r="D41" i="13"/>
  <c r="AC40" i="13"/>
  <c r="AB40" i="13"/>
  <c r="AA40" i="13"/>
  <c r="Z40" i="13"/>
  <c r="Y40" i="13"/>
  <c r="X40" i="13"/>
  <c r="W40" i="13"/>
  <c r="V40" i="13"/>
  <c r="U40" i="13"/>
  <c r="T40" i="13"/>
  <c r="S40" i="13"/>
  <c r="R40" i="13"/>
  <c r="Q40" i="13"/>
  <c r="P40" i="13"/>
  <c r="O40" i="13"/>
  <c r="N40" i="13"/>
  <c r="M40" i="13"/>
  <c r="L40" i="13"/>
  <c r="K40" i="13"/>
  <c r="J40" i="13"/>
  <c r="I40" i="13"/>
  <c r="H40" i="13"/>
  <c r="G40" i="13"/>
  <c r="F40" i="13"/>
  <c r="E40" i="13"/>
  <c r="D40" i="13"/>
  <c r="AC39" i="13"/>
  <c r="AB39" i="13"/>
  <c r="AA39" i="13"/>
  <c r="Z39" i="13"/>
  <c r="Y39" i="13"/>
  <c r="X39" i="13"/>
  <c r="W39" i="13"/>
  <c r="V39" i="13"/>
  <c r="U39" i="13"/>
  <c r="T39" i="13"/>
  <c r="S39" i="13"/>
  <c r="R39" i="13"/>
  <c r="Q39" i="13"/>
  <c r="P39" i="13"/>
  <c r="O39" i="13"/>
  <c r="N39" i="13"/>
  <c r="M39" i="13"/>
  <c r="L39" i="13"/>
  <c r="K39" i="13"/>
  <c r="J39" i="13"/>
  <c r="I39" i="13"/>
  <c r="H39" i="13"/>
  <c r="G39" i="13"/>
  <c r="F39" i="13"/>
  <c r="E39" i="13"/>
  <c r="D39" i="13"/>
  <c r="AC38" i="13"/>
  <c r="AB38" i="13"/>
  <c r="AA38" i="13"/>
  <c r="Z38" i="13"/>
  <c r="Y38" i="13"/>
  <c r="X38" i="13"/>
  <c r="W38" i="13"/>
  <c r="W75" i="13" s="1"/>
  <c r="V38" i="13"/>
  <c r="U38" i="13"/>
  <c r="T38" i="13"/>
  <c r="S38" i="13"/>
  <c r="R38" i="13"/>
  <c r="Q38" i="13"/>
  <c r="P38" i="13"/>
  <c r="O38" i="13"/>
  <c r="N38" i="13"/>
  <c r="M38" i="13"/>
  <c r="L38" i="13"/>
  <c r="K38" i="13"/>
  <c r="K75" i="13" s="1"/>
  <c r="J38" i="13"/>
  <c r="I38" i="13"/>
  <c r="H38" i="13"/>
  <c r="G38" i="13"/>
  <c r="F38" i="13"/>
  <c r="E38" i="13"/>
  <c r="D38" i="13"/>
  <c r="AC37" i="13"/>
  <c r="AB37" i="13"/>
  <c r="AA37" i="13"/>
  <c r="Z37" i="13"/>
  <c r="Y37" i="13"/>
  <c r="X37" i="13"/>
  <c r="W37" i="13"/>
  <c r="V37" i="13"/>
  <c r="U37" i="13"/>
  <c r="T37" i="13"/>
  <c r="T75" i="13" s="1"/>
  <c r="S37" i="13"/>
  <c r="R37" i="13"/>
  <c r="Q37" i="13"/>
  <c r="P37" i="13"/>
  <c r="O37" i="13"/>
  <c r="N37" i="13"/>
  <c r="M37" i="13"/>
  <c r="L37" i="13"/>
  <c r="K37" i="13"/>
  <c r="J37" i="13"/>
  <c r="I37" i="13"/>
  <c r="H37" i="13"/>
  <c r="H75" i="13" s="1"/>
  <c r="G37" i="13"/>
  <c r="F37" i="13"/>
  <c r="E37" i="13"/>
  <c r="D37" i="13"/>
  <c r="AC36" i="13"/>
  <c r="AC75" i="13" s="1"/>
  <c r="AB36" i="13"/>
  <c r="AB75" i="13" s="1"/>
  <c r="AA36" i="13"/>
  <c r="AA75" i="13" s="1"/>
  <c r="Z36" i="13"/>
  <c r="Y36" i="13"/>
  <c r="X36" i="13"/>
  <c r="W36" i="13"/>
  <c r="V36" i="13"/>
  <c r="V75" i="13" s="1"/>
  <c r="U36" i="13"/>
  <c r="T36" i="13"/>
  <c r="S36" i="13"/>
  <c r="R36" i="13"/>
  <c r="R75" i="13" s="1"/>
  <c r="Q36" i="13"/>
  <c r="Q75" i="13" s="1"/>
  <c r="P36" i="13"/>
  <c r="P75" i="13" s="1"/>
  <c r="O36" i="13"/>
  <c r="O75" i="13" s="1"/>
  <c r="N36" i="13"/>
  <c r="M36" i="13"/>
  <c r="L36" i="13"/>
  <c r="K36" i="13"/>
  <c r="J36" i="13"/>
  <c r="J75" i="13" s="1"/>
  <c r="I36" i="13"/>
  <c r="H36" i="13"/>
  <c r="G36" i="13"/>
  <c r="F36" i="13"/>
  <c r="F75" i="13" s="1"/>
  <c r="E36" i="13"/>
  <c r="E75" i="13" s="1"/>
  <c r="D36" i="13"/>
  <c r="D75" i="13" s="1"/>
  <c r="AC65" i="12"/>
  <c r="AB65" i="12"/>
  <c r="AA65" i="12"/>
  <c r="Z65" i="12"/>
  <c r="Y65" i="12"/>
  <c r="X65" i="12"/>
  <c r="W65" i="12"/>
  <c r="V65" i="12"/>
  <c r="U65" i="12"/>
  <c r="T65" i="12"/>
  <c r="S65" i="12"/>
  <c r="R65" i="12"/>
  <c r="Q65" i="12"/>
  <c r="P65" i="12"/>
  <c r="O65" i="12"/>
  <c r="N65" i="12"/>
  <c r="M65" i="12"/>
  <c r="L65" i="12"/>
  <c r="K65" i="12"/>
  <c r="J65" i="12"/>
  <c r="I65" i="12"/>
  <c r="H65" i="12"/>
  <c r="G65" i="12"/>
  <c r="F65" i="12"/>
  <c r="E65" i="12"/>
  <c r="D65" i="12"/>
  <c r="AC64" i="12"/>
  <c r="AB64" i="12"/>
  <c r="AA64" i="12"/>
  <c r="Z64" i="12"/>
  <c r="Y64" i="12"/>
  <c r="X64" i="12"/>
  <c r="W64" i="12"/>
  <c r="V64" i="12"/>
  <c r="U64" i="12"/>
  <c r="T64" i="12"/>
  <c r="S64" i="12"/>
  <c r="R64" i="12"/>
  <c r="Q64" i="12"/>
  <c r="P64" i="12"/>
  <c r="O64" i="12"/>
  <c r="N64" i="12"/>
  <c r="M64" i="12"/>
  <c r="L64" i="12"/>
  <c r="K64" i="12"/>
  <c r="J64" i="12"/>
  <c r="I64" i="12"/>
  <c r="H64" i="12"/>
  <c r="G64" i="12"/>
  <c r="F64" i="12"/>
  <c r="E64" i="12"/>
  <c r="D64" i="12"/>
  <c r="AC63" i="12"/>
  <c r="AB63" i="12"/>
  <c r="AA63" i="12"/>
  <c r="Z63" i="12"/>
  <c r="Y63" i="12"/>
  <c r="X63" i="12"/>
  <c r="W63" i="12"/>
  <c r="V63" i="12"/>
  <c r="U63" i="12"/>
  <c r="T63" i="12"/>
  <c r="S63" i="12"/>
  <c r="R63" i="12"/>
  <c r="Q63" i="12"/>
  <c r="P63" i="12"/>
  <c r="O63" i="12"/>
  <c r="N63" i="12"/>
  <c r="M63" i="12"/>
  <c r="L63" i="12"/>
  <c r="K63" i="12"/>
  <c r="J63" i="12"/>
  <c r="I63" i="12"/>
  <c r="H63" i="12"/>
  <c r="G63" i="12"/>
  <c r="F63" i="12"/>
  <c r="E63" i="12"/>
  <c r="D63" i="12"/>
  <c r="AC62" i="12"/>
  <c r="AB62" i="12"/>
  <c r="AA62" i="12"/>
  <c r="Z62" i="12"/>
  <c r="Y62" i="12"/>
  <c r="X62" i="12"/>
  <c r="W62" i="12"/>
  <c r="V62" i="12"/>
  <c r="U62" i="12"/>
  <c r="T62" i="12"/>
  <c r="S62" i="12"/>
  <c r="R62" i="12"/>
  <c r="Q62" i="12"/>
  <c r="P62" i="12"/>
  <c r="O62" i="12"/>
  <c r="N62" i="12"/>
  <c r="M62" i="12"/>
  <c r="L62" i="12"/>
  <c r="K62" i="12"/>
  <c r="J62" i="12"/>
  <c r="I62" i="12"/>
  <c r="H62" i="12"/>
  <c r="G62" i="12"/>
  <c r="F62" i="12"/>
  <c r="E62" i="12"/>
  <c r="D62" i="12"/>
  <c r="AC61" i="12"/>
  <c r="AB61" i="12"/>
  <c r="AA61" i="12"/>
  <c r="Z61" i="12"/>
  <c r="Y61" i="12"/>
  <c r="X61" i="12"/>
  <c r="W61" i="12"/>
  <c r="V61" i="12"/>
  <c r="U61" i="12"/>
  <c r="T61" i="12"/>
  <c r="S61" i="12"/>
  <c r="R61" i="12"/>
  <c r="Q61" i="12"/>
  <c r="P61" i="12"/>
  <c r="O61" i="12"/>
  <c r="N61" i="12"/>
  <c r="M61" i="12"/>
  <c r="L61" i="12"/>
  <c r="K61" i="12"/>
  <c r="J61" i="12"/>
  <c r="I61" i="12"/>
  <c r="H61" i="12"/>
  <c r="G61" i="12"/>
  <c r="F61" i="12"/>
  <c r="E61" i="12"/>
  <c r="D61" i="12"/>
  <c r="AC60" i="12"/>
  <c r="AB60" i="12"/>
  <c r="AA60" i="12"/>
  <c r="Z60" i="12"/>
  <c r="Y60" i="12"/>
  <c r="X60" i="12"/>
  <c r="W60" i="12"/>
  <c r="V60" i="12"/>
  <c r="U60" i="12"/>
  <c r="T60" i="12"/>
  <c r="S60" i="12"/>
  <c r="R60" i="12"/>
  <c r="Q60" i="12"/>
  <c r="P60" i="12"/>
  <c r="O60" i="12"/>
  <c r="N60" i="12"/>
  <c r="M60" i="12"/>
  <c r="L60" i="12"/>
  <c r="K60" i="12"/>
  <c r="J60" i="12"/>
  <c r="I60" i="12"/>
  <c r="H60" i="12"/>
  <c r="G60" i="12"/>
  <c r="F60" i="12"/>
  <c r="E60" i="12"/>
  <c r="D60" i="12"/>
  <c r="AC59" i="12"/>
  <c r="AB59" i="12"/>
  <c r="AA59" i="12"/>
  <c r="Z59" i="12"/>
  <c r="Y59" i="12"/>
  <c r="X59" i="12"/>
  <c r="W59" i="12"/>
  <c r="V59" i="12"/>
  <c r="U59" i="12"/>
  <c r="T59" i="12"/>
  <c r="S59" i="12"/>
  <c r="R59" i="12"/>
  <c r="Q59" i="12"/>
  <c r="P59" i="12"/>
  <c r="O59" i="12"/>
  <c r="N59" i="12"/>
  <c r="M59" i="12"/>
  <c r="L59" i="12"/>
  <c r="K59" i="12"/>
  <c r="J59" i="12"/>
  <c r="I59" i="12"/>
  <c r="H59" i="12"/>
  <c r="G59" i="12"/>
  <c r="F59" i="12"/>
  <c r="E59" i="12"/>
  <c r="D59" i="12"/>
  <c r="AC58" i="12"/>
  <c r="AB58" i="12"/>
  <c r="AA58" i="12"/>
  <c r="Z58" i="12"/>
  <c r="Y58" i="12"/>
  <c r="X58" i="12"/>
  <c r="W58" i="12"/>
  <c r="V58" i="12"/>
  <c r="U58" i="12"/>
  <c r="T58" i="12"/>
  <c r="S58" i="12"/>
  <c r="R58" i="12"/>
  <c r="Q58" i="12"/>
  <c r="P58" i="12"/>
  <c r="O58" i="12"/>
  <c r="N58" i="12"/>
  <c r="M58" i="12"/>
  <c r="L58" i="12"/>
  <c r="K58" i="12"/>
  <c r="J58" i="12"/>
  <c r="I58" i="12"/>
  <c r="H58" i="12"/>
  <c r="G58" i="12"/>
  <c r="F58" i="12"/>
  <c r="E58" i="12"/>
  <c r="D58" i="12"/>
  <c r="AC54" i="12"/>
  <c r="AB54" i="12"/>
  <c r="AA54" i="12"/>
  <c r="Z54" i="12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AC53" i="12"/>
  <c r="AB53" i="12"/>
  <c r="AA53" i="12"/>
  <c r="Z53" i="12"/>
  <c r="Y53" i="12"/>
  <c r="X53" i="12"/>
  <c r="W53" i="12"/>
  <c r="V53" i="12"/>
  <c r="U53" i="12"/>
  <c r="T53" i="12"/>
  <c r="S53" i="12"/>
  <c r="R53" i="12"/>
  <c r="Q53" i="12"/>
  <c r="P53" i="12"/>
  <c r="O53" i="12"/>
  <c r="N53" i="12"/>
  <c r="M53" i="12"/>
  <c r="L53" i="12"/>
  <c r="K53" i="12"/>
  <c r="J53" i="12"/>
  <c r="I53" i="12"/>
  <c r="H53" i="12"/>
  <c r="G53" i="12"/>
  <c r="F53" i="12"/>
  <c r="E53" i="12"/>
  <c r="D53" i="12"/>
  <c r="AC52" i="12"/>
  <c r="AB52" i="12"/>
  <c r="AA52" i="12"/>
  <c r="Z52" i="12"/>
  <c r="Y52" i="12"/>
  <c r="X52" i="12"/>
  <c r="W52" i="12"/>
  <c r="V52" i="12"/>
  <c r="U52" i="12"/>
  <c r="T52" i="12"/>
  <c r="S52" i="12"/>
  <c r="R52" i="12"/>
  <c r="Q52" i="12"/>
  <c r="P52" i="12"/>
  <c r="O52" i="12"/>
  <c r="N52" i="12"/>
  <c r="M52" i="12"/>
  <c r="L52" i="12"/>
  <c r="K52" i="12"/>
  <c r="J52" i="12"/>
  <c r="I52" i="12"/>
  <c r="H52" i="12"/>
  <c r="G52" i="12"/>
  <c r="F52" i="12"/>
  <c r="E52" i="12"/>
  <c r="D52" i="12"/>
  <c r="AC51" i="12"/>
  <c r="AB51" i="12"/>
  <c r="AA51" i="12"/>
  <c r="Z51" i="12"/>
  <c r="Y51" i="12"/>
  <c r="X51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AC50" i="12"/>
  <c r="AB50" i="12"/>
  <c r="AA50" i="12"/>
  <c r="Z50" i="12"/>
  <c r="Y50" i="12"/>
  <c r="X50" i="12"/>
  <c r="W50" i="12"/>
  <c r="V50" i="12"/>
  <c r="U50" i="12"/>
  <c r="T50" i="12"/>
  <c r="S50" i="12"/>
  <c r="R50" i="12"/>
  <c r="Q50" i="12"/>
  <c r="P50" i="12"/>
  <c r="O50" i="12"/>
  <c r="N50" i="12"/>
  <c r="M50" i="12"/>
  <c r="L50" i="12"/>
  <c r="K50" i="12"/>
  <c r="J50" i="12"/>
  <c r="I50" i="12"/>
  <c r="H50" i="12"/>
  <c r="G50" i="12"/>
  <c r="F50" i="12"/>
  <c r="E50" i="12"/>
  <c r="D50" i="12"/>
  <c r="AC49" i="12"/>
  <c r="AB49" i="12"/>
  <c r="AA49" i="12"/>
  <c r="Z49" i="12"/>
  <c r="Y49" i="12"/>
  <c r="X49" i="12"/>
  <c r="W49" i="12"/>
  <c r="V49" i="12"/>
  <c r="U49" i="12"/>
  <c r="T49" i="12"/>
  <c r="S49" i="12"/>
  <c r="R49" i="12"/>
  <c r="Q49" i="12"/>
  <c r="P49" i="12"/>
  <c r="O49" i="12"/>
  <c r="N49" i="12"/>
  <c r="M49" i="12"/>
  <c r="L49" i="12"/>
  <c r="K49" i="12"/>
  <c r="J49" i="12"/>
  <c r="I49" i="12"/>
  <c r="H49" i="12"/>
  <c r="G49" i="12"/>
  <c r="F49" i="12"/>
  <c r="E49" i="12"/>
  <c r="D49" i="12"/>
  <c r="AC48" i="12"/>
  <c r="AB48" i="12"/>
  <c r="AA48" i="12"/>
  <c r="Z48" i="12"/>
  <c r="Y48" i="12"/>
  <c r="X48" i="12"/>
  <c r="W48" i="12"/>
  <c r="V48" i="12"/>
  <c r="U48" i="12"/>
  <c r="T48" i="12"/>
  <c r="S48" i="12"/>
  <c r="R48" i="12"/>
  <c r="Q48" i="12"/>
  <c r="P48" i="12"/>
  <c r="O48" i="12"/>
  <c r="N48" i="12"/>
  <c r="M48" i="12"/>
  <c r="L48" i="12"/>
  <c r="K48" i="12"/>
  <c r="J48" i="12"/>
  <c r="I48" i="12"/>
  <c r="H48" i="12"/>
  <c r="G48" i="12"/>
  <c r="F48" i="12"/>
  <c r="E48" i="12"/>
  <c r="D48" i="12"/>
  <c r="AC47" i="12"/>
  <c r="AB47" i="12"/>
  <c r="AA47" i="12"/>
  <c r="Z47" i="12"/>
  <c r="Y47" i="12"/>
  <c r="X47" i="12"/>
  <c r="W47" i="12"/>
  <c r="V47" i="12"/>
  <c r="U47" i="12"/>
  <c r="T47" i="12"/>
  <c r="S47" i="12"/>
  <c r="R47" i="12"/>
  <c r="Q47" i="12"/>
  <c r="P47" i="12"/>
  <c r="O47" i="12"/>
  <c r="N47" i="12"/>
  <c r="M47" i="12"/>
  <c r="L47" i="12"/>
  <c r="K47" i="12"/>
  <c r="J47" i="12"/>
  <c r="I47" i="12"/>
  <c r="H47" i="12"/>
  <c r="G47" i="12"/>
  <c r="F47" i="12"/>
  <c r="E47" i="12"/>
  <c r="D47" i="12"/>
  <c r="AC43" i="12"/>
  <c r="AB43" i="12"/>
  <c r="AA43" i="12"/>
  <c r="Z43" i="12"/>
  <c r="Y43" i="12"/>
  <c r="X43" i="12"/>
  <c r="W43" i="12"/>
  <c r="V43" i="12"/>
  <c r="U43" i="12"/>
  <c r="T43" i="12"/>
  <c r="S43" i="12"/>
  <c r="R43" i="12"/>
  <c r="Q43" i="12"/>
  <c r="P43" i="12"/>
  <c r="O43" i="12"/>
  <c r="N43" i="12"/>
  <c r="M43" i="12"/>
  <c r="L43" i="12"/>
  <c r="K43" i="12"/>
  <c r="J43" i="12"/>
  <c r="I43" i="12"/>
  <c r="H43" i="12"/>
  <c r="G43" i="12"/>
  <c r="F43" i="12"/>
  <c r="E43" i="12"/>
  <c r="D43" i="12"/>
  <c r="AC42" i="12"/>
  <c r="AB42" i="12"/>
  <c r="AA42" i="12"/>
  <c r="Z42" i="12"/>
  <c r="Y42" i="12"/>
  <c r="X42" i="12"/>
  <c r="W42" i="12"/>
  <c r="V42" i="12"/>
  <c r="U42" i="12"/>
  <c r="T42" i="12"/>
  <c r="S42" i="12"/>
  <c r="R42" i="12"/>
  <c r="Q42" i="12"/>
  <c r="P42" i="12"/>
  <c r="O42" i="12"/>
  <c r="N42" i="12"/>
  <c r="M42" i="12"/>
  <c r="L42" i="12"/>
  <c r="K42" i="12"/>
  <c r="J42" i="12"/>
  <c r="I42" i="12"/>
  <c r="H42" i="12"/>
  <c r="G42" i="12"/>
  <c r="F42" i="12"/>
  <c r="E42" i="12"/>
  <c r="D42" i="12"/>
  <c r="AC41" i="12"/>
  <c r="AB41" i="12"/>
  <c r="AA41" i="12"/>
  <c r="Z41" i="12"/>
  <c r="Y41" i="12"/>
  <c r="X41" i="12"/>
  <c r="W41" i="12"/>
  <c r="V41" i="12"/>
  <c r="U41" i="12"/>
  <c r="T41" i="12"/>
  <c r="S41" i="12"/>
  <c r="R41" i="12"/>
  <c r="Q41" i="12"/>
  <c r="P41" i="12"/>
  <c r="O41" i="12"/>
  <c r="N41" i="12"/>
  <c r="M41" i="12"/>
  <c r="L41" i="12"/>
  <c r="K41" i="12"/>
  <c r="J41" i="12"/>
  <c r="I41" i="12"/>
  <c r="H41" i="12"/>
  <c r="G41" i="12"/>
  <c r="F41" i="12"/>
  <c r="E41" i="12"/>
  <c r="D41" i="12"/>
  <c r="AC40" i="12"/>
  <c r="AB40" i="12"/>
  <c r="AA40" i="12"/>
  <c r="Z40" i="12"/>
  <c r="Y40" i="12"/>
  <c r="X40" i="12"/>
  <c r="W40" i="12"/>
  <c r="V40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AC39" i="12"/>
  <c r="AB39" i="12"/>
  <c r="AA39" i="12"/>
  <c r="Z39" i="12"/>
  <c r="Y39" i="12"/>
  <c r="X39" i="12"/>
  <c r="W39" i="12"/>
  <c r="V39" i="12"/>
  <c r="U39" i="12"/>
  <c r="T39" i="12"/>
  <c r="S39" i="12"/>
  <c r="R39" i="12"/>
  <c r="Q39" i="12"/>
  <c r="P39" i="12"/>
  <c r="O39" i="12"/>
  <c r="N39" i="12"/>
  <c r="M39" i="12"/>
  <c r="L39" i="12"/>
  <c r="K39" i="12"/>
  <c r="J39" i="12"/>
  <c r="I39" i="12"/>
  <c r="H39" i="12"/>
  <c r="G39" i="12"/>
  <c r="F39" i="12"/>
  <c r="E39" i="12"/>
  <c r="D39" i="12"/>
  <c r="AC38" i="12"/>
  <c r="AB38" i="12"/>
  <c r="AA38" i="12"/>
  <c r="Z38" i="12"/>
  <c r="Y38" i="12"/>
  <c r="X38" i="12"/>
  <c r="W38" i="12"/>
  <c r="V38" i="12"/>
  <c r="U38" i="12"/>
  <c r="T38" i="12"/>
  <c r="S38" i="12"/>
  <c r="R38" i="12"/>
  <c r="Q38" i="12"/>
  <c r="P38" i="12"/>
  <c r="O38" i="12"/>
  <c r="N38" i="12"/>
  <c r="M38" i="12"/>
  <c r="L38" i="12"/>
  <c r="K38" i="12"/>
  <c r="J38" i="12"/>
  <c r="I38" i="12"/>
  <c r="H38" i="12"/>
  <c r="G38" i="12"/>
  <c r="F38" i="12"/>
  <c r="E38" i="12"/>
  <c r="D38" i="12"/>
  <c r="AC37" i="12"/>
  <c r="AB37" i="12"/>
  <c r="AA37" i="12"/>
  <c r="Z37" i="12"/>
  <c r="Y37" i="12"/>
  <c r="X37" i="12"/>
  <c r="W37" i="12"/>
  <c r="V37" i="12"/>
  <c r="U37" i="12"/>
  <c r="T37" i="12"/>
  <c r="S37" i="12"/>
  <c r="S75" i="12" s="1"/>
  <c r="R37" i="12"/>
  <c r="Q37" i="12"/>
  <c r="P37" i="12"/>
  <c r="O37" i="12"/>
  <c r="N37" i="12"/>
  <c r="M37" i="12"/>
  <c r="L37" i="12"/>
  <c r="K37" i="12"/>
  <c r="J37" i="12"/>
  <c r="I37" i="12"/>
  <c r="H37" i="12"/>
  <c r="G37" i="12"/>
  <c r="G75" i="12" s="1"/>
  <c r="F37" i="12"/>
  <c r="E37" i="12"/>
  <c r="D37" i="12"/>
  <c r="AC36" i="12"/>
  <c r="AC75" i="12" s="1"/>
  <c r="AB36" i="12"/>
  <c r="AB75" i="12" s="1"/>
  <c r="AA36" i="12"/>
  <c r="AA75" i="12" s="1"/>
  <c r="Z36" i="12"/>
  <c r="Y36" i="12"/>
  <c r="X36" i="12"/>
  <c r="W36" i="12"/>
  <c r="V36" i="12"/>
  <c r="U36" i="12"/>
  <c r="T36" i="12"/>
  <c r="S36" i="12"/>
  <c r="R36" i="12"/>
  <c r="R75" i="12" s="1"/>
  <c r="Q36" i="12"/>
  <c r="Q75" i="12" s="1"/>
  <c r="P36" i="12"/>
  <c r="P75" i="12" s="1"/>
  <c r="O36" i="12"/>
  <c r="O75" i="12" s="1"/>
  <c r="N36" i="12"/>
  <c r="M36" i="12"/>
  <c r="L36" i="12"/>
  <c r="K36" i="12"/>
  <c r="J36" i="12"/>
  <c r="I36" i="12"/>
  <c r="H36" i="12"/>
  <c r="G36" i="12"/>
  <c r="F36" i="12"/>
  <c r="F75" i="12" s="1"/>
  <c r="E36" i="12"/>
  <c r="E75" i="12" s="1"/>
  <c r="D36" i="12"/>
  <c r="D75" i="12" s="1"/>
  <c r="AC65" i="11"/>
  <c r="AB65" i="11"/>
  <c r="AA65" i="11"/>
  <c r="Z65" i="11"/>
  <c r="Y65" i="11"/>
  <c r="X65" i="11"/>
  <c r="W65" i="11"/>
  <c r="V65" i="11"/>
  <c r="U65" i="11"/>
  <c r="T65" i="11"/>
  <c r="S65" i="11"/>
  <c r="R65" i="11"/>
  <c r="Q65" i="11"/>
  <c r="P65" i="11"/>
  <c r="O65" i="11"/>
  <c r="N65" i="11"/>
  <c r="M65" i="11"/>
  <c r="L65" i="11"/>
  <c r="K65" i="11"/>
  <c r="J65" i="11"/>
  <c r="I65" i="11"/>
  <c r="H65" i="11"/>
  <c r="G65" i="11"/>
  <c r="F65" i="11"/>
  <c r="E65" i="11"/>
  <c r="D65" i="11"/>
  <c r="AC64" i="11"/>
  <c r="AB64" i="11"/>
  <c r="AA64" i="11"/>
  <c r="Z64" i="11"/>
  <c r="Y64" i="11"/>
  <c r="X64" i="11"/>
  <c r="W64" i="11"/>
  <c r="V64" i="11"/>
  <c r="U64" i="11"/>
  <c r="T64" i="11"/>
  <c r="S64" i="11"/>
  <c r="R64" i="11"/>
  <c r="Q64" i="11"/>
  <c r="P64" i="11"/>
  <c r="O64" i="11"/>
  <c r="N64" i="11"/>
  <c r="M64" i="11"/>
  <c r="L64" i="11"/>
  <c r="K64" i="11"/>
  <c r="J64" i="11"/>
  <c r="I64" i="11"/>
  <c r="H64" i="11"/>
  <c r="G64" i="11"/>
  <c r="F64" i="11"/>
  <c r="E64" i="11"/>
  <c r="D64" i="11"/>
  <c r="AC63" i="11"/>
  <c r="AB63" i="11"/>
  <c r="AA63" i="11"/>
  <c r="Z63" i="11"/>
  <c r="Y63" i="11"/>
  <c r="X63" i="11"/>
  <c r="W63" i="11"/>
  <c r="V63" i="11"/>
  <c r="U63" i="11"/>
  <c r="T63" i="11"/>
  <c r="S63" i="11"/>
  <c r="R63" i="11"/>
  <c r="Q63" i="11"/>
  <c r="P63" i="11"/>
  <c r="O63" i="11"/>
  <c r="N63" i="11"/>
  <c r="M63" i="11"/>
  <c r="L63" i="11"/>
  <c r="K63" i="11"/>
  <c r="J63" i="11"/>
  <c r="I63" i="11"/>
  <c r="H63" i="11"/>
  <c r="G63" i="11"/>
  <c r="F63" i="11"/>
  <c r="E63" i="11"/>
  <c r="D63" i="11"/>
  <c r="AC62" i="11"/>
  <c r="AB62" i="11"/>
  <c r="AA62" i="11"/>
  <c r="Z62" i="11"/>
  <c r="Y62" i="11"/>
  <c r="X62" i="11"/>
  <c r="W62" i="11"/>
  <c r="V62" i="11"/>
  <c r="U62" i="11"/>
  <c r="T62" i="11"/>
  <c r="S62" i="11"/>
  <c r="R62" i="11"/>
  <c r="Q62" i="11"/>
  <c r="P62" i="11"/>
  <c r="O62" i="11"/>
  <c r="N62" i="11"/>
  <c r="M62" i="11"/>
  <c r="L62" i="11"/>
  <c r="K62" i="11"/>
  <c r="J62" i="11"/>
  <c r="I62" i="11"/>
  <c r="H62" i="11"/>
  <c r="G62" i="11"/>
  <c r="F62" i="11"/>
  <c r="E62" i="11"/>
  <c r="D62" i="11"/>
  <c r="AC61" i="11"/>
  <c r="AB61" i="11"/>
  <c r="AA61" i="11"/>
  <c r="Z61" i="11"/>
  <c r="Y61" i="11"/>
  <c r="X61" i="11"/>
  <c r="W61" i="11"/>
  <c r="V61" i="11"/>
  <c r="U61" i="11"/>
  <c r="T61" i="11"/>
  <c r="S61" i="11"/>
  <c r="R61" i="11"/>
  <c r="Q61" i="11"/>
  <c r="P61" i="11"/>
  <c r="O61" i="11"/>
  <c r="N61" i="11"/>
  <c r="M61" i="11"/>
  <c r="L61" i="11"/>
  <c r="K61" i="11"/>
  <c r="J61" i="11"/>
  <c r="I61" i="11"/>
  <c r="H61" i="11"/>
  <c r="G61" i="11"/>
  <c r="F61" i="11"/>
  <c r="E61" i="11"/>
  <c r="D61" i="11"/>
  <c r="AC60" i="11"/>
  <c r="AB60" i="11"/>
  <c r="AA60" i="11"/>
  <c r="Z60" i="11"/>
  <c r="Y60" i="11"/>
  <c r="X60" i="11"/>
  <c r="W60" i="11"/>
  <c r="V60" i="11"/>
  <c r="U60" i="11"/>
  <c r="T60" i="11"/>
  <c r="S60" i="11"/>
  <c r="R60" i="11"/>
  <c r="Q60" i="11"/>
  <c r="P60" i="11"/>
  <c r="O60" i="11"/>
  <c r="N60" i="11"/>
  <c r="M60" i="11"/>
  <c r="L60" i="11"/>
  <c r="K60" i="11"/>
  <c r="J60" i="11"/>
  <c r="I60" i="11"/>
  <c r="H60" i="11"/>
  <c r="G60" i="11"/>
  <c r="F60" i="11"/>
  <c r="E60" i="11"/>
  <c r="D60" i="11"/>
  <c r="AC59" i="11"/>
  <c r="AB59" i="11"/>
  <c r="AA59" i="11"/>
  <c r="Z59" i="11"/>
  <c r="Y59" i="11"/>
  <c r="X59" i="11"/>
  <c r="W59" i="11"/>
  <c r="V59" i="11"/>
  <c r="U59" i="11"/>
  <c r="T59" i="11"/>
  <c r="S59" i="11"/>
  <c r="R59" i="11"/>
  <c r="Q59" i="11"/>
  <c r="P59" i="11"/>
  <c r="O59" i="11"/>
  <c r="N59" i="11"/>
  <c r="M59" i="11"/>
  <c r="L59" i="11"/>
  <c r="K59" i="11"/>
  <c r="J59" i="11"/>
  <c r="I59" i="11"/>
  <c r="H59" i="11"/>
  <c r="G59" i="11"/>
  <c r="F59" i="11"/>
  <c r="E59" i="11"/>
  <c r="D59" i="11"/>
  <c r="AC58" i="11"/>
  <c r="AB58" i="11"/>
  <c r="AA58" i="11"/>
  <c r="Z58" i="11"/>
  <c r="Y58" i="11"/>
  <c r="X58" i="11"/>
  <c r="W58" i="11"/>
  <c r="V58" i="11"/>
  <c r="U58" i="11"/>
  <c r="T58" i="11"/>
  <c r="S58" i="11"/>
  <c r="R58" i="11"/>
  <c r="Q58" i="11"/>
  <c r="P58" i="11"/>
  <c r="O58" i="11"/>
  <c r="N58" i="11"/>
  <c r="M58" i="11"/>
  <c r="L58" i="11"/>
  <c r="K58" i="11"/>
  <c r="J58" i="11"/>
  <c r="I58" i="11"/>
  <c r="H58" i="11"/>
  <c r="G58" i="11"/>
  <c r="F58" i="11"/>
  <c r="E58" i="11"/>
  <c r="D58" i="11"/>
  <c r="AC54" i="11"/>
  <c r="AB54" i="11"/>
  <c r="AA54" i="11"/>
  <c r="Z54" i="11"/>
  <c r="Y54" i="11"/>
  <c r="X54" i="11"/>
  <c r="W54" i="11"/>
  <c r="V54" i="11"/>
  <c r="U54" i="11"/>
  <c r="T54" i="11"/>
  <c r="S54" i="11"/>
  <c r="R54" i="11"/>
  <c r="Q54" i="11"/>
  <c r="P54" i="11"/>
  <c r="O54" i="11"/>
  <c r="N54" i="11"/>
  <c r="M54" i="11"/>
  <c r="L54" i="11"/>
  <c r="K54" i="11"/>
  <c r="J54" i="11"/>
  <c r="I54" i="11"/>
  <c r="H54" i="11"/>
  <c r="G54" i="11"/>
  <c r="F54" i="11"/>
  <c r="E54" i="11"/>
  <c r="D54" i="11"/>
  <c r="AC53" i="11"/>
  <c r="AB53" i="11"/>
  <c r="AA53" i="11"/>
  <c r="Z53" i="11"/>
  <c r="Y53" i="11"/>
  <c r="X53" i="11"/>
  <c r="W53" i="11"/>
  <c r="V53" i="11"/>
  <c r="U53" i="11"/>
  <c r="T53" i="11"/>
  <c r="S53" i="11"/>
  <c r="R53" i="11"/>
  <c r="Q53" i="11"/>
  <c r="P53" i="11"/>
  <c r="O53" i="11"/>
  <c r="N53" i="11"/>
  <c r="M53" i="11"/>
  <c r="L53" i="11"/>
  <c r="K53" i="11"/>
  <c r="J53" i="11"/>
  <c r="I53" i="11"/>
  <c r="H53" i="11"/>
  <c r="G53" i="11"/>
  <c r="F53" i="11"/>
  <c r="E53" i="11"/>
  <c r="D53" i="11"/>
  <c r="AC52" i="11"/>
  <c r="AB52" i="11"/>
  <c r="AA52" i="11"/>
  <c r="Z52" i="11"/>
  <c r="Y52" i="11"/>
  <c r="X52" i="11"/>
  <c r="W52" i="11"/>
  <c r="V52" i="11"/>
  <c r="U52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E52" i="11"/>
  <c r="D52" i="11"/>
  <c r="AC51" i="11"/>
  <c r="AB51" i="11"/>
  <c r="AA51" i="11"/>
  <c r="Z51" i="11"/>
  <c r="Y51" i="11"/>
  <c r="X51" i="11"/>
  <c r="W51" i="11"/>
  <c r="V51" i="11"/>
  <c r="U51" i="11"/>
  <c r="T51" i="11"/>
  <c r="S51" i="11"/>
  <c r="R51" i="11"/>
  <c r="Q51" i="11"/>
  <c r="P51" i="11"/>
  <c r="O51" i="11"/>
  <c r="N51" i="11"/>
  <c r="M51" i="11"/>
  <c r="L51" i="11"/>
  <c r="K51" i="11"/>
  <c r="J51" i="11"/>
  <c r="I51" i="11"/>
  <c r="H51" i="11"/>
  <c r="G51" i="11"/>
  <c r="F51" i="11"/>
  <c r="E51" i="11"/>
  <c r="D51" i="11"/>
  <c r="AC50" i="11"/>
  <c r="AB50" i="11"/>
  <c r="AA50" i="11"/>
  <c r="Z50" i="11"/>
  <c r="Y50" i="11"/>
  <c r="X50" i="11"/>
  <c r="W50" i="11"/>
  <c r="V50" i="11"/>
  <c r="U50" i="11"/>
  <c r="T50" i="11"/>
  <c r="S50" i="11"/>
  <c r="R50" i="11"/>
  <c r="Q50" i="11"/>
  <c r="P50" i="11"/>
  <c r="O50" i="11"/>
  <c r="N50" i="11"/>
  <c r="M50" i="11"/>
  <c r="L50" i="11"/>
  <c r="K50" i="11"/>
  <c r="J50" i="11"/>
  <c r="I50" i="11"/>
  <c r="H50" i="11"/>
  <c r="G50" i="11"/>
  <c r="F50" i="11"/>
  <c r="E50" i="11"/>
  <c r="D50" i="11"/>
  <c r="AC49" i="11"/>
  <c r="AB49" i="11"/>
  <c r="AA49" i="11"/>
  <c r="Z49" i="11"/>
  <c r="Y49" i="11"/>
  <c r="X49" i="11"/>
  <c r="W49" i="11"/>
  <c r="V49" i="11"/>
  <c r="U49" i="11"/>
  <c r="T49" i="11"/>
  <c r="S49" i="11"/>
  <c r="R49" i="11"/>
  <c r="Q49" i="11"/>
  <c r="P49" i="11"/>
  <c r="O49" i="11"/>
  <c r="N49" i="11"/>
  <c r="M49" i="11"/>
  <c r="L49" i="11"/>
  <c r="K49" i="11"/>
  <c r="J49" i="11"/>
  <c r="I49" i="11"/>
  <c r="H49" i="11"/>
  <c r="G49" i="11"/>
  <c r="F49" i="11"/>
  <c r="E49" i="11"/>
  <c r="D49" i="11"/>
  <c r="AC48" i="11"/>
  <c r="AB48" i="11"/>
  <c r="AA48" i="11"/>
  <c r="Z48" i="11"/>
  <c r="Y48" i="11"/>
  <c r="X48" i="11"/>
  <c r="W48" i="11"/>
  <c r="V48" i="1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F48" i="11"/>
  <c r="E48" i="11"/>
  <c r="D48" i="11"/>
  <c r="AC47" i="11"/>
  <c r="AB47" i="11"/>
  <c r="AA47" i="11"/>
  <c r="Z47" i="11"/>
  <c r="Y47" i="11"/>
  <c r="X47" i="11"/>
  <c r="W47" i="11"/>
  <c r="V47" i="11"/>
  <c r="U47" i="11"/>
  <c r="T47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AC43" i="11"/>
  <c r="AB43" i="11"/>
  <c r="AA43" i="11"/>
  <c r="Z43" i="11"/>
  <c r="Y43" i="11"/>
  <c r="X43" i="11"/>
  <c r="W43" i="11"/>
  <c r="V43" i="11"/>
  <c r="U43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E43" i="11"/>
  <c r="D43" i="11"/>
  <c r="AC42" i="11"/>
  <c r="AB42" i="11"/>
  <c r="AA42" i="11"/>
  <c r="Z42" i="11"/>
  <c r="Y42" i="11"/>
  <c r="X42" i="11"/>
  <c r="W42" i="11"/>
  <c r="V42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E42" i="11"/>
  <c r="D42" i="11"/>
  <c r="AC41" i="11"/>
  <c r="AB41" i="11"/>
  <c r="AA41" i="11"/>
  <c r="Z41" i="11"/>
  <c r="Y41" i="11"/>
  <c r="X41" i="11"/>
  <c r="W41" i="1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AC40" i="11"/>
  <c r="AB40" i="11"/>
  <c r="AA40" i="11"/>
  <c r="Z40" i="11"/>
  <c r="Y40" i="11"/>
  <c r="X40" i="11"/>
  <c r="W40" i="11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AC39" i="11"/>
  <c r="AB39" i="11"/>
  <c r="AA39" i="11"/>
  <c r="Z39" i="11"/>
  <c r="Y39" i="11"/>
  <c r="X39" i="11"/>
  <c r="W39" i="11"/>
  <c r="V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AC38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AC37" i="11"/>
  <c r="AB37" i="11"/>
  <c r="AA37" i="11"/>
  <c r="Z37" i="11"/>
  <c r="Y37" i="11"/>
  <c r="X37" i="11"/>
  <c r="W37" i="11"/>
  <c r="V37" i="11"/>
  <c r="V75" i="11" s="1"/>
  <c r="U37" i="11"/>
  <c r="T37" i="11"/>
  <c r="S37" i="11"/>
  <c r="R37" i="11"/>
  <c r="Q37" i="11"/>
  <c r="P37" i="11"/>
  <c r="O37" i="11"/>
  <c r="N37" i="11"/>
  <c r="M37" i="11"/>
  <c r="L37" i="11"/>
  <c r="K37" i="11"/>
  <c r="J37" i="11"/>
  <c r="J75" i="11" s="1"/>
  <c r="I37" i="11"/>
  <c r="H37" i="11"/>
  <c r="G37" i="11"/>
  <c r="F37" i="11"/>
  <c r="E37" i="11"/>
  <c r="D37" i="11"/>
  <c r="AC36" i="11"/>
  <c r="AB36" i="11"/>
  <c r="AA36" i="11"/>
  <c r="Z36" i="11"/>
  <c r="Z75" i="11" s="1"/>
  <c r="Y36" i="11"/>
  <c r="X36" i="11"/>
  <c r="W36" i="11"/>
  <c r="W75" i="11" s="1"/>
  <c r="V36" i="11"/>
  <c r="U36" i="11"/>
  <c r="T36" i="11"/>
  <c r="S36" i="11"/>
  <c r="S75" i="11" s="1"/>
  <c r="R36" i="11"/>
  <c r="R75" i="11" s="1"/>
  <c r="Q36" i="11"/>
  <c r="P36" i="11"/>
  <c r="O36" i="11"/>
  <c r="N36" i="11"/>
  <c r="N75" i="11" s="1"/>
  <c r="M36" i="11"/>
  <c r="M75" i="11" s="1"/>
  <c r="L36" i="11"/>
  <c r="K36" i="11"/>
  <c r="J36" i="11"/>
  <c r="I36" i="11"/>
  <c r="H36" i="11"/>
  <c r="G36" i="11"/>
  <c r="G75" i="11" s="1"/>
  <c r="F36" i="11"/>
  <c r="F75" i="11" s="1"/>
  <c r="E36" i="11"/>
  <c r="D36" i="11"/>
  <c r="AC65" i="10"/>
  <c r="AB65" i="10"/>
  <c r="AA65" i="10"/>
  <c r="Z65" i="10"/>
  <c r="Y65" i="10"/>
  <c r="X65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AC64" i="10"/>
  <c r="AB64" i="10"/>
  <c r="AA64" i="10"/>
  <c r="Z64" i="10"/>
  <c r="Y64" i="10"/>
  <c r="X64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AC63" i="10"/>
  <c r="AB63" i="10"/>
  <c r="AA63" i="10"/>
  <c r="Z63" i="10"/>
  <c r="Y63" i="10"/>
  <c r="X63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AC62" i="10"/>
  <c r="AB62" i="10"/>
  <c r="AA62" i="10"/>
  <c r="Z62" i="10"/>
  <c r="Y62" i="10"/>
  <c r="X62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AC61" i="10"/>
  <c r="AB61" i="10"/>
  <c r="AA61" i="10"/>
  <c r="Z61" i="10"/>
  <c r="Y61" i="10"/>
  <c r="X61" i="10"/>
  <c r="W61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AC60" i="10"/>
  <c r="AB60" i="10"/>
  <c r="AA60" i="10"/>
  <c r="Z60" i="10"/>
  <c r="Y60" i="10"/>
  <c r="X60" i="10"/>
  <c r="W60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AC59" i="10"/>
  <c r="AB59" i="10"/>
  <c r="AA59" i="10"/>
  <c r="Z59" i="10"/>
  <c r="Y59" i="10"/>
  <c r="X59" i="10"/>
  <c r="W59" i="10"/>
  <c r="V59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AC58" i="10"/>
  <c r="AB58" i="10"/>
  <c r="AA58" i="10"/>
  <c r="Z58" i="10"/>
  <c r="Y58" i="10"/>
  <c r="X58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AC54" i="10"/>
  <c r="AB54" i="10"/>
  <c r="AA54" i="10"/>
  <c r="Z54" i="10"/>
  <c r="Y54" i="10"/>
  <c r="X54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AC53" i="10"/>
  <c r="AB53" i="10"/>
  <c r="AA53" i="10"/>
  <c r="Z53" i="10"/>
  <c r="Y53" i="10"/>
  <c r="X53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AC52" i="10"/>
  <c r="AB52" i="10"/>
  <c r="AA52" i="10"/>
  <c r="Z52" i="10"/>
  <c r="Y52" i="10"/>
  <c r="X52" i="10"/>
  <c r="W52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AC51" i="10"/>
  <c r="AB51" i="10"/>
  <c r="AA51" i="10"/>
  <c r="Z51" i="10"/>
  <c r="Y51" i="10"/>
  <c r="X51" i="10"/>
  <c r="W51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E51" i="10"/>
  <c r="D51" i="10"/>
  <c r="AC50" i="10"/>
  <c r="AB50" i="10"/>
  <c r="AA50" i="10"/>
  <c r="Z50" i="10"/>
  <c r="Y50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AC49" i="10"/>
  <c r="AB49" i="10"/>
  <c r="AA49" i="10"/>
  <c r="Z49" i="10"/>
  <c r="Y49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AC48" i="10"/>
  <c r="AB48" i="10"/>
  <c r="AA48" i="10"/>
  <c r="Z48" i="10"/>
  <c r="Y48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AC47" i="10"/>
  <c r="AB47" i="10"/>
  <c r="AA47" i="10"/>
  <c r="Z47" i="10"/>
  <c r="Y47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AC43" i="10"/>
  <c r="AB43" i="10"/>
  <c r="AA43" i="10"/>
  <c r="Z43" i="10"/>
  <c r="Y43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AC42" i="10"/>
  <c r="AB42" i="10"/>
  <c r="AA42" i="10"/>
  <c r="Z42" i="10"/>
  <c r="Y42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AC41" i="10"/>
  <c r="AB41" i="10"/>
  <c r="AA41" i="10"/>
  <c r="Z41" i="10"/>
  <c r="Y41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AC40" i="10"/>
  <c r="AB40" i="10"/>
  <c r="AA40" i="10"/>
  <c r="Z40" i="10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AC39" i="10"/>
  <c r="AB39" i="10"/>
  <c r="AA39" i="10"/>
  <c r="Z39" i="10"/>
  <c r="Y39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AC38" i="10"/>
  <c r="AB38" i="10"/>
  <c r="AA38" i="10"/>
  <c r="Z38" i="10"/>
  <c r="Y38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AC37" i="10"/>
  <c r="AB37" i="10"/>
  <c r="AA37" i="10"/>
  <c r="Z37" i="10"/>
  <c r="Y37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AC36" i="10"/>
  <c r="AB36" i="10"/>
  <c r="AA36" i="10"/>
  <c r="Z36" i="10"/>
  <c r="Y36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R61" i="7"/>
  <c r="E47" i="7"/>
  <c r="F47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T47" i="7"/>
  <c r="U47" i="7"/>
  <c r="V47" i="7"/>
  <c r="W47" i="7"/>
  <c r="X47" i="7"/>
  <c r="Y47" i="7"/>
  <c r="Z47" i="7"/>
  <c r="AA47" i="7"/>
  <c r="AB47" i="7"/>
  <c r="AC47" i="7"/>
  <c r="E48" i="7"/>
  <c r="F48" i="7"/>
  <c r="G48" i="7"/>
  <c r="H48" i="7"/>
  <c r="I48" i="7"/>
  <c r="J48" i="7"/>
  <c r="K48" i="7"/>
  <c r="L48" i="7"/>
  <c r="M48" i="7"/>
  <c r="N48" i="7"/>
  <c r="O48" i="7"/>
  <c r="P48" i="7"/>
  <c r="Q48" i="7"/>
  <c r="R48" i="7"/>
  <c r="S48" i="7"/>
  <c r="T48" i="7"/>
  <c r="U48" i="7"/>
  <c r="V48" i="7"/>
  <c r="W48" i="7"/>
  <c r="X48" i="7"/>
  <c r="Y48" i="7"/>
  <c r="Z48" i="7"/>
  <c r="AA48" i="7"/>
  <c r="AB48" i="7"/>
  <c r="AC48" i="7"/>
  <c r="E49" i="7"/>
  <c r="F49" i="7"/>
  <c r="G49" i="7"/>
  <c r="H49" i="7"/>
  <c r="I49" i="7"/>
  <c r="J49" i="7"/>
  <c r="K49" i="7"/>
  <c r="L49" i="7"/>
  <c r="M49" i="7"/>
  <c r="N49" i="7"/>
  <c r="O49" i="7"/>
  <c r="P49" i="7"/>
  <c r="Q49" i="7"/>
  <c r="R49" i="7"/>
  <c r="S49" i="7"/>
  <c r="T49" i="7"/>
  <c r="U49" i="7"/>
  <c r="V49" i="7"/>
  <c r="W49" i="7"/>
  <c r="X49" i="7"/>
  <c r="Y49" i="7"/>
  <c r="Z49" i="7"/>
  <c r="AA49" i="7"/>
  <c r="AB49" i="7"/>
  <c r="AC49" i="7"/>
  <c r="E50" i="7"/>
  <c r="F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E51" i="7"/>
  <c r="F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E52" i="7"/>
  <c r="F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T52" i="7"/>
  <c r="U52" i="7"/>
  <c r="V52" i="7"/>
  <c r="W52" i="7"/>
  <c r="X52" i="7"/>
  <c r="Y52" i="7"/>
  <c r="Z52" i="7"/>
  <c r="AA52" i="7"/>
  <c r="AB52" i="7"/>
  <c r="AC52" i="7"/>
  <c r="E53" i="7"/>
  <c r="F53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T53" i="7"/>
  <c r="U53" i="7"/>
  <c r="V53" i="7"/>
  <c r="W53" i="7"/>
  <c r="X53" i="7"/>
  <c r="Y53" i="7"/>
  <c r="Z53" i="7"/>
  <c r="AA53" i="7"/>
  <c r="AB53" i="7"/>
  <c r="AC53" i="7"/>
  <c r="E54" i="7"/>
  <c r="F54" i="7"/>
  <c r="G54" i="7"/>
  <c r="H54" i="7"/>
  <c r="I54" i="7"/>
  <c r="J54" i="7"/>
  <c r="K54" i="7"/>
  <c r="L54" i="7"/>
  <c r="M54" i="7"/>
  <c r="N54" i="7"/>
  <c r="O54" i="7"/>
  <c r="P54" i="7"/>
  <c r="Q54" i="7"/>
  <c r="R54" i="7"/>
  <c r="S54" i="7"/>
  <c r="T54" i="7"/>
  <c r="U54" i="7"/>
  <c r="V54" i="7"/>
  <c r="W54" i="7"/>
  <c r="X54" i="7"/>
  <c r="Y54" i="7"/>
  <c r="Z54" i="7"/>
  <c r="AA54" i="7"/>
  <c r="AB54" i="7"/>
  <c r="AC54" i="7"/>
  <c r="D48" i="7"/>
  <c r="D49" i="7"/>
  <c r="D50" i="7"/>
  <c r="D51" i="7"/>
  <c r="D52" i="7"/>
  <c r="D53" i="7"/>
  <c r="D54" i="7"/>
  <c r="E36" i="7"/>
  <c r="F36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AA36" i="7"/>
  <c r="AB36" i="7"/>
  <c r="AC36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E38" i="7"/>
  <c r="F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Z38" i="7"/>
  <c r="AA38" i="7"/>
  <c r="AB38" i="7"/>
  <c r="AC38" i="7"/>
  <c r="E39" i="7"/>
  <c r="F39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T39" i="7"/>
  <c r="U39" i="7"/>
  <c r="V39" i="7"/>
  <c r="W39" i="7"/>
  <c r="X39" i="7"/>
  <c r="Y39" i="7"/>
  <c r="Z39" i="7"/>
  <c r="AA39" i="7"/>
  <c r="AB39" i="7"/>
  <c r="AC39" i="7"/>
  <c r="E40" i="7"/>
  <c r="F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T40" i="7"/>
  <c r="U40" i="7"/>
  <c r="V40" i="7"/>
  <c r="W40" i="7"/>
  <c r="X40" i="7"/>
  <c r="Y40" i="7"/>
  <c r="Z40" i="7"/>
  <c r="AA40" i="7"/>
  <c r="AB40" i="7"/>
  <c r="AC40" i="7"/>
  <c r="E41" i="7"/>
  <c r="F41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T41" i="7"/>
  <c r="U41" i="7"/>
  <c r="V41" i="7"/>
  <c r="W41" i="7"/>
  <c r="X41" i="7"/>
  <c r="Y41" i="7"/>
  <c r="Z41" i="7"/>
  <c r="AA41" i="7"/>
  <c r="AB41" i="7"/>
  <c r="AC41" i="7"/>
  <c r="E42" i="7"/>
  <c r="F42" i="7"/>
  <c r="G42" i="7"/>
  <c r="H42" i="7"/>
  <c r="I42" i="7"/>
  <c r="J42" i="7"/>
  <c r="K42" i="7"/>
  <c r="L42" i="7"/>
  <c r="M42" i="7"/>
  <c r="N42" i="7"/>
  <c r="O42" i="7"/>
  <c r="P42" i="7"/>
  <c r="Q42" i="7"/>
  <c r="R42" i="7"/>
  <c r="S42" i="7"/>
  <c r="T42" i="7"/>
  <c r="U42" i="7"/>
  <c r="V42" i="7"/>
  <c r="W42" i="7"/>
  <c r="X42" i="7"/>
  <c r="Y42" i="7"/>
  <c r="Z42" i="7"/>
  <c r="AA42" i="7"/>
  <c r="AB42" i="7"/>
  <c r="AC42" i="7"/>
  <c r="E43" i="7"/>
  <c r="F43" i="7"/>
  <c r="G43" i="7"/>
  <c r="H43" i="7"/>
  <c r="I43" i="7"/>
  <c r="J43" i="7"/>
  <c r="K43" i="7"/>
  <c r="L43" i="7"/>
  <c r="M43" i="7"/>
  <c r="N43" i="7"/>
  <c r="O43" i="7"/>
  <c r="P43" i="7"/>
  <c r="Q43" i="7"/>
  <c r="R43" i="7"/>
  <c r="S43" i="7"/>
  <c r="T43" i="7"/>
  <c r="U43" i="7"/>
  <c r="V43" i="7"/>
  <c r="W43" i="7"/>
  <c r="X43" i="7"/>
  <c r="Y43" i="7"/>
  <c r="Z43" i="7"/>
  <c r="AA43" i="7"/>
  <c r="AB43" i="7"/>
  <c r="AC43" i="7"/>
  <c r="D37" i="7"/>
  <c r="D38" i="7"/>
  <c r="D39" i="7"/>
  <c r="D40" i="7"/>
  <c r="D41" i="7"/>
  <c r="D42" i="7"/>
  <c r="D43" i="7"/>
  <c r="E47" i="6"/>
  <c r="F47" i="6"/>
  <c r="G47" i="6"/>
  <c r="H47" i="6"/>
  <c r="I47" i="6"/>
  <c r="J47" i="6"/>
  <c r="K47" i="6"/>
  <c r="L47" i="6"/>
  <c r="M47" i="6"/>
  <c r="N47" i="6"/>
  <c r="O47" i="6"/>
  <c r="P47" i="6"/>
  <c r="Q47" i="6"/>
  <c r="R47" i="6"/>
  <c r="S47" i="6"/>
  <c r="T47" i="6"/>
  <c r="U47" i="6"/>
  <c r="V47" i="6"/>
  <c r="W47" i="6"/>
  <c r="X47" i="6"/>
  <c r="Y47" i="6"/>
  <c r="Z47" i="6"/>
  <c r="AA47" i="6"/>
  <c r="AB47" i="6"/>
  <c r="AC47" i="6"/>
  <c r="E48" i="6"/>
  <c r="F48" i="6"/>
  <c r="G48" i="6"/>
  <c r="H48" i="6"/>
  <c r="I48" i="6"/>
  <c r="J48" i="6"/>
  <c r="K48" i="6"/>
  <c r="L48" i="6"/>
  <c r="M48" i="6"/>
  <c r="N48" i="6"/>
  <c r="O48" i="6"/>
  <c r="P48" i="6"/>
  <c r="Q48" i="6"/>
  <c r="R48" i="6"/>
  <c r="S48" i="6"/>
  <c r="T48" i="6"/>
  <c r="U48" i="6"/>
  <c r="V48" i="6"/>
  <c r="W48" i="6"/>
  <c r="X48" i="6"/>
  <c r="Y48" i="6"/>
  <c r="Z48" i="6"/>
  <c r="AA48" i="6"/>
  <c r="AB48" i="6"/>
  <c r="AC48" i="6"/>
  <c r="E49" i="6"/>
  <c r="F49" i="6"/>
  <c r="G49" i="6"/>
  <c r="H49" i="6"/>
  <c r="I49" i="6"/>
  <c r="J49" i="6"/>
  <c r="K49" i="6"/>
  <c r="L49" i="6"/>
  <c r="M49" i="6"/>
  <c r="N49" i="6"/>
  <c r="O49" i="6"/>
  <c r="P49" i="6"/>
  <c r="Q49" i="6"/>
  <c r="R49" i="6"/>
  <c r="S49" i="6"/>
  <c r="T49" i="6"/>
  <c r="U49" i="6"/>
  <c r="V49" i="6"/>
  <c r="W49" i="6"/>
  <c r="X49" i="6"/>
  <c r="Y49" i="6"/>
  <c r="Z49" i="6"/>
  <c r="AA49" i="6"/>
  <c r="AB49" i="6"/>
  <c r="AC49" i="6"/>
  <c r="E50" i="6"/>
  <c r="F50" i="6"/>
  <c r="G50" i="6"/>
  <c r="H50" i="6"/>
  <c r="I50" i="6"/>
  <c r="J50" i="6"/>
  <c r="K50" i="6"/>
  <c r="L50" i="6"/>
  <c r="M50" i="6"/>
  <c r="N50" i="6"/>
  <c r="O50" i="6"/>
  <c r="P50" i="6"/>
  <c r="Q50" i="6"/>
  <c r="R50" i="6"/>
  <c r="S50" i="6"/>
  <c r="T50" i="6"/>
  <c r="U50" i="6"/>
  <c r="V50" i="6"/>
  <c r="W50" i="6"/>
  <c r="X50" i="6"/>
  <c r="Y50" i="6"/>
  <c r="Z50" i="6"/>
  <c r="AA50" i="6"/>
  <c r="AB50" i="6"/>
  <c r="AC50" i="6"/>
  <c r="E51" i="6"/>
  <c r="F51" i="6"/>
  <c r="G51" i="6"/>
  <c r="H51" i="6"/>
  <c r="I51" i="6"/>
  <c r="J51" i="6"/>
  <c r="K51" i="6"/>
  <c r="L51" i="6"/>
  <c r="M51" i="6"/>
  <c r="N51" i="6"/>
  <c r="O51" i="6"/>
  <c r="P51" i="6"/>
  <c r="Q51" i="6"/>
  <c r="R51" i="6"/>
  <c r="S51" i="6"/>
  <c r="T51" i="6"/>
  <c r="U51" i="6"/>
  <c r="V51" i="6"/>
  <c r="W51" i="6"/>
  <c r="X51" i="6"/>
  <c r="Y51" i="6"/>
  <c r="Z51" i="6"/>
  <c r="AA51" i="6"/>
  <c r="AB51" i="6"/>
  <c r="AC51" i="6"/>
  <c r="E52" i="6"/>
  <c r="F52" i="6"/>
  <c r="G52" i="6"/>
  <c r="H52" i="6"/>
  <c r="I52" i="6"/>
  <c r="J52" i="6"/>
  <c r="K52" i="6"/>
  <c r="L52" i="6"/>
  <c r="M52" i="6"/>
  <c r="N52" i="6"/>
  <c r="O52" i="6"/>
  <c r="P52" i="6"/>
  <c r="Q52" i="6"/>
  <c r="R52" i="6"/>
  <c r="S52" i="6"/>
  <c r="T52" i="6"/>
  <c r="U52" i="6"/>
  <c r="V52" i="6"/>
  <c r="W52" i="6"/>
  <c r="X52" i="6"/>
  <c r="Y52" i="6"/>
  <c r="Z52" i="6"/>
  <c r="AA52" i="6"/>
  <c r="AB52" i="6"/>
  <c r="AC52" i="6"/>
  <c r="E53" i="6"/>
  <c r="F53" i="6"/>
  <c r="G53" i="6"/>
  <c r="H53" i="6"/>
  <c r="I53" i="6"/>
  <c r="J53" i="6"/>
  <c r="K53" i="6"/>
  <c r="L53" i="6"/>
  <c r="M53" i="6"/>
  <c r="N53" i="6"/>
  <c r="O53" i="6"/>
  <c r="P53" i="6"/>
  <c r="Q53" i="6"/>
  <c r="R53" i="6"/>
  <c r="S53" i="6"/>
  <c r="T53" i="6"/>
  <c r="U53" i="6"/>
  <c r="V53" i="6"/>
  <c r="W53" i="6"/>
  <c r="X53" i="6"/>
  <c r="Y53" i="6"/>
  <c r="Z53" i="6"/>
  <c r="AA53" i="6"/>
  <c r="AB53" i="6"/>
  <c r="AC53" i="6"/>
  <c r="E54" i="6"/>
  <c r="F54" i="6"/>
  <c r="G54" i="6"/>
  <c r="H54" i="6"/>
  <c r="I54" i="6"/>
  <c r="J54" i="6"/>
  <c r="K54" i="6"/>
  <c r="L54" i="6"/>
  <c r="M54" i="6"/>
  <c r="N54" i="6"/>
  <c r="O54" i="6"/>
  <c r="P54" i="6"/>
  <c r="Q54" i="6"/>
  <c r="R54" i="6"/>
  <c r="S54" i="6"/>
  <c r="T54" i="6"/>
  <c r="U54" i="6"/>
  <c r="V54" i="6"/>
  <c r="W54" i="6"/>
  <c r="X54" i="6"/>
  <c r="Y54" i="6"/>
  <c r="Z54" i="6"/>
  <c r="AA54" i="6"/>
  <c r="AB54" i="6"/>
  <c r="AC54" i="6"/>
  <c r="D48" i="6"/>
  <c r="D49" i="6"/>
  <c r="D50" i="6"/>
  <c r="D51" i="6"/>
  <c r="D52" i="6"/>
  <c r="D53" i="6"/>
  <c r="D54" i="6"/>
  <c r="E47" i="5"/>
  <c r="F47" i="5"/>
  <c r="G47" i="5"/>
  <c r="H47" i="5"/>
  <c r="I47" i="5"/>
  <c r="J47" i="5"/>
  <c r="K47" i="5"/>
  <c r="L47" i="5"/>
  <c r="M47" i="5"/>
  <c r="N47" i="5"/>
  <c r="O47" i="5"/>
  <c r="P47" i="5"/>
  <c r="Q47" i="5"/>
  <c r="R47" i="5"/>
  <c r="S47" i="5"/>
  <c r="T47" i="5"/>
  <c r="U47" i="5"/>
  <c r="V47" i="5"/>
  <c r="W47" i="5"/>
  <c r="X47" i="5"/>
  <c r="Y47" i="5"/>
  <c r="Z47" i="5"/>
  <c r="AA47" i="5"/>
  <c r="AB47" i="5"/>
  <c r="AC47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T48" i="5"/>
  <c r="U48" i="5"/>
  <c r="V48" i="5"/>
  <c r="W48" i="5"/>
  <c r="X48" i="5"/>
  <c r="Y48" i="5"/>
  <c r="Z48" i="5"/>
  <c r="AA48" i="5"/>
  <c r="AB48" i="5"/>
  <c r="AC48" i="5"/>
  <c r="E49" i="5"/>
  <c r="F49" i="5"/>
  <c r="G49" i="5"/>
  <c r="H49" i="5"/>
  <c r="I49" i="5"/>
  <c r="J49" i="5"/>
  <c r="K49" i="5"/>
  <c r="L49" i="5"/>
  <c r="M49" i="5"/>
  <c r="N49" i="5"/>
  <c r="O49" i="5"/>
  <c r="P49" i="5"/>
  <c r="Q49" i="5"/>
  <c r="R49" i="5"/>
  <c r="S49" i="5"/>
  <c r="T49" i="5"/>
  <c r="U49" i="5"/>
  <c r="V49" i="5"/>
  <c r="W49" i="5"/>
  <c r="X49" i="5"/>
  <c r="Y49" i="5"/>
  <c r="Z49" i="5"/>
  <c r="AA49" i="5"/>
  <c r="AB49" i="5"/>
  <c r="AC49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U50" i="5"/>
  <c r="V50" i="5"/>
  <c r="W50" i="5"/>
  <c r="X50" i="5"/>
  <c r="Y50" i="5"/>
  <c r="Z50" i="5"/>
  <c r="AA50" i="5"/>
  <c r="AB50" i="5"/>
  <c r="AC50" i="5"/>
  <c r="E51" i="5"/>
  <c r="F51" i="5"/>
  <c r="G51" i="5"/>
  <c r="H51" i="5"/>
  <c r="I51" i="5"/>
  <c r="J51" i="5"/>
  <c r="K51" i="5"/>
  <c r="L51" i="5"/>
  <c r="M51" i="5"/>
  <c r="N51" i="5"/>
  <c r="O51" i="5"/>
  <c r="P51" i="5"/>
  <c r="Q51" i="5"/>
  <c r="R51" i="5"/>
  <c r="S51" i="5"/>
  <c r="T51" i="5"/>
  <c r="U51" i="5"/>
  <c r="V51" i="5"/>
  <c r="W51" i="5"/>
  <c r="X51" i="5"/>
  <c r="Y51" i="5"/>
  <c r="Z51" i="5"/>
  <c r="AA51" i="5"/>
  <c r="AB51" i="5"/>
  <c r="AC51" i="5"/>
  <c r="E52" i="5"/>
  <c r="F52" i="5"/>
  <c r="G52" i="5"/>
  <c r="H52" i="5"/>
  <c r="I52" i="5"/>
  <c r="J52" i="5"/>
  <c r="K52" i="5"/>
  <c r="L52" i="5"/>
  <c r="M52" i="5"/>
  <c r="N52" i="5"/>
  <c r="O52" i="5"/>
  <c r="P52" i="5"/>
  <c r="Q52" i="5"/>
  <c r="R52" i="5"/>
  <c r="S52" i="5"/>
  <c r="T52" i="5"/>
  <c r="U52" i="5"/>
  <c r="V52" i="5"/>
  <c r="W52" i="5"/>
  <c r="X52" i="5"/>
  <c r="Y52" i="5"/>
  <c r="Z52" i="5"/>
  <c r="AA52" i="5"/>
  <c r="AB52" i="5"/>
  <c r="AC52" i="5"/>
  <c r="E53" i="5"/>
  <c r="F53" i="5"/>
  <c r="G53" i="5"/>
  <c r="H53" i="5"/>
  <c r="I53" i="5"/>
  <c r="J53" i="5"/>
  <c r="K53" i="5"/>
  <c r="L53" i="5"/>
  <c r="M53" i="5"/>
  <c r="N53" i="5"/>
  <c r="O53" i="5"/>
  <c r="P53" i="5"/>
  <c r="Q53" i="5"/>
  <c r="R53" i="5"/>
  <c r="S53" i="5"/>
  <c r="T53" i="5"/>
  <c r="U53" i="5"/>
  <c r="V53" i="5"/>
  <c r="W53" i="5"/>
  <c r="X53" i="5"/>
  <c r="Y53" i="5"/>
  <c r="Z53" i="5"/>
  <c r="AA53" i="5"/>
  <c r="AB53" i="5"/>
  <c r="AC53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S54" i="5"/>
  <c r="T54" i="5"/>
  <c r="U54" i="5"/>
  <c r="V54" i="5"/>
  <c r="W54" i="5"/>
  <c r="X54" i="5"/>
  <c r="Y54" i="5"/>
  <c r="Z54" i="5"/>
  <c r="AA54" i="5"/>
  <c r="AB54" i="5"/>
  <c r="AC54" i="5"/>
  <c r="D48" i="5"/>
  <c r="D49" i="5"/>
  <c r="D50" i="5"/>
  <c r="D51" i="5"/>
  <c r="D52" i="5"/>
  <c r="D53" i="5"/>
  <c r="D54" i="5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D48" i="4"/>
  <c r="D49" i="4"/>
  <c r="D50" i="4"/>
  <c r="D51" i="4"/>
  <c r="D52" i="4"/>
  <c r="D53" i="4"/>
  <c r="D54" i="4"/>
  <c r="D47" i="4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U47" i="3"/>
  <c r="V47" i="3"/>
  <c r="W47" i="3"/>
  <c r="X47" i="3"/>
  <c r="Y47" i="3"/>
  <c r="Z47" i="3"/>
  <c r="AA47" i="3"/>
  <c r="AB47" i="3"/>
  <c r="AC47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V48" i="3"/>
  <c r="W48" i="3"/>
  <c r="X48" i="3"/>
  <c r="Y48" i="3"/>
  <c r="Z48" i="3"/>
  <c r="AA48" i="3"/>
  <c r="AB48" i="3"/>
  <c r="AC48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V49" i="3"/>
  <c r="W49" i="3"/>
  <c r="X49" i="3"/>
  <c r="Y49" i="3"/>
  <c r="Z49" i="3"/>
  <c r="AA49" i="3"/>
  <c r="AB49" i="3"/>
  <c r="AC49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AB50" i="3"/>
  <c r="AC50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V51" i="3"/>
  <c r="W51" i="3"/>
  <c r="X51" i="3"/>
  <c r="Y51" i="3"/>
  <c r="Z51" i="3"/>
  <c r="AA51" i="3"/>
  <c r="AB51" i="3"/>
  <c r="AC51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Z52" i="3"/>
  <c r="AA52" i="3"/>
  <c r="AB52" i="3"/>
  <c r="AC52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D48" i="3"/>
  <c r="D49" i="3"/>
  <c r="D50" i="3"/>
  <c r="D51" i="3"/>
  <c r="D52" i="3"/>
  <c r="D53" i="3"/>
  <c r="D54" i="3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X47" i="2"/>
  <c r="Y47" i="2"/>
  <c r="Z47" i="2"/>
  <c r="AA47" i="2"/>
  <c r="AB47" i="2"/>
  <c r="AC47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W48" i="2"/>
  <c r="X48" i="2"/>
  <c r="Y48" i="2"/>
  <c r="Z48" i="2"/>
  <c r="AA48" i="2"/>
  <c r="AB48" i="2"/>
  <c r="AC48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Z50" i="2"/>
  <c r="AA50" i="2"/>
  <c r="AB50" i="2"/>
  <c r="AC50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U51" i="2"/>
  <c r="V51" i="2"/>
  <c r="W51" i="2"/>
  <c r="X51" i="2"/>
  <c r="Y51" i="2"/>
  <c r="Z51" i="2"/>
  <c r="AA51" i="2"/>
  <c r="AB51" i="2"/>
  <c r="AC51" i="2"/>
  <c r="E52" i="2"/>
  <c r="F52" i="2"/>
  <c r="G52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V52" i="2"/>
  <c r="W52" i="2"/>
  <c r="X52" i="2"/>
  <c r="Y52" i="2"/>
  <c r="Z52" i="2"/>
  <c r="AA52" i="2"/>
  <c r="AB52" i="2"/>
  <c r="AC52" i="2"/>
  <c r="E53" i="2"/>
  <c r="F53" i="2"/>
  <c r="G53" i="2"/>
  <c r="H53" i="2"/>
  <c r="I53" i="2"/>
  <c r="J53" i="2"/>
  <c r="K53" i="2"/>
  <c r="L53" i="2"/>
  <c r="M53" i="2"/>
  <c r="N53" i="2"/>
  <c r="O53" i="2"/>
  <c r="P53" i="2"/>
  <c r="Q53" i="2"/>
  <c r="R53" i="2"/>
  <c r="S53" i="2"/>
  <c r="T53" i="2"/>
  <c r="U53" i="2"/>
  <c r="V53" i="2"/>
  <c r="W53" i="2"/>
  <c r="X53" i="2"/>
  <c r="Y53" i="2"/>
  <c r="Z53" i="2"/>
  <c r="AA53" i="2"/>
  <c r="AB53" i="2"/>
  <c r="AC53" i="2"/>
  <c r="E54" i="2"/>
  <c r="F54" i="2"/>
  <c r="G54" i="2"/>
  <c r="H54" i="2"/>
  <c r="I54" i="2"/>
  <c r="J54" i="2"/>
  <c r="K54" i="2"/>
  <c r="L54" i="2"/>
  <c r="M54" i="2"/>
  <c r="N54" i="2"/>
  <c r="O54" i="2"/>
  <c r="P54" i="2"/>
  <c r="Q54" i="2"/>
  <c r="R54" i="2"/>
  <c r="S54" i="2"/>
  <c r="T54" i="2"/>
  <c r="U54" i="2"/>
  <c r="V54" i="2"/>
  <c r="W54" i="2"/>
  <c r="X54" i="2"/>
  <c r="Y54" i="2"/>
  <c r="Z54" i="2"/>
  <c r="AA54" i="2"/>
  <c r="AB54" i="2"/>
  <c r="AC54" i="2"/>
  <c r="D48" i="2"/>
  <c r="D49" i="2"/>
  <c r="D50" i="2"/>
  <c r="D51" i="2"/>
  <c r="D52" i="2"/>
  <c r="D53" i="2"/>
  <c r="D54" i="2"/>
  <c r="D47" i="2"/>
  <c r="T62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U62" i="1"/>
  <c r="V62" i="1"/>
  <c r="W62" i="1"/>
  <c r="X62" i="1"/>
  <c r="Y62" i="1"/>
  <c r="Z62" i="1"/>
  <c r="AA62" i="1"/>
  <c r="AB62" i="1"/>
  <c r="AC62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D61" i="1"/>
  <c r="D62" i="1"/>
  <c r="D63" i="1"/>
  <c r="D64" i="1"/>
  <c r="D65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D48" i="1"/>
  <c r="D49" i="1"/>
  <c r="D50" i="1"/>
  <c r="D51" i="1"/>
  <c r="D52" i="1"/>
  <c r="D53" i="1"/>
  <c r="D54" i="1"/>
  <c r="D47" i="1"/>
  <c r="D47" i="7"/>
  <c r="D36" i="7"/>
  <c r="AC65" i="7"/>
  <c r="AB65" i="7"/>
  <c r="AA65" i="7"/>
  <c r="Z65" i="7"/>
  <c r="Y65" i="7"/>
  <c r="X65" i="7"/>
  <c r="W65" i="7"/>
  <c r="V65" i="7"/>
  <c r="U65" i="7"/>
  <c r="T65" i="7"/>
  <c r="S65" i="7"/>
  <c r="R65" i="7"/>
  <c r="Q65" i="7"/>
  <c r="P65" i="7"/>
  <c r="O65" i="7"/>
  <c r="N65" i="7"/>
  <c r="M65" i="7"/>
  <c r="L65" i="7"/>
  <c r="K65" i="7"/>
  <c r="J65" i="7"/>
  <c r="I65" i="7"/>
  <c r="H65" i="7"/>
  <c r="G65" i="7"/>
  <c r="F65" i="7"/>
  <c r="E65" i="7"/>
  <c r="D65" i="7"/>
  <c r="AC64" i="7"/>
  <c r="AB64" i="7"/>
  <c r="AA64" i="7"/>
  <c r="Z64" i="7"/>
  <c r="Y64" i="7"/>
  <c r="X64" i="7"/>
  <c r="W64" i="7"/>
  <c r="V64" i="7"/>
  <c r="U64" i="7"/>
  <c r="T64" i="7"/>
  <c r="S64" i="7"/>
  <c r="R64" i="7"/>
  <c r="Q64" i="7"/>
  <c r="P64" i="7"/>
  <c r="O64" i="7"/>
  <c r="N64" i="7"/>
  <c r="M64" i="7"/>
  <c r="L64" i="7"/>
  <c r="K64" i="7"/>
  <c r="J64" i="7"/>
  <c r="I64" i="7"/>
  <c r="H64" i="7"/>
  <c r="G64" i="7"/>
  <c r="F64" i="7"/>
  <c r="E64" i="7"/>
  <c r="D64" i="7"/>
  <c r="AC63" i="7"/>
  <c r="AB63" i="7"/>
  <c r="AA63" i="7"/>
  <c r="Z63" i="7"/>
  <c r="Y63" i="7"/>
  <c r="X63" i="7"/>
  <c r="W63" i="7"/>
  <c r="V63" i="7"/>
  <c r="U63" i="7"/>
  <c r="T63" i="7"/>
  <c r="S63" i="7"/>
  <c r="R63" i="7"/>
  <c r="Q63" i="7"/>
  <c r="P63" i="7"/>
  <c r="O63" i="7"/>
  <c r="N63" i="7"/>
  <c r="M63" i="7"/>
  <c r="L63" i="7"/>
  <c r="K63" i="7"/>
  <c r="J63" i="7"/>
  <c r="I63" i="7"/>
  <c r="H63" i="7"/>
  <c r="G63" i="7"/>
  <c r="F63" i="7"/>
  <c r="E63" i="7"/>
  <c r="D63" i="7"/>
  <c r="AC62" i="7"/>
  <c r="AB62" i="7"/>
  <c r="AA62" i="7"/>
  <c r="Z62" i="7"/>
  <c r="Y62" i="7"/>
  <c r="X62" i="7"/>
  <c r="W62" i="7"/>
  <c r="V62" i="7"/>
  <c r="U62" i="7"/>
  <c r="T62" i="7"/>
  <c r="S62" i="7"/>
  <c r="R62" i="7"/>
  <c r="Q62" i="7"/>
  <c r="P62" i="7"/>
  <c r="O62" i="7"/>
  <c r="N62" i="7"/>
  <c r="M62" i="7"/>
  <c r="L62" i="7"/>
  <c r="K62" i="7"/>
  <c r="J62" i="7"/>
  <c r="I62" i="7"/>
  <c r="H62" i="7"/>
  <c r="G62" i="7"/>
  <c r="F62" i="7"/>
  <c r="E62" i="7"/>
  <c r="D62" i="7"/>
  <c r="AC61" i="7"/>
  <c r="AB61" i="7"/>
  <c r="AA61" i="7"/>
  <c r="Z61" i="7"/>
  <c r="Y61" i="7"/>
  <c r="X61" i="7"/>
  <c r="W61" i="7"/>
  <c r="V61" i="7"/>
  <c r="U61" i="7"/>
  <c r="T61" i="7"/>
  <c r="S61" i="7"/>
  <c r="Q61" i="7"/>
  <c r="P61" i="7"/>
  <c r="O61" i="7"/>
  <c r="N61" i="7"/>
  <c r="M61" i="7"/>
  <c r="L61" i="7"/>
  <c r="K61" i="7"/>
  <c r="J61" i="7"/>
  <c r="I61" i="7"/>
  <c r="H61" i="7"/>
  <c r="G61" i="7"/>
  <c r="F61" i="7"/>
  <c r="E61" i="7"/>
  <c r="D61" i="7"/>
  <c r="AC60" i="7"/>
  <c r="AB60" i="7"/>
  <c r="AA60" i="7"/>
  <c r="Z60" i="7"/>
  <c r="Y60" i="7"/>
  <c r="X60" i="7"/>
  <c r="W60" i="7"/>
  <c r="V60" i="7"/>
  <c r="U60" i="7"/>
  <c r="T60" i="7"/>
  <c r="S60" i="7"/>
  <c r="R60" i="7"/>
  <c r="Q60" i="7"/>
  <c r="P60" i="7"/>
  <c r="O60" i="7"/>
  <c r="N60" i="7"/>
  <c r="M60" i="7"/>
  <c r="L60" i="7"/>
  <c r="K60" i="7"/>
  <c r="J60" i="7"/>
  <c r="I60" i="7"/>
  <c r="H60" i="7"/>
  <c r="G60" i="7"/>
  <c r="F60" i="7"/>
  <c r="E60" i="7"/>
  <c r="D60" i="7"/>
  <c r="AC59" i="7"/>
  <c r="AB59" i="7"/>
  <c r="AA59" i="7"/>
  <c r="Z59" i="7"/>
  <c r="Y59" i="7"/>
  <c r="X59" i="7"/>
  <c r="W59" i="7"/>
  <c r="V59" i="7"/>
  <c r="U59" i="7"/>
  <c r="T59" i="7"/>
  <c r="S59" i="7"/>
  <c r="R59" i="7"/>
  <c r="Q59" i="7"/>
  <c r="P59" i="7"/>
  <c r="O59" i="7"/>
  <c r="N59" i="7"/>
  <c r="M59" i="7"/>
  <c r="L59" i="7"/>
  <c r="K59" i="7"/>
  <c r="J59" i="7"/>
  <c r="I59" i="7"/>
  <c r="H59" i="7"/>
  <c r="G59" i="7"/>
  <c r="F59" i="7"/>
  <c r="E59" i="7"/>
  <c r="D59" i="7"/>
  <c r="AC58" i="7"/>
  <c r="AB58" i="7"/>
  <c r="AA58" i="7"/>
  <c r="Z58" i="7"/>
  <c r="Y58" i="7"/>
  <c r="X58" i="7"/>
  <c r="W58" i="7"/>
  <c r="V58" i="7"/>
  <c r="U58" i="7"/>
  <c r="T58" i="7"/>
  <c r="S58" i="7"/>
  <c r="R58" i="7"/>
  <c r="Q58" i="7"/>
  <c r="P58" i="7"/>
  <c r="O58" i="7"/>
  <c r="N58" i="7"/>
  <c r="M58" i="7"/>
  <c r="L58" i="7"/>
  <c r="K58" i="7"/>
  <c r="J58" i="7"/>
  <c r="I58" i="7"/>
  <c r="H58" i="7"/>
  <c r="G58" i="7"/>
  <c r="F58" i="7"/>
  <c r="E58" i="7"/>
  <c r="D58" i="7"/>
  <c r="AC65" i="6"/>
  <c r="AB65" i="6"/>
  <c r="AA65" i="6"/>
  <c r="Z65" i="6"/>
  <c r="Y65" i="6"/>
  <c r="X65" i="6"/>
  <c r="W65" i="6"/>
  <c r="V65" i="6"/>
  <c r="U65" i="6"/>
  <c r="T65" i="6"/>
  <c r="S65" i="6"/>
  <c r="R65" i="6"/>
  <c r="Q65" i="6"/>
  <c r="P65" i="6"/>
  <c r="O65" i="6"/>
  <c r="N65" i="6"/>
  <c r="M65" i="6"/>
  <c r="L65" i="6"/>
  <c r="K65" i="6"/>
  <c r="J65" i="6"/>
  <c r="I65" i="6"/>
  <c r="H65" i="6"/>
  <c r="G65" i="6"/>
  <c r="F65" i="6"/>
  <c r="E65" i="6"/>
  <c r="D65" i="6"/>
  <c r="AC64" i="6"/>
  <c r="AB64" i="6"/>
  <c r="AA64" i="6"/>
  <c r="Z64" i="6"/>
  <c r="Y64" i="6"/>
  <c r="X64" i="6"/>
  <c r="W64" i="6"/>
  <c r="V64" i="6"/>
  <c r="U64" i="6"/>
  <c r="T64" i="6"/>
  <c r="S64" i="6"/>
  <c r="R64" i="6"/>
  <c r="Q64" i="6"/>
  <c r="P64" i="6"/>
  <c r="O64" i="6"/>
  <c r="N64" i="6"/>
  <c r="M64" i="6"/>
  <c r="L64" i="6"/>
  <c r="K64" i="6"/>
  <c r="J64" i="6"/>
  <c r="I64" i="6"/>
  <c r="H64" i="6"/>
  <c r="G64" i="6"/>
  <c r="F64" i="6"/>
  <c r="E64" i="6"/>
  <c r="D64" i="6"/>
  <c r="AC63" i="6"/>
  <c r="AB63" i="6"/>
  <c r="AA63" i="6"/>
  <c r="Z63" i="6"/>
  <c r="Y63" i="6"/>
  <c r="X63" i="6"/>
  <c r="W63" i="6"/>
  <c r="V63" i="6"/>
  <c r="U63" i="6"/>
  <c r="T63" i="6"/>
  <c r="S63" i="6"/>
  <c r="R63" i="6"/>
  <c r="Q63" i="6"/>
  <c r="P63" i="6"/>
  <c r="O63" i="6"/>
  <c r="N63" i="6"/>
  <c r="M63" i="6"/>
  <c r="L63" i="6"/>
  <c r="K63" i="6"/>
  <c r="J63" i="6"/>
  <c r="I63" i="6"/>
  <c r="H63" i="6"/>
  <c r="G63" i="6"/>
  <c r="F63" i="6"/>
  <c r="E63" i="6"/>
  <c r="D63" i="6"/>
  <c r="AC62" i="6"/>
  <c r="AB62" i="6"/>
  <c r="AA62" i="6"/>
  <c r="Z62" i="6"/>
  <c r="Y62" i="6"/>
  <c r="X62" i="6"/>
  <c r="W62" i="6"/>
  <c r="V62" i="6"/>
  <c r="U62" i="6"/>
  <c r="T62" i="6"/>
  <c r="S62" i="6"/>
  <c r="R62" i="6"/>
  <c r="Q62" i="6"/>
  <c r="P62" i="6"/>
  <c r="O62" i="6"/>
  <c r="N62" i="6"/>
  <c r="M62" i="6"/>
  <c r="L62" i="6"/>
  <c r="K62" i="6"/>
  <c r="J62" i="6"/>
  <c r="I62" i="6"/>
  <c r="H62" i="6"/>
  <c r="G62" i="6"/>
  <c r="F62" i="6"/>
  <c r="E62" i="6"/>
  <c r="D62" i="6"/>
  <c r="AC61" i="6"/>
  <c r="AB61" i="6"/>
  <c r="AA61" i="6"/>
  <c r="Z61" i="6"/>
  <c r="Y61" i="6"/>
  <c r="X61" i="6"/>
  <c r="W61" i="6"/>
  <c r="V61" i="6"/>
  <c r="U61" i="6"/>
  <c r="T61" i="6"/>
  <c r="S61" i="6"/>
  <c r="R61" i="6"/>
  <c r="Q61" i="6"/>
  <c r="P61" i="6"/>
  <c r="O61" i="6"/>
  <c r="N61" i="6"/>
  <c r="M61" i="6"/>
  <c r="L61" i="6"/>
  <c r="K61" i="6"/>
  <c r="J61" i="6"/>
  <c r="I61" i="6"/>
  <c r="H61" i="6"/>
  <c r="G61" i="6"/>
  <c r="F61" i="6"/>
  <c r="E61" i="6"/>
  <c r="D61" i="6"/>
  <c r="AC60" i="6"/>
  <c r="AB60" i="6"/>
  <c r="AA60" i="6"/>
  <c r="Z60" i="6"/>
  <c r="Y60" i="6"/>
  <c r="X60" i="6"/>
  <c r="W60" i="6"/>
  <c r="V60" i="6"/>
  <c r="U60" i="6"/>
  <c r="T60" i="6"/>
  <c r="S60" i="6"/>
  <c r="R60" i="6"/>
  <c r="Q60" i="6"/>
  <c r="P60" i="6"/>
  <c r="O60" i="6"/>
  <c r="N60" i="6"/>
  <c r="M60" i="6"/>
  <c r="L60" i="6"/>
  <c r="K60" i="6"/>
  <c r="J60" i="6"/>
  <c r="I60" i="6"/>
  <c r="H60" i="6"/>
  <c r="G60" i="6"/>
  <c r="F60" i="6"/>
  <c r="E60" i="6"/>
  <c r="D60" i="6"/>
  <c r="AC59" i="6"/>
  <c r="AB59" i="6"/>
  <c r="AA59" i="6"/>
  <c r="Z59" i="6"/>
  <c r="Y59" i="6"/>
  <c r="X59" i="6"/>
  <c r="W59" i="6"/>
  <c r="V59" i="6"/>
  <c r="U59" i="6"/>
  <c r="T59" i="6"/>
  <c r="S59" i="6"/>
  <c r="R59" i="6"/>
  <c r="Q59" i="6"/>
  <c r="P59" i="6"/>
  <c r="O59" i="6"/>
  <c r="N59" i="6"/>
  <c r="M59" i="6"/>
  <c r="L59" i="6"/>
  <c r="K59" i="6"/>
  <c r="J59" i="6"/>
  <c r="I59" i="6"/>
  <c r="H59" i="6"/>
  <c r="G59" i="6"/>
  <c r="F59" i="6"/>
  <c r="E59" i="6"/>
  <c r="D59" i="6"/>
  <c r="AC58" i="6"/>
  <c r="AB58" i="6"/>
  <c r="AA58" i="6"/>
  <c r="Z58" i="6"/>
  <c r="Y58" i="6"/>
  <c r="X58" i="6"/>
  <c r="W58" i="6"/>
  <c r="V58" i="6"/>
  <c r="U58" i="6"/>
  <c r="T58" i="6"/>
  <c r="S58" i="6"/>
  <c r="R58" i="6"/>
  <c r="Q58" i="6"/>
  <c r="P58" i="6"/>
  <c r="O58" i="6"/>
  <c r="N58" i="6"/>
  <c r="M58" i="6"/>
  <c r="L58" i="6"/>
  <c r="K58" i="6"/>
  <c r="J58" i="6"/>
  <c r="I58" i="6"/>
  <c r="H58" i="6"/>
  <c r="G58" i="6"/>
  <c r="F58" i="6"/>
  <c r="E58" i="6"/>
  <c r="D58" i="6"/>
  <c r="D47" i="6"/>
  <c r="AC43" i="6"/>
  <c r="AB43" i="6"/>
  <c r="AA43" i="6"/>
  <c r="Z43" i="6"/>
  <c r="Y43" i="6"/>
  <c r="X43" i="6"/>
  <c r="W43" i="6"/>
  <c r="V43" i="6"/>
  <c r="U43" i="6"/>
  <c r="T43" i="6"/>
  <c r="S43" i="6"/>
  <c r="R43" i="6"/>
  <c r="Q43" i="6"/>
  <c r="P43" i="6"/>
  <c r="O43" i="6"/>
  <c r="N43" i="6"/>
  <c r="M43" i="6"/>
  <c r="L43" i="6"/>
  <c r="K43" i="6"/>
  <c r="J43" i="6"/>
  <c r="I43" i="6"/>
  <c r="H43" i="6"/>
  <c r="G43" i="6"/>
  <c r="F43" i="6"/>
  <c r="E43" i="6"/>
  <c r="D43" i="6"/>
  <c r="AC42" i="6"/>
  <c r="AB42" i="6"/>
  <c r="AA42" i="6"/>
  <c r="Z42" i="6"/>
  <c r="Y42" i="6"/>
  <c r="X42" i="6"/>
  <c r="W42" i="6"/>
  <c r="V42" i="6"/>
  <c r="U42" i="6"/>
  <c r="T42" i="6"/>
  <c r="S42" i="6"/>
  <c r="R42" i="6"/>
  <c r="Q42" i="6"/>
  <c r="P42" i="6"/>
  <c r="O42" i="6"/>
  <c r="N42" i="6"/>
  <c r="M42" i="6"/>
  <c r="L42" i="6"/>
  <c r="K42" i="6"/>
  <c r="J42" i="6"/>
  <c r="I42" i="6"/>
  <c r="H42" i="6"/>
  <c r="G42" i="6"/>
  <c r="F42" i="6"/>
  <c r="E42" i="6"/>
  <c r="D42" i="6"/>
  <c r="AC41" i="6"/>
  <c r="AB41" i="6"/>
  <c r="AA41" i="6"/>
  <c r="Z41" i="6"/>
  <c r="Y41" i="6"/>
  <c r="X41" i="6"/>
  <c r="W41" i="6"/>
  <c r="V41" i="6"/>
  <c r="U41" i="6"/>
  <c r="T41" i="6"/>
  <c r="S41" i="6"/>
  <c r="R41" i="6"/>
  <c r="Q41" i="6"/>
  <c r="P41" i="6"/>
  <c r="O41" i="6"/>
  <c r="N41" i="6"/>
  <c r="M41" i="6"/>
  <c r="L41" i="6"/>
  <c r="K41" i="6"/>
  <c r="J41" i="6"/>
  <c r="I41" i="6"/>
  <c r="H41" i="6"/>
  <c r="G41" i="6"/>
  <c r="F41" i="6"/>
  <c r="E41" i="6"/>
  <c r="D41" i="6"/>
  <c r="AC40" i="6"/>
  <c r="AB40" i="6"/>
  <c r="AA40" i="6"/>
  <c r="Z40" i="6"/>
  <c r="Y40" i="6"/>
  <c r="X40" i="6"/>
  <c r="W40" i="6"/>
  <c r="V40" i="6"/>
  <c r="U40" i="6"/>
  <c r="T40" i="6"/>
  <c r="S40" i="6"/>
  <c r="R40" i="6"/>
  <c r="Q40" i="6"/>
  <c r="P40" i="6"/>
  <c r="O40" i="6"/>
  <c r="N40" i="6"/>
  <c r="M40" i="6"/>
  <c r="L40" i="6"/>
  <c r="K40" i="6"/>
  <c r="J40" i="6"/>
  <c r="I40" i="6"/>
  <c r="H40" i="6"/>
  <c r="G40" i="6"/>
  <c r="F40" i="6"/>
  <c r="E40" i="6"/>
  <c r="D40" i="6"/>
  <c r="AC39" i="6"/>
  <c r="AB39" i="6"/>
  <c r="AA39" i="6"/>
  <c r="Z39" i="6"/>
  <c r="Y39" i="6"/>
  <c r="X39" i="6"/>
  <c r="W39" i="6"/>
  <c r="V39" i="6"/>
  <c r="U39" i="6"/>
  <c r="T39" i="6"/>
  <c r="S39" i="6"/>
  <c r="R39" i="6"/>
  <c r="Q39" i="6"/>
  <c r="P39" i="6"/>
  <c r="O39" i="6"/>
  <c r="N39" i="6"/>
  <c r="M39" i="6"/>
  <c r="L39" i="6"/>
  <c r="K39" i="6"/>
  <c r="J39" i="6"/>
  <c r="I39" i="6"/>
  <c r="H39" i="6"/>
  <c r="G39" i="6"/>
  <c r="F39" i="6"/>
  <c r="E39" i="6"/>
  <c r="D39" i="6"/>
  <c r="AC38" i="6"/>
  <c r="AB38" i="6"/>
  <c r="AA38" i="6"/>
  <c r="Z38" i="6"/>
  <c r="Y38" i="6"/>
  <c r="X38" i="6"/>
  <c r="W38" i="6"/>
  <c r="V38" i="6"/>
  <c r="U38" i="6"/>
  <c r="T38" i="6"/>
  <c r="S38" i="6"/>
  <c r="R38" i="6"/>
  <c r="Q38" i="6"/>
  <c r="P38" i="6"/>
  <c r="O38" i="6"/>
  <c r="N38" i="6"/>
  <c r="M38" i="6"/>
  <c r="L38" i="6"/>
  <c r="K38" i="6"/>
  <c r="J38" i="6"/>
  <c r="I38" i="6"/>
  <c r="H38" i="6"/>
  <c r="G38" i="6"/>
  <c r="F38" i="6"/>
  <c r="E38" i="6"/>
  <c r="D38" i="6"/>
  <c r="AC37" i="6"/>
  <c r="AB37" i="6"/>
  <c r="AA37" i="6"/>
  <c r="Z37" i="6"/>
  <c r="Y37" i="6"/>
  <c r="X37" i="6"/>
  <c r="W37" i="6"/>
  <c r="V37" i="6"/>
  <c r="U37" i="6"/>
  <c r="T37" i="6"/>
  <c r="S37" i="6"/>
  <c r="R37" i="6"/>
  <c r="Q37" i="6"/>
  <c r="P37" i="6"/>
  <c r="O37" i="6"/>
  <c r="N37" i="6"/>
  <c r="M37" i="6"/>
  <c r="L37" i="6"/>
  <c r="K37" i="6"/>
  <c r="J37" i="6"/>
  <c r="I37" i="6"/>
  <c r="H37" i="6"/>
  <c r="G37" i="6"/>
  <c r="F37" i="6"/>
  <c r="E37" i="6"/>
  <c r="D37" i="6"/>
  <c r="AC36" i="6"/>
  <c r="AB36" i="6"/>
  <c r="AA36" i="6"/>
  <c r="Z36" i="6"/>
  <c r="Y36" i="6"/>
  <c r="X36" i="6"/>
  <c r="W36" i="6"/>
  <c r="V36" i="6"/>
  <c r="U36" i="6"/>
  <c r="T36" i="6"/>
  <c r="S36" i="6"/>
  <c r="R36" i="6"/>
  <c r="Q36" i="6"/>
  <c r="P36" i="6"/>
  <c r="O36" i="6"/>
  <c r="N36" i="6"/>
  <c r="M36" i="6"/>
  <c r="L36" i="6"/>
  <c r="K36" i="6"/>
  <c r="J36" i="6"/>
  <c r="I36" i="6"/>
  <c r="H36" i="6"/>
  <c r="G36" i="6"/>
  <c r="F36" i="6"/>
  <c r="E36" i="6"/>
  <c r="D36" i="6"/>
  <c r="AC65" i="5"/>
  <c r="AB65" i="5"/>
  <c r="AA65" i="5"/>
  <c r="Z65" i="5"/>
  <c r="Y65" i="5"/>
  <c r="X65" i="5"/>
  <c r="W65" i="5"/>
  <c r="V65" i="5"/>
  <c r="U65" i="5"/>
  <c r="T65" i="5"/>
  <c r="S65" i="5"/>
  <c r="R65" i="5"/>
  <c r="Q65" i="5"/>
  <c r="P65" i="5"/>
  <c r="O65" i="5"/>
  <c r="N65" i="5"/>
  <c r="M65" i="5"/>
  <c r="L65" i="5"/>
  <c r="K65" i="5"/>
  <c r="J65" i="5"/>
  <c r="I65" i="5"/>
  <c r="H65" i="5"/>
  <c r="G65" i="5"/>
  <c r="F65" i="5"/>
  <c r="E65" i="5"/>
  <c r="D65" i="5"/>
  <c r="AC64" i="5"/>
  <c r="AB64" i="5"/>
  <c r="AA64" i="5"/>
  <c r="Z64" i="5"/>
  <c r="Y64" i="5"/>
  <c r="X64" i="5"/>
  <c r="W64" i="5"/>
  <c r="V64" i="5"/>
  <c r="U64" i="5"/>
  <c r="T64" i="5"/>
  <c r="S64" i="5"/>
  <c r="R64" i="5"/>
  <c r="Q64" i="5"/>
  <c r="P64" i="5"/>
  <c r="O64" i="5"/>
  <c r="N64" i="5"/>
  <c r="M64" i="5"/>
  <c r="L64" i="5"/>
  <c r="K64" i="5"/>
  <c r="J64" i="5"/>
  <c r="I64" i="5"/>
  <c r="H64" i="5"/>
  <c r="G64" i="5"/>
  <c r="F64" i="5"/>
  <c r="E64" i="5"/>
  <c r="D64" i="5"/>
  <c r="AC63" i="5"/>
  <c r="AB63" i="5"/>
  <c r="AA63" i="5"/>
  <c r="Z63" i="5"/>
  <c r="Y63" i="5"/>
  <c r="X63" i="5"/>
  <c r="W63" i="5"/>
  <c r="V63" i="5"/>
  <c r="U63" i="5"/>
  <c r="T63" i="5"/>
  <c r="S63" i="5"/>
  <c r="R63" i="5"/>
  <c r="Q63" i="5"/>
  <c r="P63" i="5"/>
  <c r="O63" i="5"/>
  <c r="N63" i="5"/>
  <c r="M63" i="5"/>
  <c r="L63" i="5"/>
  <c r="K63" i="5"/>
  <c r="J63" i="5"/>
  <c r="I63" i="5"/>
  <c r="H63" i="5"/>
  <c r="G63" i="5"/>
  <c r="F63" i="5"/>
  <c r="E63" i="5"/>
  <c r="D63" i="5"/>
  <c r="AC62" i="5"/>
  <c r="AB62" i="5"/>
  <c r="AA62" i="5"/>
  <c r="Z62" i="5"/>
  <c r="Y62" i="5"/>
  <c r="X62" i="5"/>
  <c r="W62" i="5"/>
  <c r="V62" i="5"/>
  <c r="U62" i="5"/>
  <c r="T62" i="5"/>
  <c r="S62" i="5"/>
  <c r="R62" i="5"/>
  <c r="Q62" i="5"/>
  <c r="P62" i="5"/>
  <c r="O62" i="5"/>
  <c r="N62" i="5"/>
  <c r="M62" i="5"/>
  <c r="L62" i="5"/>
  <c r="K62" i="5"/>
  <c r="J62" i="5"/>
  <c r="I62" i="5"/>
  <c r="H62" i="5"/>
  <c r="G62" i="5"/>
  <c r="F62" i="5"/>
  <c r="E62" i="5"/>
  <c r="D62" i="5"/>
  <c r="AC61" i="5"/>
  <c r="AB61" i="5"/>
  <c r="AA61" i="5"/>
  <c r="Z61" i="5"/>
  <c r="Y61" i="5"/>
  <c r="X61" i="5"/>
  <c r="W61" i="5"/>
  <c r="V61" i="5"/>
  <c r="U61" i="5"/>
  <c r="T61" i="5"/>
  <c r="S61" i="5"/>
  <c r="R61" i="5"/>
  <c r="Q61" i="5"/>
  <c r="P61" i="5"/>
  <c r="O61" i="5"/>
  <c r="N61" i="5"/>
  <c r="M61" i="5"/>
  <c r="L61" i="5"/>
  <c r="K61" i="5"/>
  <c r="J61" i="5"/>
  <c r="I61" i="5"/>
  <c r="H61" i="5"/>
  <c r="G61" i="5"/>
  <c r="F61" i="5"/>
  <c r="E61" i="5"/>
  <c r="D61" i="5"/>
  <c r="AC60" i="5"/>
  <c r="AB60" i="5"/>
  <c r="AA60" i="5"/>
  <c r="Z60" i="5"/>
  <c r="Y60" i="5"/>
  <c r="X60" i="5"/>
  <c r="W60" i="5"/>
  <c r="V60" i="5"/>
  <c r="U60" i="5"/>
  <c r="T60" i="5"/>
  <c r="S60" i="5"/>
  <c r="R60" i="5"/>
  <c r="Q60" i="5"/>
  <c r="P60" i="5"/>
  <c r="O60" i="5"/>
  <c r="N60" i="5"/>
  <c r="M60" i="5"/>
  <c r="L60" i="5"/>
  <c r="K60" i="5"/>
  <c r="J60" i="5"/>
  <c r="I60" i="5"/>
  <c r="H60" i="5"/>
  <c r="G60" i="5"/>
  <c r="F60" i="5"/>
  <c r="E60" i="5"/>
  <c r="D60" i="5"/>
  <c r="AC59" i="5"/>
  <c r="AB59" i="5"/>
  <c r="AA59" i="5"/>
  <c r="Z59" i="5"/>
  <c r="Y59" i="5"/>
  <c r="X59" i="5"/>
  <c r="W59" i="5"/>
  <c r="V59" i="5"/>
  <c r="U59" i="5"/>
  <c r="T59" i="5"/>
  <c r="S59" i="5"/>
  <c r="R59" i="5"/>
  <c r="Q59" i="5"/>
  <c r="P59" i="5"/>
  <c r="O59" i="5"/>
  <c r="N59" i="5"/>
  <c r="M59" i="5"/>
  <c r="L59" i="5"/>
  <c r="K59" i="5"/>
  <c r="J59" i="5"/>
  <c r="I59" i="5"/>
  <c r="H59" i="5"/>
  <c r="G59" i="5"/>
  <c r="F59" i="5"/>
  <c r="E59" i="5"/>
  <c r="D59" i="5"/>
  <c r="AC58" i="5"/>
  <c r="AB58" i="5"/>
  <c r="AA58" i="5"/>
  <c r="Z58" i="5"/>
  <c r="Y58" i="5"/>
  <c r="X58" i="5"/>
  <c r="W58" i="5"/>
  <c r="V58" i="5"/>
  <c r="U58" i="5"/>
  <c r="T58" i="5"/>
  <c r="S58" i="5"/>
  <c r="R58" i="5"/>
  <c r="Q58" i="5"/>
  <c r="P58" i="5"/>
  <c r="O58" i="5"/>
  <c r="N58" i="5"/>
  <c r="M58" i="5"/>
  <c r="L58" i="5"/>
  <c r="K58" i="5"/>
  <c r="J58" i="5"/>
  <c r="I58" i="5"/>
  <c r="H58" i="5"/>
  <c r="G58" i="5"/>
  <c r="F58" i="5"/>
  <c r="E58" i="5"/>
  <c r="D58" i="5"/>
  <c r="D47" i="5"/>
  <c r="AC43" i="5"/>
  <c r="AB43" i="5"/>
  <c r="AA43" i="5"/>
  <c r="Z43" i="5"/>
  <c r="Y43" i="5"/>
  <c r="X43" i="5"/>
  <c r="W43" i="5"/>
  <c r="V43" i="5"/>
  <c r="U43" i="5"/>
  <c r="T43" i="5"/>
  <c r="S43" i="5"/>
  <c r="R43" i="5"/>
  <c r="Q43" i="5"/>
  <c r="P43" i="5"/>
  <c r="O43" i="5"/>
  <c r="N43" i="5"/>
  <c r="M43" i="5"/>
  <c r="L43" i="5"/>
  <c r="K43" i="5"/>
  <c r="J43" i="5"/>
  <c r="I43" i="5"/>
  <c r="H43" i="5"/>
  <c r="G43" i="5"/>
  <c r="F43" i="5"/>
  <c r="E43" i="5"/>
  <c r="D43" i="5"/>
  <c r="AC42" i="5"/>
  <c r="AB42" i="5"/>
  <c r="AA42" i="5"/>
  <c r="Z42" i="5"/>
  <c r="Y42" i="5"/>
  <c r="X42" i="5"/>
  <c r="W42" i="5"/>
  <c r="V42" i="5"/>
  <c r="U42" i="5"/>
  <c r="T42" i="5"/>
  <c r="S42" i="5"/>
  <c r="R42" i="5"/>
  <c r="Q42" i="5"/>
  <c r="P42" i="5"/>
  <c r="O42" i="5"/>
  <c r="N42" i="5"/>
  <c r="M42" i="5"/>
  <c r="L42" i="5"/>
  <c r="K42" i="5"/>
  <c r="J42" i="5"/>
  <c r="I42" i="5"/>
  <c r="H42" i="5"/>
  <c r="G42" i="5"/>
  <c r="F42" i="5"/>
  <c r="E42" i="5"/>
  <c r="D42" i="5"/>
  <c r="AC41" i="5"/>
  <c r="AB41" i="5"/>
  <c r="AA41" i="5"/>
  <c r="Z41" i="5"/>
  <c r="Y41" i="5"/>
  <c r="X41" i="5"/>
  <c r="W41" i="5"/>
  <c r="V41" i="5"/>
  <c r="U41" i="5"/>
  <c r="T41" i="5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E41" i="5"/>
  <c r="D41" i="5"/>
  <c r="AC40" i="5"/>
  <c r="AB40" i="5"/>
  <c r="AA40" i="5"/>
  <c r="Z40" i="5"/>
  <c r="Y40" i="5"/>
  <c r="X40" i="5"/>
  <c r="W40" i="5"/>
  <c r="V40" i="5"/>
  <c r="U40" i="5"/>
  <c r="T40" i="5"/>
  <c r="S40" i="5"/>
  <c r="R40" i="5"/>
  <c r="Q40" i="5"/>
  <c r="P40" i="5"/>
  <c r="O40" i="5"/>
  <c r="N40" i="5"/>
  <c r="M40" i="5"/>
  <c r="L40" i="5"/>
  <c r="K40" i="5"/>
  <c r="J40" i="5"/>
  <c r="I40" i="5"/>
  <c r="H40" i="5"/>
  <c r="G40" i="5"/>
  <c r="F40" i="5"/>
  <c r="E40" i="5"/>
  <c r="D40" i="5"/>
  <c r="AC39" i="5"/>
  <c r="AB39" i="5"/>
  <c r="AA39" i="5"/>
  <c r="Z39" i="5"/>
  <c r="Y39" i="5"/>
  <c r="X39" i="5"/>
  <c r="W39" i="5"/>
  <c r="V39" i="5"/>
  <c r="U39" i="5"/>
  <c r="T39" i="5"/>
  <c r="S39" i="5"/>
  <c r="R39" i="5"/>
  <c r="Q39" i="5"/>
  <c r="P39" i="5"/>
  <c r="O39" i="5"/>
  <c r="N39" i="5"/>
  <c r="M39" i="5"/>
  <c r="L39" i="5"/>
  <c r="K39" i="5"/>
  <c r="J39" i="5"/>
  <c r="I39" i="5"/>
  <c r="H39" i="5"/>
  <c r="G39" i="5"/>
  <c r="F39" i="5"/>
  <c r="E39" i="5"/>
  <c r="D39" i="5"/>
  <c r="AC38" i="5"/>
  <c r="AB38" i="5"/>
  <c r="AA38" i="5"/>
  <c r="Z38" i="5"/>
  <c r="Y38" i="5"/>
  <c r="X38" i="5"/>
  <c r="W38" i="5"/>
  <c r="V38" i="5"/>
  <c r="U38" i="5"/>
  <c r="T38" i="5"/>
  <c r="S38" i="5"/>
  <c r="R38" i="5"/>
  <c r="Q38" i="5"/>
  <c r="P38" i="5"/>
  <c r="O38" i="5"/>
  <c r="N38" i="5"/>
  <c r="M38" i="5"/>
  <c r="L38" i="5"/>
  <c r="K38" i="5"/>
  <c r="J38" i="5"/>
  <c r="I38" i="5"/>
  <c r="H38" i="5"/>
  <c r="G38" i="5"/>
  <c r="F38" i="5"/>
  <c r="E38" i="5"/>
  <c r="D38" i="5"/>
  <c r="AC37" i="5"/>
  <c r="AB37" i="5"/>
  <c r="AA37" i="5"/>
  <c r="Z37" i="5"/>
  <c r="Y37" i="5"/>
  <c r="X37" i="5"/>
  <c r="W37" i="5"/>
  <c r="V37" i="5"/>
  <c r="U37" i="5"/>
  <c r="T37" i="5"/>
  <c r="S37" i="5"/>
  <c r="R37" i="5"/>
  <c r="Q37" i="5"/>
  <c r="P37" i="5"/>
  <c r="O37" i="5"/>
  <c r="N37" i="5"/>
  <c r="M37" i="5"/>
  <c r="L37" i="5"/>
  <c r="K37" i="5"/>
  <c r="J37" i="5"/>
  <c r="I37" i="5"/>
  <c r="H37" i="5"/>
  <c r="G37" i="5"/>
  <c r="F37" i="5"/>
  <c r="E37" i="5"/>
  <c r="D37" i="5"/>
  <c r="AC36" i="5"/>
  <c r="AB36" i="5"/>
  <c r="AA36" i="5"/>
  <c r="Z36" i="5"/>
  <c r="Y36" i="5"/>
  <c r="X36" i="5"/>
  <c r="W36" i="5"/>
  <c r="V36" i="5"/>
  <c r="U36" i="5"/>
  <c r="T36" i="5"/>
  <c r="S36" i="5"/>
  <c r="R36" i="5"/>
  <c r="Q36" i="5"/>
  <c r="P36" i="5"/>
  <c r="O36" i="5"/>
  <c r="N36" i="5"/>
  <c r="M36" i="5"/>
  <c r="L36" i="5"/>
  <c r="K36" i="5"/>
  <c r="J36" i="5"/>
  <c r="I36" i="5"/>
  <c r="H36" i="5"/>
  <c r="G36" i="5"/>
  <c r="F36" i="5"/>
  <c r="E36" i="5"/>
  <c r="D36" i="5"/>
  <c r="AC65" i="4"/>
  <c r="AB65" i="4"/>
  <c r="AA65" i="4"/>
  <c r="Z65" i="4"/>
  <c r="Y65" i="4"/>
  <c r="X65" i="4"/>
  <c r="W65" i="4"/>
  <c r="V65" i="4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E65" i="4"/>
  <c r="D65" i="4"/>
  <c r="AC64" i="4"/>
  <c r="AB64" i="4"/>
  <c r="AA64" i="4"/>
  <c r="Z64" i="4"/>
  <c r="Y64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E64" i="4"/>
  <c r="D64" i="4"/>
  <c r="AC63" i="4"/>
  <c r="AB63" i="4"/>
  <c r="AA63" i="4"/>
  <c r="Z63" i="4"/>
  <c r="Y63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E63" i="4"/>
  <c r="D63" i="4"/>
  <c r="AC62" i="4"/>
  <c r="AB62" i="4"/>
  <c r="AA62" i="4"/>
  <c r="Z62" i="4"/>
  <c r="Y62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E62" i="4"/>
  <c r="D62" i="4"/>
  <c r="AC61" i="4"/>
  <c r="AB61" i="4"/>
  <c r="AA61" i="4"/>
  <c r="Z61" i="4"/>
  <c r="Y61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E61" i="4"/>
  <c r="D61" i="4"/>
  <c r="AC60" i="4"/>
  <c r="AB60" i="4"/>
  <c r="AA60" i="4"/>
  <c r="Z60" i="4"/>
  <c r="Y60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E60" i="4"/>
  <c r="D60" i="4"/>
  <c r="AC59" i="4"/>
  <c r="AB59" i="4"/>
  <c r="AA59" i="4"/>
  <c r="Z59" i="4"/>
  <c r="Y59" i="4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E59" i="4"/>
  <c r="D59" i="4"/>
  <c r="AC58" i="4"/>
  <c r="AB58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E58" i="4"/>
  <c r="D58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E42" i="4"/>
  <c r="D42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D47" i="3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D43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AC40" i="3"/>
  <c r="AB40" i="3"/>
  <c r="AA40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AC39" i="3"/>
  <c r="AB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AC38" i="3"/>
  <c r="AB38" i="3"/>
  <c r="AA38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E38" i="3"/>
  <c r="D38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AC36" i="3"/>
  <c r="AB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D65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D64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D39" i="1"/>
  <c r="E39" i="1"/>
  <c r="F39" i="1"/>
  <c r="F67" i="1" s="1"/>
  <c r="G39" i="1"/>
  <c r="H39" i="1"/>
  <c r="I39" i="1"/>
  <c r="J39" i="1"/>
  <c r="K39" i="1"/>
  <c r="L39" i="1"/>
  <c r="M39" i="1"/>
  <c r="N39" i="1"/>
  <c r="O39" i="1"/>
  <c r="P39" i="1"/>
  <c r="Q39" i="1"/>
  <c r="R39" i="1"/>
  <c r="R67" i="1" s="1"/>
  <c r="S39" i="1"/>
  <c r="T39" i="1"/>
  <c r="U39" i="1"/>
  <c r="V39" i="1"/>
  <c r="W39" i="1"/>
  <c r="X39" i="1"/>
  <c r="Y39" i="1"/>
  <c r="Z39" i="1"/>
  <c r="AA39" i="1"/>
  <c r="AB39" i="1"/>
  <c r="AC39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D42" i="1"/>
  <c r="E42" i="1"/>
  <c r="E69" i="1" s="1"/>
  <c r="F42" i="1"/>
  <c r="G42" i="1"/>
  <c r="G69" i="1" s="1"/>
  <c r="H42" i="1"/>
  <c r="H69" i="1" s="1"/>
  <c r="I42" i="1"/>
  <c r="I69" i="1" s="1"/>
  <c r="J42" i="1"/>
  <c r="J69" i="1" s="1"/>
  <c r="K42" i="1"/>
  <c r="K69" i="1" s="1"/>
  <c r="L42" i="1"/>
  <c r="L69" i="1" s="1"/>
  <c r="M42" i="1"/>
  <c r="N42" i="1"/>
  <c r="O42" i="1"/>
  <c r="P42" i="1"/>
  <c r="Q42" i="1"/>
  <c r="Q69" i="1" s="1"/>
  <c r="R42" i="1"/>
  <c r="S42" i="1"/>
  <c r="S69" i="1" s="1"/>
  <c r="T42" i="1"/>
  <c r="T69" i="1" s="1"/>
  <c r="U42" i="1"/>
  <c r="U69" i="1" s="1"/>
  <c r="V42" i="1"/>
  <c r="V69" i="1" s="1"/>
  <c r="W42" i="1"/>
  <c r="W69" i="1" s="1"/>
  <c r="X42" i="1"/>
  <c r="X69" i="1" s="1"/>
  <c r="Y42" i="1"/>
  <c r="Z42" i="1"/>
  <c r="AA42" i="1"/>
  <c r="AB42" i="1"/>
  <c r="AC42" i="1"/>
  <c r="AC69" i="1" s="1"/>
  <c r="E36" i="1"/>
  <c r="F36" i="1"/>
  <c r="G36" i="1"/>
  <c r="H36" i="1"/>
  <c r="I36" i="1"/>
  <c r="J36" i="1"/>
  <c r="K36" i="1"/>
  <c r="K68" i="1" s="1"/>
  <c r="L36" i="1"/>
  <c r="M36" i="1"/>
  <c r="M68" i="1" s="1"/>
  <c r="N36" i="1"/>
  <c r="O36" i="1"/>
  <c r="O68" i="1" s="1"/>
  <c r="P36" i="1"/>
  <c r="P68" i="1" s="1"/>
  <c r="Q36" i="1"/>
  <c r="R36" i="1"/>
  <c r="S36" i="1"/>
  <c r="T36" i="1"/>
  <c r="U36" i="1"/>
  <c r="V36" i="1"/>
  <c r="W36" i="1"/>
  <c r="W68" i="1" s="1"/>
  <c r="X36" i="1"/>
  <c r="Y36" i="1"/>
  <c r="Y68" i="1" s="1"/>
  <c r="Z36" i="1"/>
  <c r="AA36" i="1"/>
  <c r="AA68" i="1" s="1"/>
  <c r="AB36" i="1"/>
  <c r="AB68" i="1" s="1"/>
  <c r="AC36" i="1"/>
  <c r="AC36" i="9" l="1"/>
  <c r="BF14" i="9" s="1"/>
  <c r="K68" i="16"/>
  <c r="W68" i="16"/>
  <c r="E67" i="16"/>
  <c r="Q67" i="16"/>
  <c r="AC67" i="16"/>
  <c r="K69" i="16"/>
  <c r="W69" i="16"/>
  <c r="T67" i="16"/>
  <c r="L68" i="16"/>
  <c r="X68" i="16"/>
  <c r="F67" i="16"/>
  <c r="R67" i="16"/>
  <c r="L69" i="16"/>
  <c r="X69" i="16"/>
  <c r="O68" i="16"/>
  <c r="AA68" i="16"/>
  <c r="I67" i="16"/>
  <c r="U67" i="16"/>
  <c r="O69" i="16"/>
  <c r="AA69" i="16"/>
  <c r="W75" i="16"/>
  <c r="K75" i="16"/>
  <c r="N68" i="16"/>
  <c r="Z69" i="16"/>
  <c r="D68" i="16"/>
  <c r="P68" i="16"/>
  <c r="AB68" i="16"/>
  <c r="J67" i="16"/>
  <c r="V67" i="16"/>
  <c r="D69" i="16"/>
  <c r="P69" i="16"/>
  <c r="AB69" i="16"/>
  <c r="S67" i="16"/>
  <c r="Y69" i="16"/>
  <c r="Z68" i="16"/>
  <c r="E68" i="16"/>
  <c r="Q68" i="16"/>
  <c r="AC68" i="16"/>
  <c r="K67" i="16"/>
  <c r="W67" i="16"/>
  <c r="E69" i="16"/>
  <c r="Q69" i="16"/>
  <c r="AC69" i="16"/>
  <c r="G67" i="16"/>
  <c r="H67" i="16"/>
  <c r="F68" i="16"/>
  <c r="R68" i="16"/>
  <c r="L67" i="16"/>
  <c r="X67" i="16"/>
  <c r="F69" i="16"/>
  <c r="R69" i="16"/>
  <c r="Z108" i="16"/>
  <c r="V110" i="16"/>
  <c r="Y68" i="16"/>
  <c r="G68" i="16"/>
  <c r="S68" i="16"/>
  <c r="M67" i="16"/>
  <c r="Y67" i="16"/>
  <c r="G69" i="16"/>
  <c r="S69" i="16"/>
  <c r="AA108" i="16"/>
  <c r="S75" i="16"/>
  <c r="G75" i="16"/>
  <c r="M68" i="16"/>
  <c r="H68" i="16"/>
  <c r="T68" i="16"/>
  <c r="N67" i="16"/>
  <c r="Z67" i="16"/>
  <c r="H69" i="16"/>
  <c r="T69" i="16"/>
  <c r="D75" i="16"/>
  <c r="R75" i="16"/>
  <c r="F75" i="16"/>
  <c r="N69" i="16"/>
  <c r="I68" i="16"/>
  <c r="U68" i="16"/>
  <c r="O67" i="16"/>
  <c r="AA67" i="16"/>
  <c r="I69" i="16"/>
  <c r="U69" i="16"/>
  <c r="AC75" i="16"/>
  <c r="Q75" i="16"/>
  <c r="E75" i="16"/>
  <c r="M69" i="16"/>
  <c r="J68" i="16"/>
  <c r="V68" i="16"/>
  <c r="D67" i="16"/>
  <c r="P67" i="16"/>
  <c r="AB67" i="16"/>
  <c r="J69" i="16"/>
  <c r="V69" i="16"/>
  <c r="AB75" i="16"/>
  <c r="P75" i="16"/>
  <c r="AB68" i="15"/>
  <c r="V67" i="15"/>
  <c r="M68" i="15"/>
  <c r="Y68" i="15"/>
  <c r="G67" i="15"/>
  <c r="S67" i="15"/>
  <c r="M69" i="15"/>
  <c r="Y69" i="15"/>
  <c r="AC112" i="15"/>
  <c r="Q112" i="15"/>
  <c r="E112" i="15"/>
  <c r="E69" i="15"/>
  <c r="N68" i="15"/>
  <c r="Z68" i="15"/>
  <c r="H67" i="15"/>
  <c r="T67" i="15"/>
  <c r="N69" i="15"/>
  <c r="Z69" i="15"/>
  <c r="AB112" i="15"/>
  <c r="P112" i="15"/>
  <c r="O68" i="15"/>
  <c r="O69" i="15"/>
  <c r="J67" i="15"/>
  <c r="E68" i="15"/>
  <c r="AC68" i="15"/>
  <c r="Q69" i="15"/>
  <c r="O75" i="15"/>
  <c r="G68" i="15"/>
  <c r="S68" i="15"/>
  <c r="M67" i="15"/>
  <c r="Y67" i="15"/>
  <c r="G69" i="15"/>
  <c r="S69" i="15"/>
  <c r="D109" i="15"/>
  <c r="Y75" i="15"/>
  <c r="M75" i="15"/>
  <c r="AA68" i="15"/>
  <c r="U67" i="15"/>
  <c r="AA69" i="15"/>
  <c r="P68" i="15"/>
  <c r="AB75" i="15"/>
  <c r="P75" i="15"/>
  <c r="Q68" i="15"/>
  <c r="K67" i="15"/>
  <c r="AC69" i="15"/>
  <c r="AA75" i="15"/>
  <c r="R68" i="15"/>
  <c r="R69" i="15"/>
  <c r="H68" i="15"/>
  <c r="T68" i="15"/>
  <c r="N67" i="15"/>
  <c r="Z67" i="15"/>
  <c r="H69" i="15"/>
  <c r="T69" i="15"/>
  <c r="S109" i="15"/>
  <c r="G109" i="15"/>
  <c r="I67" i="15"/>
  <c r="I68" i="15"/>
  <c r="U68" i="15"/>
  <c r="O67" i="15"/>
  <c r="AA67" i="15"/>
  <c r="I69" i="15"/>
  <c r="U69" i="15"/>
  <c r="R109" i="15"/>
  <c r="F109" i="15"/>
  <c r="D69" i="15"/>
  <c r="L67" i="15"/>
  <c r="F69" i="15"/>
  <c r="J68" i="15"/>
  <c r="V68" i="15"/>
  <c r="D67" i="15"/>
  <c r="P67" i="15"/>
  <c r="AB67" i="15"/>
  <c r="J69" i="15"/>
  <c r="V69" i="15"/>
  <c r="V75" i="15"/>
  <c r="J75" i="15"/>
  <c r="P69" i="15"/>
  <c r="F68" i="15"/>
  <c r="X67" i="15"/>
  <c r="K68" i="15"/>
  <c r="W68" i="15"/>
  <c r="E67" i="15"/>
  <c r="Q67" i="15"/>
  <c r="AC67" i="15"/>
  <c r="K69" i="15"/>
  <c r="W69" i="15"/>
  <c r="U75" i="15"/>
  <c r="I75" i="15"/>
  <c r="D68" i="15"/>
  <c r="AB69" i="15"/>
  <c r="W67" i="15"/>
  <c r="L68" i="15"/>
  <c r="X68" i="15"/>
  <c r="F67" i="15"/>
  <c r="R67" i="15"/>
  <c r="L69" i="15"/>
  <c r="X69" i="15"/>
  <c r="T75" i="15"/>
  <c r="H75" i="15"/>
  <c r="K75" i="14"/>
  <c r="K68" i="14"/>
  <c r="Q67" i="14"/>
  <c r="K69" i="14"/>
  <c r="M75" i="14"/>
  <c r="M68" i="14"/>
  <c r="Y75" i="14"/>
  <c r="Y68" i="14"/>
  <c r="G67" i="14"/>
  <c r="S67" i="14"/>
  <c r="M69" i="14"/>
  <c r="Y69" i="14"/>
  <c r="N108" i="14"/>
  <c r="Z108" i="14"/>
  <c r="N75" i="14"/>
  <c r="N68" i="14"/>
  <c r="Z75" i="14"/>
  <c r="Z68" i="14"/>
  <c r="H67" i="14"/>
  <c r="T67" i="14"/>
  <c r="N69" i="14"/>
  <c r="Z69" i="14"/>
  <c r="O75" i="14"/>
  <c r="O68" i="14"/>
  <c r="AA75" i="14"/>
  <c r="AA68" i="14"/>
  <c r="I67" i="14"/>
  <c r="U67" i="14"/>
  <c r="O69" i="14"/>
  <c r="AA69" i="14"/>
  <c r="D68" i="14"/>
  <c r="D75" i="14"/>
  <c r="P68" i="14"/>
  <c r="P75" i="14"/>
  <c r="AB68" i="14"/>
  <c r="AB75" i="14"/>
  <c r="J67" i="14"/>
  <c r="V67" i="14"/>
  <c r="D69" i="14"/>
  <c r="P69" i="14"/>
  <c r="AB69" i="14"/>
  <c r="E68" i="14"/>
  <c r="E75" i="14"/>
  <c r="Q68" i="14"/>
  <c r="Q75" i="14"/>
  <c r="AC68" i="14"/>
  <c r="AC75" i="14"/>
  <c r="K67" i="14"/>
  <c r="W67" i="14"/>
  <c r="E69" i="14"/>
  <c r="Q69" i="14"/>
  <c r="AC69" i="14"/>
  <c r="F109" i="14"/>
  <c r="R109" i="14"/>
  <c r="F68" i="14"/>
  <c r="F75" i="14"/>
  <c r="R68" i="14"/>
  <c r="R75" i="14"/>
  <c r="L67" i="14"/>
  <c r="X67" i="14"/>
  <c r="F69" i="14"/>
  <c r="R69" i="14"/>
  <c r="G68" i="14"/>
  <c r="G75" i="14"/>
  <c r="S68" i="14"/>
  <c r="S75" i="14"/>
  <c r="M67" i="14"/>
  <c r="Y67" i="14"/>
  <c r="G69" i="14"/>
  <c r="S69" i="14"/>
  <c r="H108" i="14"/>
  <c r="T108" i="14"/>
  <c r="H68" i="14"/>
  <c r="H75" i="14"/>
  <c r="T68" i="14"/>
  <c r="T75" i="14"/>
  <c r="N67" i="14"/>
  <c r="Z67" i="14"/>
  <c r="H69" i="14"/>
  <c r="T69" i="14"/>
  <c r="I68" i="14"/>
  <c r="I75" i="14"/>
  <c r="U68" i="14"/>
  <c r="U75" i="14"/>
  <c r="O67" i="14"/>
  <c r="AA67" i="14"/>
  <c r="I69" i="14"/>
  <c r="U69" i="14"/>
  <c r="J75" i="14"/>
  <c r="J68" i="14"/>
  <c r="V75" i="14"/>
  <c r="V68" i="14"/>
  <c r="D67" i="14"/>
  <c r="P67" i="14"/>
  <c r="AB67" i="14"/>
  <c r="J69" i="14"/>
  <c r="V69" i="14"/>
  <c r="K108" i="14"/>
  <c r="W108" i="14"/>
  <c r="G110" i="14"/>
  <c r="S110" i="14"/>
  <c r="W75" i="14"/>
  <c r="W68" i="14"/>
  <c r="E67" i="14"/>
  <c r="AC67" i="14"/>
  <c r="W69" i="14"/>
  <c r="L75" i="14"/>
  <c r="L68" i="14"/>
  <c r="X75" i="14"/>
  <c r="X68" i="14"/>
  <c r="F67" i="14"/>
  <c r="R67" i="14"/>
  <c r="L69" i="14"/>
  <c r="X69" i="14"/>
  <c r="M108" i="14"/>
  <c r="Y108" i="14"/>
  <c r="I110" i="14"/>
  <c r="U110" i="14"/>
  <c r="D108" i="14"/>
  <c r="D112" i="14"/>
  <c r="G109" i="14"/>
  <c r="S109" i="14"/>
  <c r="G108" i="14"/>
  <c r="S108" i="14"/>
  <c r="O110" i="14"/>
  <c r="AA110" i="14"/>
  <c r="J109" i="14"/>
  <c r="V109" i="14"/>
  <c r="L108" i="14"/>
  <c r="X108" i="14"/>
  <c r="H110" i="14"/>
  <c r="G68" i="13"/>
  <c r="G69" i="13"/>
  <c r="H68" i="13"/>
  <c r="T68" i="13"/>
  <c r="N67" i="13"/>
  <c r="Z67" i="13"/>
  <c r="H69" i="13"/>
  <c r="T69" i="13"/>
  <c r="L108" i="13"/>
  <c r="X108" i="13"/>
  <c r="H110" i="13"/>
  <c r="S68" i="13"/>
  <c r="M67" i="13"/>
  <c r="Y67" i="13"/>
  <c r="S69" i="13"/>
  <c r="I68" i="13"/>
  <c r="U68" i="13"/>
  <c r="O67" i="13"/>
  <c r="AA67" i="13"/>
  <c r="I69" i="13"/>
  <c r="U69" i="13"/>
  <c r="U75" i="13"/>
  <c r="I75" i="13"/>
  <c r="V68" i="13"/>
  <c r="P67" i="13"/>
  <c r="V69" i="13"/>
  <c r="K68" i="13"/>
  <c r="W68" i="13"/>
  <c r="E67" i="13"/>
  <c r="Q67" i="13"/>
  <c r="AC67" i="13"/>
  <c r="K69" i="13"/>
  <c r="W69" i="13"/>
  <c r="M109" i="13"/>
  <c r="Y109" i="13"/>
  <c r="E108" i="13"/>
  <c r="Q108" i="13"/>
  <c r="AC108" i="13"/>
  <c r="O108" i="13"/>
  <c r="AA108" i="13"/>
  <c r="K110" i="13"/>
  <c r="S75" i="13"/>
  <c r="G75" i="13"/>
  <c r="D67" i="13"/>
  <c r="L68" i="13"/>
  <c r="X68" i="13"/>
  <c r="F67" i="13"/>
  <c r="R67" i="13"/>
  <c r="L69" i="13"/>
  <c r="X69" i="13"/>
  <c r="J68" i="13"/>
  <c r="AB67" i="13"/>
  <c r="J69" i="13"/>
  <c r="M68" i="13"/>
  <c r="Y68" i="13"/>
  <c r="G67" i="13"/>
  <c r="S67" i="13"/>
  <c r="M69" i="13"/>
  <c r="Y69" i="13"/>
  <c r="N68" i="13"/>
  <c r="Z68" i="13"/>
  <c r="H67" i="13"/>
  <c r="T67" i="13"/>
  <c r="N69" i="13"/>
  <c r="Z69" i="13"/>
  <c r="I109" i="13"/>
  <c r="U109" i="13"/>
  <c r="E110" i="13"/>
  <c r="Q110" i="13"/>
  <c r="AC110" i="13"/>
  <c r="AA68" i="13"/>
  <c r="U67" i="13"/>
  <c r="O69" i="13"/>
  <c r="D68" i="13"/>
  <c r="P68" i="13"/>
  <c r="AB68" i="13"/>
  <c r="J67" i="13"/>
  <c r="V67" i="13"/>
  <c r="D69" i="13"/>
  <c r="P69" i="13"/>
  <c r="AB69" i="13"/>
  <c r="Z75" i="13"/>
  <c r="N75" i="13"/>
  <c r="O68" i="13"/>
  <c r="E68" i="13"/>
  <c r="Q68" i="13"/>
  <c r="AC68" i="13"/>
  <c r="K67" i="13"/>
  <c r="W67" i="13"/>
  <c r="E69" i="13"/>
  <c r="Q69" i="13"/>
  <c r="AC69" i="13"/>
  <c r="W109" i="13"/>
  <c r="K108" i="13"/>
  <c r="W108" i="13"/>
  <c r="G110" i="13"/>
  <c r="S110" i="13"/>
  <c r="Y75" i="13"/>
  <c r="M75" i="13"/>
  <c r="I67" i="13"/>
  <c r="AA69" i="13"/>
  <c r="F68" i="13"/>
  <c r="R68" i="13"/>
  <c r="L67" i="13"/>
  <c r="X67" i="13"/>
  <c r="F69" i="13"/>
  <c r="R69" i="13"/>
  <c r="X75" i="13"/>
  <c r="L75" i="13"/>
  <c r="O67" i="12"/>
  <c r="U69" i="12"/>
  <c r="K68" i="12"/>
  <c r="W68" i="12"/>
  <c r="E67" i="12"/>
  <c r="Q67" i="12"/>
  <c r="AC67" i="12"/>
  <c r="K69" i="12"/>
  <c r="W69" i="12"/>
  <c r="H112" i="12"/>
  <c r="AA67" i="12"/>
  <c r="V68" i="12"/>
  <c r="P67" i="12"/>
  <c r="J69" i="12"/>
  <c r="V69" i="12"/>
  <c r="L68" i="12"/>
  <c r="X68" i="12"/>
  <c r="F67" i="12"/>
  <c r="R67" i="12"/>
  <c r="L69" i="12"/>
  <c r="X69" i="12"/>
  <c r="M68" i="12"/>
  <c r="Y68" i="12"/>
  <c r="G67" i="12"/>
  <c r="S67" i="12"/>
  <c r="M69" i="12"/>
  <c r="Y69" i="12"/>
  <c r="H108" i="12"/>
  <c r="T108" i="12"/>
  <c r="I68" i="12"/>
  <c r="I69" i="12"/>
  <c r="J68" i="12"/>
  <c r="D67" i="12"/>
  <c r="AB67" i="12"/>
  <c r="N68" i="12"/>
  <c r="Z68" i="12"/>
  <c r="H67" i="12"/>
  <c r="T67" i="12"/>
  <c r="N69" i="12"/>
  <c r="Z69" i="12"/>
  <c r="Z75" i="12"/>
  <c r="N75" i="12"/>
  <c r="U68" i="12"/>
  <c r="O68" i="12"/>
  <c r="AA68" i="12"/>
  <c r="I67" i="12"/>
  <c r="U67" i="12"/>
  <c r="O69" i="12"/>
  <c r="AA69" i="12"/>
  <c r="L112" i="12"/>
  <c r="X112" i="12"/>
  <c r="L108" i="12"/>
  <c r="X108" i="12"/>
  <c r="H110" i="12"/>
  <c r="T110" i="12"/>
  <c r="Y75" i="12"/>
  <c r="M75" i="12"/>
  <c r="D68" i="12"/>
  <c r="P68" i="12"/>
  <c r="AB68" i="12"/>
  <c r="J67" i="12"/>
  <c r="V67" i="12"/>
  <c r="D69" i="12"/>
  <c r="P69" i="12"/>
  <c r="AB69" i="12"/>
  <c r="M112" i="12"/>
  <c r="Y112" i="12"/>
  <c r="M108" i="12"/>
  <c r="Y108" i="12"/>
  <c r="I110" i="12"/>
  <c r="U110" i="12"/>
  <c r="X75" i="12"/>
  <c r="L75" i="12"/>
  <c r="E68" i="12"/>
  <c r="Q68" i="12"/>
  <c r="AC68" i="12"/>
  <c r="K67" i="12"/>
  <c r="W67" i="12"/>
  <c r="E69" i="12"/>
  <c r="Q69" i="12"/>
  <c r="AC69" i="12"/>
  <c r="W75" i="12"/>
  <c r="K75" i="12"/>
  <c r="X67" i="12"/>
  <c r="V75" i="12"/>
  <c r="J75" i="12"/>
  <c r="F68" i="12"/>
  <c r="G68" i="12"/>
  <c r="S68" i="12"/>
  <c r="M67" i="12"/>
  <c r="Y67" i="12"/>
  <c r="G69" i="12"/>
  <c r="S69" i="12"/>
  <c r="U75" i="12"/>
  <c r="I75" i="12"/>
  <c r="R68" i="12"/>
  <c r="L67" i="12"/>
  <c r="F69" i="12"/>
  <c r="R69" i="12"/>
  <c r="H68" i="12"/>
  <c r="T68" i="12"/>
  <c r="N67" i="12"/>
  <c r="Z67" i="12"/>
  <c r="H69" i="12"/>
  <c r="T69" i="12"/>
  <c r="O108" i="12"/>
  <c r="AA108" i="12"/>
  <c r="T75" i="12"/>
  <c r="H75" i="12"/>
  <c r="K68" i="11"/>
  <c r="L68" i="11"/>
  <c r="R67" i="11"/>
  <c r="T68" i="11"/>
  <c r="N67" i="11"/>
  <c r="I68" i="11"/>
  <c r="U68" i="11"/>
  <c r="O67" i="11"/>
  <c r="AA67" i="11"/>
  <c r="I69" i="11"/>
  <c r="U69" i="11"/>
  <c r="Q67" i="11"/>
  <c r="Y68" i="11"/>
  <c r="H68" i="11"/>
  <c r="Z67" i="11"/>
  <c r="H69" i="11"/>
  <c r="J68" i="11"/>
  <c r="V68" i="11"/>
  <c r="D67" i="11"/>
  <c r="P67" i="11"/>
  <c r="AB67" i="11"/>
  <c r="J69" i="11"/>
  <c r="V69" i="11"/>
  <c r="M108" i="11"/>
  <c r="Y108" i="11"/>
  <c r="I110" i="11"/>
  <c r="U110" i="11"/>
  <c r="Y75" i="11"/>
  <c r="S67" i="11"/>
  <c r="M69" i="11"/>
  <c r="N68" i="11"/>
  <c r="H67" i="11"/>
  <c r="N69" i="11"/>
  <c r="U75" i="11"/>
  <c r="I75" i="11"/>
  <c r="K69" i="11"/>
  <c r="X68" i="11"/>
  <c r="F67" i="11"/>
  <c r="K75" i="11"/>
  <c r="Z68" i="11"/>
  <c r="Z69" i="11"/>
  <c r="O68" i="11"/>
  <c r="AA68" i="11"/>
  <c r="I67" i="11"/>
  <c r="U67" i="11"/>
  <c r="O69" i="11"/>
  <c r="AA69" i="11"/>
  <c r="T75" i="11"/>
  <c r="H75" i="11"/>
  <c r="E67" i="11"/>
  <c r="L69" i="11"/>
  <c r="Y69" i="11"/>
  <c r="D68" i="11"/>
  <c r="P68" i="11"/>
  <c r="AB68" i="11"/>
  <c r="J67" i="11"/>
  <c r="V67" i="11"/>
  <c r="D69" i="11"/>
  <c r="P69" i="11"/>
  <c r="AB69" i="11"/>
  <c r="W69" i="11"/>
  <c r="X69" i="11"/>
  <c r="T67" i="11"/>
  <c r="E68" i="11"/>
  <c r="Q68" i="11"/>
  <c r="AC68" i="11"/>
  <c r="K67" i="11"/>
  <c r="W67" i="11"/>
  <c r="E69" i="11"/>
  <c r="Q69" i="11"/>
  <c r="AC69" i="11"/>
  <c r="H109" i="11"/>
  <c r="T109" i="11"/>
  <c r="D75" i="11"/>
  <c r="G67" i="11"/>
  <c r="F68" i="11"/>
  <c r="R68" i="11"/>
  <c r="L67" i="11"/>
  <c r="X67" i="11"/>
  <c r="F69" i="11"/>
  <c r="R69" i="11"/>
  <c r="I109" i="11"/>
  <c r="U109" i="11"/>
  <c r="AC75" i="11"/>
  <c r="Q75" i="11"/>
  <c r="E75" i="11"/>
  <c r="W68" i="11"/>
  <c r="AC67" i="11"/>
  <c r="M68" i="11"/>
  <c r="G68" i="11"/>
  <c r="S68" i="11"/>
  <c r="M67" i="11"/>
  <c r="Y67" i="11"/>
  <c r="G69" i="11"/>
  <c r="S69" i="11"/>
  <c r="F110" i="11"/>
  <c r="R110" i="11"/>
  <c r="AB75" i="11"/>
  <c r="P75" i="11"/>
  <c r="T69" i="11"/>
  <c r="AA75" i="11"/>
  <c r="O75" i="11"/>
  <c r="O108" i="1"/>
  <c r="AA108" i="1"/>
  <c r="J108" i="1"/>
  <c r="Z110" i="1"/>
  <c r="Z68" i="1"/>
  <c r="N68" i="1"/>
  <c r="V108" i="1"/>
  <c r="X68" i="1"/>
  <c r="L68" i="1"/>
  <c r="Y69" i="1"/>
  <c r="M69" i="1"/>
  <c r="G75" i="1"/>
  <c r="R68" i="1"/>
  <c r="F68" i="1"/>
  <c r="AC68" i="1"/>
  <c r="Q68" i="1"/>
  <c r="E68" i="1"/>
  <c r="R69" i="1"/>
  <c r="F69" i="1"/>
  <c r="G108" i="1"/>
  <c r="S108" i="1"/>
  <c r="O110" i="1"/>
  <c r="AA110" i="1"/>
  <c r="AA69" i="1"/>
  <c r="O69" i="1"/>
  <c r="F110" i="1"/>
  <c r="R110" i="1"/>
  <c r="X75" i="1"/>
  <c r="L75" i="1"/>
  <c r="V68" i="1"/>
  <c r="J68" i="1"/>
  <c r="Q67" i="1"/>
  <c r="E67" i="1"/>
  <c r="M112" i="1"/>
  <c r="Y112" i="1"/>
  <c r="H112" i="1"/>
  <c r="T112" i="1"/>
  <c r="F112" i="1"/>
  <c r="R112" i="1"/>
  <c r="L108" i="1"/>
  <c r="X108" i="1"/>
  <c r="J110" i="1"/>
  <c r="V110" i="1"/>
  <c r="H110" i="1"/>
  <c r="T110" i="1"/>
  <c r="W75" i="1"/>
  <c r="K75" i="1"/>
  <c r="I68" i="1"/>
  <c r="AB67" i="1"/>
  <c r="P67" i="1"/>
  <c r="N112" i="1"/>
  <c r="Z112" i="1"/>
  <c r="L109" i="1"/>
  <c r="X109" i="1"/>
  <c r="J109" i="1"/>
  <c r="V109" i="1"/>
  <c r="I112" i="1"/>
  <c r="U112" i="1"/>
  <c r="G112" i="1"/>
  <c r="S112" i="1"/>
  <c r="M108" i="1"/>
  <c r="Y108" i="1"/>
  <c r="K110" i="1"/>
  <c r="W110" i="1"/>
  <c r="I110" i="1"/>
  <c r="U110" i="1"/>
  <c r="V75" i="1"/>
  <c r="J75" i="1"/>
  <c r="U68" i="1"/>
  <c r="T68" i="1"/>
  <c r="H68" i="1"/>
  <c r="AA67" i="1"/>
  <c r="O67" i="1"/>
  <c r="O112" i="1"/>
  <c r="AA112" i="1"/>
  <c r="M109" i="1"/>
  <c r="Y109" i="1"/>
  <c r="K109" i="1"/>
  <c r="W109" i="1"/>
  <c r="P108" i="1"/>
  <c r="AB108" i="1"/>
  <c r="L110" i="1"/>
  <c r="X110" i="1"/>
  <c r="U75" i="1"/>
  <c r="I75" i="1"/>
  <c r="Z67" i="1"/>
  <c r="N67" i="1"/>
  <c r="D112" i="1"/>
  <c r="P112" i="1"/>
  <c r="AB112" i="1"/>
  <c r="E108" i="1"/>
  <c r="Q108" i="1"/>
  <c r="AC108" i="1"/>
  <c r="M110" i="1"/>
  <c r="Y110" i="1"/>
  <c r="T75" i="1"/>
  <c r="H75" i="1"/>
  <c r="S68" i="1"/>
  <c r="Y67" i="1"/>
  <c r="M67" i="1"/>
  <c r="E112" i="1"/>
  <c r="Q112" i="1"/>
  <c r="AC112" i="1"/>
  <c r="S75" i="1"/>
  <c r="X67" i="1"/>
  <c r="L67" i="1"/>
  <c r="D75" i="1"/>
  <c r="R75" i="1"/>
  <c r="F75" i="1"/>
  <c r="W67" i="1"/>
  <c r="K67" i="1"/>
  <c r="AC75" i="1"/>
  <c r="Q75" i="1"/>
  <c r="E75" i="1"/>
  <c r="AB69" i="1"/>
  <c r="P69" i="1"/>
  <c r="V67" i="1"/>
  <c r="J67" i="1"/>
  <c r="AB75" i="1"/>
  <c r="P75" i="1"/>
  <c r="G68" i="1"/>
  <c r="U67" i="1"/>
  <c r="I67" i="1"/>
  <c r="H108" i="1"/>
  <c r="T108" i="1"/>
  <c r="D110" i="1"/>
  <c r="P110" i="1"/>
  <c r="AB110" i="1"/>
  <c r="AA75" i="1"/>
  <c r="O75" i="1"/>
  <c r="Z69" i="1"/>
  <c r="N69" i="1"/>
  <c r="T67" i="1"/>
  <c r="H67" i="1"/>
  <c r="J112" i="1"/>
  <c r="V112" i="1"/>
  <c r="H109" i="1"/>
  <c r="T109" i="1"/>
  <c r="F109" i="1"/>
  <c r="R109" i="1"/>
  <c r="K108" i="1"/>
  <c r="W108" i="1"/>
  <c r="I108" i="1"/>
  <c r="U108" i="1"/>
  <c r="G110" i="1"/>
  <c r="S110" i="1"/>
  <c r="E110" i="1"/>
  <c r="Q110" i="1"/>
  <c r="AC110" i="1"/>
  <c r="Z75" i="1"/>
  <c r="N75" i="1"/>
  <c r="S67" i="1"/>
  <c r="G67" i="1"/>
  <c r="K112" i="1"/>
  <c r="W112" i="1"/>
  <c r="I109" i="1"/>
  <c r="U109" i="1"/>
  <c r="G109" i="1"/>
  <c r="S109" i="1"/>
  <c r="Y75" i="1"/>
  <c r="M75" i="1"/>
  <c r="N109" i="1"/>
  <c r="Z109" i="1"/>
  <c r="O109" i="1"/>
  <c r="AA109" i="1"/>
  <c r="D109" i="1"/>
  <c r="P109" i="1"/>
  <c r="AB109" i="1"/>
  <c r="E109" i="1"/>
  <c r="Q109" i="1"/>
  <c r="AC109" i="1"/>
  <c r="K109" i="11"/>
  <c r="W109" i="11"/>
  <c r="K108" i="11"/>
  <c r="W108" i="11"/>
  <c r="G110" i="11"/>
  <c r="S110" i="11"/>
  <c r="N112" i="11"/>
  <c r="Z112" i="11"/>
  <c r="J109" i="11"/>
  <c r="V109" i="11"/>
  <c r="T110" i="11"/>
  <c r="O112" i="11"/>
  <c r="AA112" i="11"/>
  <c r="D112" i="11"/>
  <c r="P109" i="11"/>
  <c r="AB112" i="11"/>
  <c r="N109" i="11"/>
  <c r="Z109" i="11"/>
  <c r="L112" i="11"/>
  <c r="X109" i="11"/>
  <c r="J112" i="11"/>
  <c r="V112" i="11"/>
  <c r="H112" i="11"/>
  <c r="T112" i="11"/>
  <c r="N108" i="11"/>
  <c r="Z108" i="11"/>
  <c r="L110" i="11"/>
  <c r="X110" i="11"/>
  <c r="J110" i="11"/>
  <c r="V110" i="11"/>
  <c r="E112" i="11"/>
  <c r="Q112" i="11"/>
  <c r="AC112" i="11"/>
  <c r="O109" i="11"/>
  <c r="AA109" i="11"/>
  <c r="M112" i="11"/>
  <c r="Y109" i="11"/>
  <c r="K112" i="11"/>
  <c r="W112" i="11"/>
  <c r="I112" i="11"/>
  <c r="U112" i="11"/>
  <c r="O108" i="11"/>
  <c r="AA108" i="11"/>
  <c r="M110" i="11"/>
  <c r="Y110" i="11"/>
  <c r="K110" i="11"/>
  <c r="W110" i="11"/>
  <c r="F109" i="11"/>
  <c r="R109" i="11"/>
  <c r="F108" i="11"/>
  <c r="R108" i="11"/>
  <c r="N110" i="11"/>
  <c r="Z110" i="11"/>
  <c r="G109" i="11"/>
  <c r="S109" i="11"/>
  <c r="G108" i="11"/>
  <c r="S108" i="11"/>
  <c r="O110" i="11"/>
  <c r="AA110" i="11"/>
  <c r="M109" i="11"/>
  <c r="AB109" i="11"/>
  <c r="F112" i="11"/>
  <c r="R112" i="11"/>
  <c r="G112" i="11"/>
  <c r="S112" i="11"/>
  <c r="Y112" i="11"/>
  <c r="L109" i="11"/>
  <c r="D109" i="11"/>
  <c r="X112" i="11"/>
  <c r="Q109" i="11"/>
  <c r="P112" i="11"/>
  <c r="E109" i="11"/>
  <c r="AC109" i="11"/>
  <c r="N112" i="12"/>
  <c r="Z112" i="12"/>
  <c r="D112" i="12"/>
  <c r="P112" i="12"/>
  <c r="AB112" i="12"/>
  <c r="N109" i="12"/>
  <c r="Z109" i="12"/>
  <c r="J112" i="12"/>
  <c r="V112" i="12"/>
  <c r="T112" i="12"/>
  <c r="D108" i="12"/>
  <c r="P108" i="12"/>
  <c r="AB108" i="12"/>
  <c r="L110" i="12"/>
  <c r="X110" i="12"/>
  <c r="V110" i="12"/>
  <c r="E112" i="12"/>
  <c r="Q112" i="12"/>
  <c r="AC112" i="12"/>
  <c r="O112" i="12"/>
  <c r="AA112" i="12"/>
  <c r="M109" i="12"/>
  <c r="Y109" i="12"/>
  <c r="K112" i="12"/>
  <c r="W112" i="12"/>
  <c r="I112" i="12"/>
  <c r="U112" i="12"/>
  <c r="E108" i="12"/>
  <c r="Q108" i="12"/>
  <c r="AC108" i="12"/>
  <c r="M110" i="12"/>
  <c r="Y110" i="12"/>
  <c r="K110" i="12"/>
  <c r="W110" i="12"/>
  <c r="F109" i="12"/>
  <c r="R109" i="12"/>
  <c r="G109" i="12"/>
  <c r="S109" i="12"/>
  <c r="L109" i="12"/>
  <c r="I109" i="12"/>
  <c r="U109" i="12"/>
  <c r="X109" i="12"/>
  <c r="J109" i="12"/>
  <c r="V109" i="12"/>
  <c r="H109" i="12"/>
  <c r="T109" i="12"/>
  <c r="J108" i="12"/>
  <c r="V108" i="12"/>
  <c r="F110" i="12"/>
  <c r="R110" i="12"/>
  <c r="D110" i="12"/>
  <c r="P110" i="12"/>
  <c r="AB110" i="12"/>
  <c r="K109" i="12"/>
  <c r="W109" i="12"/>
  <c r="K108" i="12"/>
  <c r="W108" i="12"/>
  <c r="I108" i="12"/>
  <c r="U108" i="12"/>
  <c r="G110" i="12"/>
  <c r="S110" i="12"/>
  <c r="E110" i="12"/>
  <c r="Q110" i="12"/>
  <c r="AC110" i="12"/>
  <c r="O109" i="12"/>
  <c r="F112" i="12"/>
  <c r="R112" i="12"/>
  <c r="G112" i="12"/>
  <c r="S112" i="12"/>
  <c r="D109" i="12"/>
  <c r="P109" i="12"/>
  <c r="AB109" i="12"/>
  <c r="E109" i="12"/>
  <c r="Q109" i="12"/>
  <c r="AC109" i="12"/>
  <c r="AA109" i="12"/>
  <c r="L112" i="16"/>
  <c r="X112" i="16"/>
  <c r="Y112" i="16"/>
  <c r="N112" i="16"/>
  <c r="Z112" i="16"/>
  <c r="J109" i="16"/>
  <c r="V109" i="16"/>
  <c r="L108" i="16"/>
  <c r="X108" i="16"/>
  <c r="H110" i="16"/>
  <c r="T110" i="16"/>
  <c r="M112" i="16"/>
  <c r="O112" i="16"/>
  <c r="AA112" i="16"/>
  <c r="P112" i="16"/>
  <c r="AB112" i="16"/>
  <c r="N109" i="16"/>
  <c r="Z109" i="16"/>
  <c r="L109" i="16"/>
  <c r="X109" i="16"/>
  <c r="J112" i="16"/>
  <c r="V112" i="16"/>
  <c r="H112" i="16"/>
  <c r="T112" i="16"/>
  <c r="L110" i="16"/>
  <c r="X110" i="16"/>
  <c r="E112" i="16"/>
  <c r="Q112" i="16"/>
  <c r="AC112" i="16"/>
  <c r="O109" i="16"/>
  <c r="AA109" i="16"/>
  <c r="K112" i="16"/>
  <c r="W112" i="16"/>
  <c r="U112" i="16"/>
  <c r="E108" i="16"/>
  <c r="Q108" i="16"/>
  <c r="AC108" i="16"/>
  <c r="M110" i="16"/>
  <c r="Y110" i="16"/>
  <c r="F109" i="16"/>
  <c r="R109" i="16"/>
  <c r="F108" i="16"/>
  <c r="R108" i="16"/>
  <c r="N110" i="16"/>
  <c r="Z110" i="16"/>
  <c r="M109" i="16"/>
  <c r="G109" i="16"/>
  <c r="S109" i="16"/>
  <c r="O110" i="16"/>
  <c r="AA110" i="16"/>
  <c r="Y109" i="16"/>
  <c r="H109" i="16"/>
  <c r="T109" i="16"/>
  <c r="D110" i="16"/>
  <c r="P110" i="16"/>
  <c r="AB110" i="16"/>
  <c r="I109" i="16"/>
  <c r="U109" i="16"/>
  <c r="I108" i="16"/>
  <c r="U108" i="16"/>
  <c r="E110" i="16"/>
  <c r="Q110" i="16"/>
  <c r="AC110" i="16"/>
  <c r="J108" i="16"/>
  <c r="V108" i="16"/>
  <c r="F110" i="16"/>
  <c r="R110" i="16"/>
  <c r="I112" i="16"/>
  <c r="F112" i="16"/>
  <c r="R112" i="16"/>
  <c r="G112" i="16"/>
  <c r="S112" i="16"/>
  <c r="D109" i="16"/>
  <c r="P109" i="16"/>
  <c r="AB109" i="16"/>
  <c r="E109" i="16"/>
  <c r="Q109" i="16"/>
  <c r="AC109" i="16"/>
  <c r="F109" i="13"/>
  <c r="R109" i="13"/>
  <c r="F108" i="13"/>
  <c r="R108" i="13"/>
  <c r="N110" i="13"/>
  <c r="Z110" i="13"/>
  <c r="G109" i="13"/>
  <c r="S109" i="13"/>
  <c r="G108" i="13"/>
  <c r="S108" i="13"/>
  <c r="O110" i="13"/>
  <c r="AA110" i="13"/>
  <c r="K109" i="13"/>
  <c r="M112" i="13"/>
  <c r="Y112" i="13"/>
  <c r="N112" i="13"/>
  <c r="Z112" i="13"/>
  <c r="L112" i="13"/>
  <c r="X112" i="13"/>
  <c r="J109" i="13"/>
  <c r="V109" i="13"/>
  <c r="T110" i="13"/>
  <c r="O112" i="13"/>
  <c r="AA112" i="13"/>
  <c r="D112" i="13"/>
  <c r="P112" i="13"/>
  <c r="AB109" i="13"/>
  <c r="N109" i="13"/>
  <c r="Z109" i="13"/>
  <c r="L109" i="13"/>
  <c r="X109" i="13"/>
  <c r="J112" i="13"/>
  <c r="V112" i="13"/>
  <c r="H112" i="13"/>
  <c r="T112" i="13"/>
  <c r="D108" i="13"/>
  <c r="P108" i="13"/>
  <c r="AB108" i="13"/>
  <c r="N108" i="13"/>
  <c r="Z108" i="13"/>
  <c r="L110" i="13"/>
  <c r="X110" i="13"/>
  <c r="J110" i="13"/>
  <c r="V110" i="13"/>
  <c r="E112" i="13"/>
  <c r="Q112" i="13"/>
  <c r="AC112" i="13"/>
  <c r="O109" i="13"/>
  <c r="AA109" i="13"/>
  <c r="K112" i="13"/>
  <c r="W112" i="13"/>
  <c r="I112" i="13"/>
  <c r="U112" i="13"/>
  <c r="M110" i="13"/>
  <c r="Y110" i="13"/>
  <c r="W110" i="13"/>
  <c r="F112" i="13"/>
  <c r="R112" i="13"/>
  <c r="G112" i="13"/>
  <c r="S112" i="13"/>
  <c r="D109" i="13"/>
  <c r="E109" i="13"/>
  <c r="Q109" i="13"/>
  <c r="AC109" i="13"/>
  <c r="P109" i="13"/>
  <c r="AB112" i="13"/>
  <c r="H109" i="14"/>
  <c r="T109" i="14"/>
  <c r="D110" i="14"/>
  <c r="P110" i="14"/>
  <c r="AB110" i="14"/>
  <c r="I109" i="14"/>
  <c r="U109" i="14"/>
  <c r="I108" i="14"/>
  <c r="U108" i="14"/>
  <c r="E110" i="14"/>
  <c r="Q110" i="14"/>
  <c r="AC110" i="14"/>
  <c r="J112" i="14"/>
  <c r="V112" i="14"/>
  <c r="J108" i="14"/>
  <c r="V108" i="14"/>
  <c r="F110" i="14"/>
  <c r="R110" i="14"/>
  <c r="K112" i="14"/>
  <c r="W112" i="14"/>
  <c r="L112" i="14"/>
  <c r="X112" i="14"/>
  <c r="M112" i="14"/>
  <c r="Y112" i="14"/>
  <c r="N112" i="14"/>
  <c r="Z112" i="14"/>
  <c r="L109" i="14"/>
  <c r="X109" i="14"/>
  <c r="H112" i="14"/>
  <c r="T112" i="14"/>
  <c r="F112" i="14"/>
  <c r="R112" i="14"/>
  <c r="J110" i="14"/>
  <c r="V110" i="14"/>
  <c r="T110" i="14"/>
  <c r="O112" i="14"/>
  <c r="AA112" i="14"/>
  <c r="K110" i="14"/>
  <c r="W110" i="14"/>
  <c r="P112" i="14"/>
  <c r="AB112" i="14"/>
  <c r="P108" i="14"/>
  <c r="AB108" i="14"/>
  <c r="L110" i="14"/>
  <c r="X110" i="14"/>
  <c r="E112" i="14"/>
  <c r="Q112" i="14"/>
  <c r="AC112" i="14"/>
  <c r="E108" i="14"/>
  <c r="Q108" i="14"/>
  <c r="AC108" i="14"/>
  <c r="M110" i="14"/>
  <c r="Y110" i="14"/>
  <c r="K109" i="14"/>
  <c r="W109" i="14"/>
  <c r="G112" i="14"/>
  <c r="S112" i="14"/>
  <c r="M109" i="14"/>
  <c r="Y109" i="14"/>
  <c r="I112" i="14"/>
  <c r="U112" i="14"/>
  <c r="N109" i="14"/>
  <c r="Z109" i="14"/>
  <c r="O109" i="14"/>
  <c r="AA109" i="14"/>
  <c r="D109" i="14"/>
  <c r="P109" i="14"/>
  <c r="AB109" i="14"/>
  <c r="E109" i="14"/>
  <c r="Q109" i="14"/>
  <c r="AC109" i="14"/>
  <c r="AC9" i="9" l="1"/>
  <c r="BF9" i="9" s="1"/>
  <c r="AC8" i="9"/>
  <c r="BF8" i="9" s="1"/>
  <c r="AC7" i="9"/>
  <c r="BF7" i="9" s="1"/>
  <c r="AC6" i="9"/>
  <c r="BF6" i="9" s="1"/>
  <c r="AC5" i="9"/>
  <c r="BF5" i="9" s="1"/>
  <c r="AC4" i="9"/>
  <c r="BF4" i="9" s="1"/>
</calcChain>
</file>

<file path=xl/sharedStrings.xml><?xml version="1.0" encoding="utf-8"?>
<sst xmlns="http://schemas.openxmlformats.org/spreadsheetml/2006/main" count="5124" uniqueCount="70">
  <si>
    <t>CHF</t>
  </si>
  <si>
    <t>CH</t>
  </si>
  <si>
    <t>ZH</t>
  </si>
  <si>
    <t>BE</t>
  </si>
  <si>
    <t>LU</t>
  </si>
  <si>
    <t>UR</t>
  </si>
  <si>
    <t>SZ</t>
  </si>
  <si>
    <t>OW</t>
  </si>
  <si>
    <t>NW</t>
  </si>
  <si>
    <t>GL</t>
  </si>
  <si>
    <t>ZG</t>
  </si>
  <si>
    <t>FR</t>
  </si>
  <si>
    <t>SO</t>
  </si>
  <si>
    <t>BS</t>
  </si>
  <si>
    <t>BL</t>
  </si>
  <si>
    <t>SH</t>
  </si>
  <si>
    <t>AR</t>
  </si>
  <si>
    <t>AI</t>
  </si>
  <si>
    <t>SG</t>
  </si>
  <si>
    <t>GR</t>
  </si>
  <si>
    <t>AG</t>
  </si>
  <si>
    <t>TG</t>
  </si>
  <si>
    <t>TI</t>
  </si>
  <si>
    <t>VD</t>
  </si>
  <si>
    <t>VS</t>
  </si>
  <si>
    <t>NE</t>
  </si>
  <si>
    <t>GE</t>
  </si>
  <si>
    <t>JU</t>
  </si>
  <si>
    <t>Measure</t>
  </si>
  <si>
    <t>Wood/pelle with daily tank</t>
  </si>
  <si>
    <t>Automatic wood heating, heat output ≤ 70 kW</t>
  </si>
  <si>
    <t>Automatic wood heating, heat output &gt; 70 kW</t>
  </si>
  <si>
    <t>HP air-water</t>
  </si>
  <si>
    <t>HP electric (brine/water, water/water)</t>
  </si>
  <si>
    <t>DH</t>
  </si>
  <si>
    <t>ST</t>
  </si>
  <si>
    <t>Ventilation and heat recovery</t>
  </si>
  <si>
    <t>SFH</t>
  </si>
  <si>
    <t>Non Res</t>
  </si>
  <si>
    <t>MFH</t>
  </si>
  <si>
    <t>Unit</t>
  </si>
  <si>
    <t>Index</t>
  </si>
  <si>
    <t>HP</t>
  </si>
  <si>
    <t>TOT</t>
  </si>
  <si>
    <t>Wood/pellet with daily tank</t>
  </si>
  <si>
    <t>Wood</t>
  </si>
  <si>
    <t>Mesure</t>
  </si>
  <si>
    <t>Unité</t>
  </si>
  <si>
    <t>Wood/pellet with daily tank (nuova installazione)</t>
  </si>
  <si>
    <t>Wood/pellet with daily tank (sostituzione)</t>
  </si>
  <si>
    <t>Automatic wood heating, heat output ≤ 70 kW (nuova installazione)</t>
  </si>
  <si>
    <t>Automatic wood heating, heat output ≤ 70 kW (sostituzione)</t>
  </si>
  <si>
    <t>Automatic wood heating, heat output &gt; 70 kW (nuova installazione)</t>
  </si>
  <si>
    <t>Automatic wood heating, heat output &gt; 70 kW (sostituzione)</t>
  </si>
  <si>
    <t>Special measure</t>
  </si>
  <si>
    <t>-</t>
  </si>
  <si>
    <t>HP - SFH</t>
  </si>
  <si>
    <t>HP - NonRes</t>
  </si>
  <si>
    <t>HP - MFH</t>
  </si>
  <si>
    <t>HP - MFH - MoPEC 2015 - CHF</t>
  </si>
  <si>
    <t>HP - SFH - MoPEC 2015 - CHF</t>
  </si>
  <si>
    <t>HP - SFH - MoPEC 2015 - Buildings</t>
  </si>
  <si>
    <t>HP - MFH - MoPEC 2015 - Buildings</t>
  </si>
  <si>
    <t>Average</t>
  </si>
  <si>
    <t>In questo file sono raccolti i dati di incentivi annuali per pompe di calore per Cantone.
Il programma di incentivazione per gli edifici varia da cantone a cantone, ma sono tutti sotto il cappello del Programma Edifici: https://www.ilprogrammaedifici.ch/it/
In questo programma, i proventi della tassa sulla CO2 vengono ridistribuiti ai vari cantoni; sono poi i cantoni a decidere gli incentivi per i singoli interventi di risanamento energetico.
Dal 2017 in poi i dati sugli incentivi concesssi sono stati suddivisi  anche per tipo di edificio (SFH - MFH - NonResidenziale). Qui si trovano i rapporti del Programma Edifici con tutti i dati: https://www.ilprogrammaedifici.ch/it/meta/pubblicazioni-e-foto/rapporti-e-statistiche/
Nel foglio "Total" sono raccolti i dati cumulati, si potrebbe usare un incentivo medio per cantone per tipo di edificio per l'analisi di regressione.</t>
  </si>
  <si>
    <t>I cantoni hanno delle linee guida da seguire per legiferare in materia di consumi energetici, che sono decise dalla Conferenza dei direttori cantonali dell'energia: https://endk.ch/it/
Questo direttorio produce delle linee guida ogni tot anni. L'ultima linea guida approvata è il MuKen (MoPEC) 2025.  prima di esso, erano repsenti le linee guida del MoPEC 2014: https://edificiopoloenergia.ch/politica-energetica-dei-cantoni/#mopec-2014
Oltre a dare delle linee guida sugli interventi da finanziare, nel MoPEC 2014 ci sono anche linee guida su leggi da applicare. Due sono interessanti:
- Art. 1.29 --&gt; obbligo di avere almeno parte della produzione di calore da fonti rinnovabili se si sostituisce l'attuale sistema di rscaldamento.
- Art. 1.26 --&gt; obbligo di produzione autonoma di elettricità (PV) nei nuovi edifici.
L'applicazione o meno di queste linee guida nei vari cantoni sono raccolte nel documento "Stato della politica energetica nei cantoni" (https://edificiopoloenergia.ch/politica-energetica-dei-cantoni/) e i dati sono raccolti nella pagina "applicazione MoPEC" in questo file.</t>
  </si>
  <si>
    <t>No</t>
  </si>
  <si>
    <t>Yes</t>
  </si>
  <si>
    <t>Produzione propria in edifici nuovi
Art. 1.26</t>
  </si>
  <si>
    <t>Sostituzione generatore di calore
Art. 1.29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</si>
</sst>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</font>
    <font>
      <b/>
      <sz val="10"/>
      <color rgb="FF000000"/>
      <name val="Calibri"/>
    </font>
    <font>
      <sz val="10"/>
      <color theme="1"/>
      <name val="Calibri"/>
      <family val="2"/>
      <scheme val="minor"/>
    </font>
    <font>
      <sz val="10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1" fillId="0" borderId="0" xfId="0" applyFont="1" applyAlignment="1">
      <alignment horizontal="right"/>
    </xf>
    <xf numFmtId="3" fontId="2" fillId="0" borderId="0" xfId="0" applyNumberFormat="1" applyFont="1"/>
    <xf numFmtId="0" fontId="3" fillId="0" borderId="0" xfId="0" applyFont="1" applyAlignment="1">
      <alignment horizontal="right"/>
    </xf>
    <xf numFmtId="3" fontId="4" fillId="0" borderId="0" xfId="0" applyNumberFormat="1" applyFont="1"/>
    <xf numFmtId="0" fontId="4" fillId="0" borderId="0" xfId="0" applyFont="1"/>
    <xf numFmtId="0" fontId="3" fillId="0" borderId="0" xfId="0" applyFont="1"/>
    <xf numFmtId="0" fontId="4" fillId="0" borderId="0" xfId="0" quotePrefix="1" applyFont="1"/>
    <xf numFmtId="3" fontId="5" fillId="0" borderId="0" xfId="0" applyNumberFormat="1" applyFont="1"/>
    <xf numFmtId="0" fontId="6" fillId="0" borderId="0" xfId="0" applyFont="1" applyAlignment="1">
      <alignment horizontal="right"/>
    </xf>
    <xf numFmtId="0" fontId="5" fillId="0" borderId="0" xfId="0" applyFont="1"/>
    <xf numFmtId="0" fontId="7" fillId="0" borderId="0" xfId="0" applyFont="1"/>
    <xf numFmtId="3" fontId="8" fillId="0" borderId="0" xfId="0" applyNumberFormat="1" applyFont="1"/>
    <xf numFmtId="0" fontId="0" fillId="0" borderId="0" xfId="0" applyAlignment="1">
      <alignment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39CE7-3930-4F45-BAF5-C82AA2022CFB}">
  <dimension ref="A1:A2"/>
  <sheetViews>
    <sheetView tabSelected="1" workbookViewId="0">
      <selection activeCell="A6" sqref="A6"/>
    </sheetView>
  </sheetViews>
  <sheetFormatPr defaultRowHeight="14.4" x14ac:dyDescent="0.55000000000000004"/>
  <cols>
    <col min="1" max="1" width="162.68359375" customWidth="1"/>
  </cols>
  <sheetData>
    <row r="1" spans="1:1" ht="144" x14ac:dyDescent="0.55000000000000004">
      <c r="A1" s="16" t="s">
        <v>64</v>
      </c>
    </row>
    <row r="2" spans="1:1" ht="144" x14ac:dyDescent="0.55000000000000004">
      <c r="A2" s="16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ABED0-0C42-4945-8072-1D546277D87C}">
  <dimension ref="A1:BF60"/>
  <sheetViews>
    <sheetView zoomScaleNormal="100" workbookViewId="0">
      <selection activeCell="B1" sqref="B1"/>
    </sheetView>
  </sheetViews>
  <sheetFormatPr defaultRowHeight="12.9" x14ac:dyDescent="0.5"/>
  <cols>
    <col min="1" max="1" width="8.83984375" style="14"/>
    <col min="2" max="2" width="23.05078125" style="14" bestFit="1" customWidth="1"/>
    <col min="3" max="29" width="7.26171875" style="14" customWidth="1"/>
    <col min="30" max="16384" width="8.83984375" style="14"/>
  </cols>
  <sheetData>
    <row r="1" spans="1:58" x14ac:dyDescent="0.5">
      <c r="A1" s="1" t="s">
        <v>41</v>
      </c>
      <c r="B1" s="14" t="s">
        <v>60</v>
      </c>
      <c r="C1" s="14" t="s">
        <v>20</v>
      </c>
      <c r="D1" s="14" t="s">
        <v>17</v>
      </c>
      <c r="E1" s="14" t="s">
        <v>16</v>
      </c>
      <c r="F1" s="14" t="s">
        <v>3</v>
      </c>
      <c r="G1" s="14" t="s">
        <v>14</v>
      </c>
      <c r="H1" s="14" t="s">
        <v>13</v>
      </c>
      <c r="I1" s="14" t="s">
        <v>11</v>
      </c>
      <c r="J1" s="14" t="s">
        <v>26</v>
      </c>
      <c r="K1" s="14" t="s">
        <v>9</v>
      </c>
      <c r="L1" s="14" t="s">
        <v>19</v>
      </c>
      <c r="M1" s="14" t="s">
        <v>27</v>
      </c>
      <c r="N1" s="14" t="s">
        <v>4</v>
      </c>
      <c r="O1" s="14" t="s">
        <v>25</v>
      </c>
      <c r="P1" s="14" t="s">
        <v>8</v>
      </c>
      <c r="Q1" s="14" t="s">
        <v>7</v>
      </c>
      <c r="R1" s="14" t="s">
        <v>18</v>
      </c>
      <c r="S1" s="14" t="s">
        <v>15</v>
      </c>
      <c r="T1" s="14" t="s">
        <v>12</v>
      </c>
      <c r="U1" s="14" t="s">
        <v>6</v>
      </c>
      <c r="V1" s="14" t="s">
        <v>21</v>
      </c>
      <c r="W1" s="14" t="s">
        <v>22</v>
      </c>
      <c r="X1" s="14" t="s">
        <v>5</v>
      </c>
      <c r="Y1" s="14" t="s">
        <v>23</v>
      </c>
      <c r="Z1" s="14" t="s">
        <v>24</v>
      </c>
      <c r="AA1" s="14" t="s">
        <v>10</v>
      </c>
      <c r="AB1" s="14" t="s">
        <v>2</v>
      </c>
      <c r="AE1" s="14" t="s">
        <v>60</v>
      </c>
      <c r="AF1" s="14" t="s">
        <v>20</v>
      </c>
      <c r="AG1" s="14" t="s">
        <v>17</v>
      </c>
      <c r="AH1" s="14" t="s">
        <v>16</v>
      </c>
      <c r="AI1" s="14" t="s">
        <v>3</v>
      </c>
      <c r="AJ1" s="14" t="s">
        <v>14</v>
      </c>
      <c r="AK1" s="14" t="s">
        <v>13</v>
      </c>
      <c r="AL1" s="14" t="s">
        <v>11</v>
      </c>
      <c r="AM1" s="14" t="s">
        <v>26</v>
      </c>
      <c r="AN1" s="14" t="s">
        <v>9</v>
      </c>
      <c r="AO1" s="14" t="s">
        <v>19</v>
      </c>
      <c r="AP1" s="14" t="s">
        <v>27</v>
      </c>
      <c r="AQ1" s="14" t="s">
        <v>4</v>
      </c>
      <c r="AR1" s="14" t="s">
        <v>25</v>
      </c>
      <c r="AS1" s="14" t="s">
        <v>8</v>
      </c>
      <c r="AT1" s="14" t="s">
        <v>7</v>
      </c>
      <c r="AU1" s="14" t="s">
        <v>18</v>
      </c>
      <c r="AV1" s="14" t="s">
        <v>15</v>
      </c>
      <c r="AW1" s="14" t="s">
        <v>12</v>
      </c>
      <c r="AX1" s="14" t="s">
        <v>6</v>
      </c>
      <c r="AY1" s="14" t="s">
        <v>21</v>
      </c>
      <c r="AZ1" s="14" t="s">
        <v>22</v>
      </c>
      <c r="BA1" s="14" t="s">
        <v>5</v>
      </c>
      <c r="BB1" s="14" t="s">
        <v>23</v>
      </c>
      <c r="BC1" s="14" t="s">
        <v>24</v>
      </c>
      <c r="BD1" s="14" t="s">
        <v>10</v>
      </c>
      <c r="BE1" s="14" t="s">
        <v>2</v>
      </c>
      <c r="BF1" s="14" t="s">
        <v>63</v>
      </c>
    </row>
    <row r="2" spans="1:58" x14ac:dyDescent="0.5">
      <c r="A2" s="1"/>
      <c r="B2" s="14">
        <v>2024</v>
      </c>
      <c r="C2" s="5">
        <f>HLOOKUP(C1,'2024 CHF'!$D$57:$AC$73,$A$3,FALSE)</f>
        <v>6928.6180000000004</v>
      </c>
      <c r="D2" s="5">
        <f>HLOOKUP(D1,'2024 CHF'!$D$57:$AC$73,$A$3,FALSE)</f>
        <v>111.354</v>
      </c>
      <c r="E2" s="5">
        <f>HLOOKUP(E1,'2024 CHF'!$D$57:$AC$73,$A$3,FALSE)</f>
        <v>1177.385</v>
      </c>
      <c r="F2" s="5">
        <f>HLOOKUP(F1,'2024 CHF'!$D$57:$AC$73,$A$3,FALSE)</f>
        <v>14599.9</v>
      </c>
      <c r="G2" s="5">
        <f>HLOOKUP(G1,'2024 CHF'!$D$57:$AC$73,$A$3,FALSE)</f>
        <v>8544.2189999999991</v>
      </c>
      <c r="H2" s="5">
        <f>HLOOKUP(H1,'2024 CHF'!$D$57:$AC$73,$A$3,FALSE)</f>
        <v>7571.06</v>
      </c>
      <c r="I2" s="5">
        <f>HLOOKUP(I1,'2024 CHF'!$D$57:$AC$73,$A$3,FALSE)</f>
        <v>6032.7129999999997</v>
      </c>
      <c r="J2" s="5">
        <f>HLOOKUP(J1,'2024 CHF'!$D$57:$AC$73,$A$3,FALSE)</f>
        <v>4517.067</v>
      </c>
      <c r="K2" s="5">
        <f>HLOOKUP(K1,'2024 CHF'!$D$57:$AC$73,$A$3,FALSE)</f>
        <v>620.01</v>
      </c>
      <c r="L2" s="5">
        <f>HLOOKUP(L1,'2024 CHF'!$D$57:$AC$73,$A$3,FALSE)</f>
        <v>3972.4290000000001</v>
      </c>
      <c r="M2" s="5">
        <f>HLOOKUP(M1,'2024 CHF'!$D$57:$AC$73,$A$3,FALSE)</f>
        <v>538.29700000000003</v>
      </c>
      <c r="N2" s="5">
        <f>HLOOKUP(N1,'2024 CHF'!$D$57:$AC$73,$A$3,FALSE)</f>
        <v>4926.8599999999997</v>
      </c>
      <c r="O2" s="5">
        <f>HLOOKUP(O1,'2024 CHF'!$D$57:$AC$73,$A$3,FALSE)</f>
        <v>2039.298</v>
      </c>
      <c r="P2" s="5">
        <f>HLOOKUP(P1,'2024 CHF'!$D$57:$AC$73,$A$3,FALSE)</f>
        <v>76.813999999999993</v>
      </c>
      <c r="Q2" s="5">
        <f>HLOOKUP(Q1,'2024 CHF'!$D$57:$AC$73,$A$3,FALSE)</f>
        <v>69</v>
      </c>
      <c r="R2" s="5">
        <f>HLOOKUP(R1,'2024 CHF'!$D$57:$AC$73,$A$3,FALSE)</f>
        <v>4250.2250000000004</v>
      </c>
      <c r="S2" s="5">
        <f>HLOOKUP(S1,'2024 CHF'!$D$57:$AC$73,$A$3,FALSE)</f>
        <v>877.94500000000005</v>
      </c>
      <c r="T2" s="5">
        <f>HLOOKUP(T1,'2024 CHF'!$D$57:$AC$73,$A$3,FALSE)</f>
        <v>4983.4134999999997</v>
      </c>
      <c r="U2" s="5">
        <f>HLOOKUP(U1,'2024 CHF'!$D$57:$AC$73,$A$3,FALSE)</f>
        <v>1428.951</v>
      </c>
      <c r="V2" s="5">
        <f>HLOOKUP(V1,'2024 CHF'!$D$57:$AC$73,$A$3,FALSE)</f>
        <v>5503.2250000000004</v>
      </c>
      <c r="W2" s="5">
        <f>HLOOKUP(W1,'2024 CHF'!$D$57:$AC$73,$A$3,FALSE)</f>
        <v>9371.991</v>
      </c>
      <c r="X2" s="5">
        <f>HLOOKUP(X1,'2024 CHF'!$D$57:$AC$73,$A$3,FALSE)</f>
        <v>218.28</v>
      </c>
      <c r="Y2" s="5">
        <f>HLOOKUP(Y1,'2024 CHF'!$D$57:$AC$73,$A$3,FALSE)</f>
        <v>13071.467000000001</v>
      </c>
      <c r="Z2" s="5">
        <f>HLOOKUP(Z1,'2024 CHF'!$D$57:$AC$73,$A$3,FALSE)</f>
        <v>7330.9549999999999</v>
      </c>
      <c r="AA2" s="5">
        <f>HLOOKUP(AA1,'2024 CHF'!$D$57:$AC$73,$A$3,FALSE)</f>
        <v>3102.7310000000002</v>
      </c>
      <c r="AB2" s="5">
        <f>HLOOKUP(AB1,'2024 CHF'!$D$57:$AC$73,$A$3,FALSE)</f>
        <v>20413.062000000002</v>
      </c>
      <c r="AC2" s="5">
        <f>SUM(C2:AB2)</f>
        <v>132277.26950000002</v>
      </c>
      <c r="AE2" s="14">
        <v>2024</v>
      </c>
      <c r="AF2" s="5">
        <f>IF(C24,C2/C24,0)*1000</f>
        <v>4287.5111386138624</v>
      </c>
      <c r="AG2" s="5">
        <f t="shared" ref="AG2:BF9" si="0">IF(D24,D2/D24,0)*1000</f>
        <v>3093.166666666667</v>
      </c>
      <c r="AH2" s="5">
        <f t="shared" si="0"/>
        <v>5886.9250000000002</v>
      </c>
      <c r="AI2" s="5">
        <f t="shared" si="0"/>
        <v>6939.1159695817496</v>
      </c>
      <c r="AJ2" s="5">
        <f t="shared" si="0"/>
        <v>8772.298767967146</v>
      </c>
      <c r="AK2" s="5">
        <f t="shared" si="0"/>
        <v>20573.532608695656</v>
      </c>
      <c r="AL2" s="5">
        <f t="shared" si="0"/>
        <v>7242.1524609843937</v>
      </c>
      <c r="AM2" s="5">
        <f t="shared" si="0"/>
        <v>7158.5847860538825</v>
      </c>
      <c r="AN2" s="5">
        <f t="shared" si="0"/>
        <v>4492.826086956522</v>
      </c>
      <c r="AO2" s="5">
        <f t="shared" si="0"/>
        <v>11158.508426966293</v>
      </c>
      <c r="AP2" s="5">
        <f t="shared" si="0"/>
        <v>3661.8843537414969</v>
      </c>
      <c r="AQ2" s="5">
        <f t="shared" si="0"/>
        <v>6595.5287817938415</v>
      </c>
      <c r="AR2" s="5">
        <f t="shared" si="0"/>
        <v>5136.7707808564237</v>
      </c>
      <c r="AS2" s="5">
        <f t="shared" si="0"/>
        <v>3200.583333333333</v>
      </c>
      <c r="AT2" s="5">
        <f t="shared" si="0"/>
        <v>5307.6923076923076</v>
      </c>
      <c r="AU2" s="5">
        <f t="shared" si="0"/>
        <v>4114.4482090997108</v>
      </c>
      <c r="AV2" s="5">
        <f t="shared" si="0"/>
        <v>6503.2962962962965</v>
      </c>
      <c r="AW2" s="5">
        <f t="shared" si="0"/>
        <v>6040.5012121212121</v>
      </c>
      <c r="AX2" s="5">
        <f t="shared" si="0"/>
        <v>6804.5285714285719</v>
      </c>
      <c r="AY2" s="5">
        <f t="shared" si="0"/>
        <v>6735.8935128518979</v>
      </c>
      <c r="AZ2" s="5">
        <f t="shared" si="0"/>
        <v>9651.8959835221413</v>
      </c>
      <c r="BA2" s="5">
        <f t="shared" si="0"/>
        <v>14552</v>
      </c>
      <c r="BB2" s="5">
        <f t="shared" si="0"/>
        <v>8856.0074525745258</v>
      </c>
      <c r="BC2" s="5">
        <f t="shared" si="0"/>
        <v>9866.6958277254362</v>
      </c>
      <c r="BD2" s="5">
        <f t="shared" si="0"/>
        <v>20147.603896103898</v>
      </c>
      <c r="BE2" s="5">
        <f t="shared" si="0"/>
        <v>7316.5096774193553</v>
      </c>
      <c r="BF2" s="5">
        <f t="shared" si="0"/>
        <v>7450.9812144426305</v>
      </c>
    </row>
    <row r="3" spans="1:58" x14ac:dyDescent="0.5">
      <c r="A3" s="14">
        <v>15</v>
      </c>
      <c r="B3" s="14">
        <v>2023</v>
      </c>
      <c r="C3" s="5">
        <f>HLOOKUP(C1,'2023 CHF'!$D$57:$AC$73,$A$3,FALSE)</f>
        <v>8968.1659999999993</v>
      </c>
      <c r="D3" s="5">
        <f>HLOOKUP(D1,'2023 CHF'!$D$57:$AC$73,$A$3,FALSE)</f>
        <v>107.928</v>
      </c>
      <c r="E3" s="5">
        <f>HLOOKUP(E1,'2023 CHF'!$D$57:$AC$73,$A$3,FALSE)</f>
        <v>1574.441</v>
      </c>
      <c r="F3" s="5">
        <f>HLOOKUP(F1,'2023 CHF'!$D$57:$AC$73,$A$3,FALSE)</f>
        <v>18476.165000000001</v>
      </c>
      <c r="G3" s="5">
        <f>HLOOKUP(G1,'2023 CHF'!$D$57:$AC$73,$A$3,FALSE)</f>
        <v>10262.987999999999</v>
      </c>
      <c r="H3" s="5">
        <f>HLOOKUP(H1,'2023 CHF'!$D$57:$AC$73,$A$3,FALSE)</f>
        <v>4854.9970000000003</v>
      </c>
      <c r="I3" s="5">
        <f>HLOOKUP(I1,'2023 CHF'!$D$57:$AC$73,$A$3,FALSE)</f>
        <v>8417.26</v>
      </c>
      <c r="J3" s="5">
        <f>HLOOKUP(J1,'2023 CHF'!$D$57:$AC$73,$A$3,FALSE)</f>
        <v>3309.4560000000001</v>
      </c>
      <c r="K3" s="5">
        <f>HLOOKUP(K1,'2023 CHF'!$D$57:$AC$73,$A$3,FALSE)</f>
        <v>823.10599999999999</v>
      </c>
      <c r="L3" s="5">
        <f>HLOOKUP(L1,'2023 CHF'!$D$57:$AC$73,$A$3,FALSE)</f>
        <v>4548.415</v>
      </c>
      <c r="M3" s="5">
        <f>HLOOKUP(M1,'2023 CHF'!$D$57:$AC$73,$A$3,FALSE)</f>
        <v>239.846</v>
      </c>
      <c r="N3" s="5">
        <f>HLOOKUP(N1,'2023 CHF'!$D$57:$AC$73,$A$3,FALSE)</f>
        <v>4536.2969999999996</v>
      </c>
      <c r="O3" s="5">
        <f>HLOOKUP(O1,'2023 CHF'!$D$57:$AC$73,$A$3,FALSE)</f>
        <v>1914.0830000000001</v>
      </c>
      <c r="P3" s="5">
        <f>HLOOKUP(P1,'2023 CHF'!$D$57:$AC$73,$A$3,FALSE)</f>
        <v>109.752</v>
      </c>
      <c r="Q3" s="5">
        <f>HLOOKUP(Q1,'2023 CHF'!$D$57:$AC$73,$A$3,FALSE)</f>
        <v>69</v>
      </c>
      <c r="R3" s="5">
        <f>HLOOKUP(R1,'2023 CHF'!$D$57:$AC$73,$A$3,FALSE)</f>
        <v>6837.768</v>
      </c>
      <c r="S3" s="5">
        <f>HLOOKUP(S1,'2023 CHF'!$D$57:$AC$73,$A$3,FALSE)</f>
        <v>1344.3</v>
      </c>
      <c r="T3" s="5">
        <f>HLOOKUP(T1,'2023 CHF'!$D$57:$AC$73,$A$3,FALSE)</f>
        <v>7857.9930000000004</v>
      </c>
      <c r="U3" s="5">
        <f>HLOOKUP(U1,'2023 CHF'!$D$57:$AC$73,$A$3,FALSE)</f>
        <v>1673.624</v>
      </c>
      <c r="V3" s="5">
        <f>HLOOKUP(V1,'2023 CHF'!$D$57:$AC$73,$A$3,FALSE)</f>
        <v>8072.45</v>
      </c>
      <c r="W3" s="5">
        <f>HLOOKUP(W1,'2023 CHF'!$D$57:$AC$73,$A$3,FALSE)</f>
        <v>9338.7180000000008</v>
      </c>
      <c r="X3" s="5">
        <f>HLOOKUP(X1,'2023 CHF'!$D$57:$AC$73,$A$3,FALSE)</f>
        <v>120.8</v>
      </c>
      <c r="Y3" s="5">
        <f>HLOOKUP(Y1,'2023 CHF'!$D$57:$AC$73,$A$3,FALSE)</f>
        <v>10398.362999999999</v>
      </c>
      <c r="Z3" s="5">
        <f>HLOOKUP(Z1,'2023 CHF'!$D$57:$AC$73,$A$3,FALSE)</f>
        <v>7903.5</v>
      </c>
      <c r="AA3" s="5">
        <f>HLOOKUP(AA1,'2023 CHF'!$D$57:$AC$73,$A$3,FALSE)</f>
        <v>3404.26</v>
      </c>
      <c r="AB3" s="5">
        <f>HLOOKUP(AB1,'2023 CHF'!$D$57:$AC$73,$A$3,FALSE)</f>
        <v>17895.123</v>
      </c>
      <c r="AC3" s="5">
        <f>SUM(C3:AB3)</f>
        <v>143058.799</v>
      </c>
      <c r="AE3" s="14">
        <v>2023</v>
      </c>
      <c r="AF3" s="5">
        <f t="shared" ref="AF3:AF9" si="1">IF(C25,C3/C25,0)*1000</f>
        <v>4987.8565072302563</v>
      </c>
      <c r="AG3" s="5">
        <f t="shared" si="0"/>
        <v>3083.6571428571428</v>
      </c>
      <c r="AH3" s="5">
        <f t="shared" si="0"/>
        <v>5874.7798507462694</v>
      </c>
      <c r="AI3" s="5">
        <f t="shared" si="0"/>
        <v>7186.3730066122134</v>
      </c>
      <c r="AJ3" s="5">
        <f t="shared" si="0"/>
        <v>8269.9339242546339</v>
      </c>
      <c r="AK3" s="5">
        <f t="shared" si="0"/>
        <v>17654.534545454546</v>
      </c>
      <c r="AL3" s="5">
        <f t="shared" si="0"/>
        <v>7888.7160262417992</v>
      </c>
      <c r="AM3" s="5">
        <f t="shared" si="0"/>
        <v>7225.8864628820966</v>
      </c>
      <c r="AN3" s="5">
        <f t="shared" si="0"/>
        <v>4497.8469945355191</v>
      </c>
      <c r="AO3" s="5">
        <f t="shared" si="0"/>
        <v>9042.5745526838964</v>
      </c>
      <c r="AP3" s="5">
        <f t="shared" si="0"/>
        <v>4065.1864406779659</v>
      </c>
      <c r="AQ3" s="5">
        <f t="shared" si="0"/>
        <v>5984.5606860158305</v>
      </c>
      <c r="AR3" s="5">
        <f t="shared" si="0"/>
        <v>5077.143236074271</v>
      </c>
      <c r="AS3" s="5">
        <f t="shared" si="0"/>
        <v>3540.3870967741937</v>
      </c>
      <c r="AT3" s="5">
        <f t="shared" si="0"/>
        <v>5307.6923076923076</v>
      </c>
      <c r="AU3" s="5">
        <f t="shared" si="0"/>
        <v>4012.7746478873237</v>
      </c>
      <c r="AV3" s="5">
        <f t="shared" si="0"/>
        <v>6001.3392857142853</v>
      </c>
      <c r="AW3" s="5">
        <f t="shared" si="0"/>
        <v>5846.7209821428569</v>
      </c>
      <c r="AX3" s="5">
        <f t="shared" si="0"/>
        <v>6175.7343173431736</v>
      </c>
      <c r="AY3" s="5">
        <f t="shared" si="0"/>
        <v>6738.2721202003331</v>
      </c>
      <c r="AZ3" s="5">
        <f t="shared" si="0"/>
        <v>9452.1437246963578</v>
      </c>
      <c r="BA3" s="5">
        <f t="shared" si="0"/>
        <v>9292.3076923076915</v>
      </c>
      <c r="BB3" s="5">
        <f t="shared" si="0"/>
        <v>8872.3233788395901</v>
      </c>
      <c r="BC3" s="5">
        <f t="shared" si="0"/>
        <v>10145.699614890886</v>
      </c>
      <c r="BD3" s="5">
        <f t="shared" si="0"/>
        <v>19125.056179775282</v>
      </c>
      <c r="BE3" s="5">
        <f t="shared" si="0"/>
        <v>7280.3592351505295</v>
      </c>
      <c r="BF3" s="5">
        <f t="shared" si="0"/>
        <v>7165.1206551136929</v>
      </c>
    </row>
    <row r="4" spans="1:58" x14ac:dyDescent="0.5">
      <c r="B4" s="14">
        <v>2022</v>
      </c>
      <c r="C4" s="5">
        <f>HLOOKUP(C1,'2022 CHF'!$D$57:$AC$73,$A$3,FALSE)</f>
        <v>5620.0640000000003</v>
      </c>
      <c r="D4" s="5">
        <f>HLOOKUP(D1,'2022 CHF'!$D$57:$AC$73,$A$3,FALSE)</f>
        <v>101.242</v>
      </c>
      <c r="E4" s="5">
        <f>HLOOKUP(E1,'2022 CHF'!$D$57:$AC$73,$A$3,FALSE)</f>
        <v>524.45699999999999</v>
      </c>
      <c r="F4" s="5">
        <f>HLOOKUP(F1,'2022 CHF'!$D$57:$AC$73,$A$3,FALSE)</f>
        <v>17199.088</v>
      </c>
      <c r="G4" s="5">
        <f>HLOOKUP(G1,'2022 CHF'!$D$57:$AC$73,$A$3,FALSE)</f>
        <v>7010.6049999999996</v>
      </c>
      <c r="H4" s="5">
        <f>HLOOKUP(H1,'2022 CHF'!$D$57:$AC$73,$A$3,FALSE)</f>
        <v>2023.71</v>
      </c>
      <c r="I4" s="5">
        <f>HLOOKUP(I1,'2022 CHF'!$D$57:$AC$73,$A$3,FALSE)</f>
        <v>8492.5280000000002</v>
      </c>
      <c r="J4" s="5">
        <f>HLOOKUP(J1,'2022 CHF'!$D$57:$AC$73,$A$3,FALSE)</f>
        <v>1701.62</v>
      </c>
      <c r="K4" s="5">
        <f>HLOOKUP(K1,'2022 CHF'!$D$57:$AC$73,$A$3,FALSE)</f>
        <v>473.31200000000001</v>
      </c>
      <c r="L4" s="5">
        <f>HLOOKUP(L1,'2022 CHF'!$D$57:$AC$73,$A$3,FALSE)</f>
        <v>2001.866</v>
      </c>
      <c r="M4" s="5">
        <f>HLOOKUP(M1,'2022 CHF'!$D$57:$AC$73,$A$3,FALSE)</f>
        <v>432.64499999999998</v>
      </c>
      <c r="N4" s="5">
        <f>HLOOKUP(N1,'2022 CHF'!$D$57:$AC$73,$A$3,FALSE)</f>
        <v>2662.0070000000001</v>
      </c>
      <c r="O4" s="5">
        <f>HLOOKUP(O1,'2022 CHF'!$D$57:$AC$73,$A$3,FALSE)</f>
        <v>1074.422</v>
      </c>
      <c r="P4" s="5">
        <f>HLOOKUP(P1,'2022 CHF'!$D$57:$AC$73,$A$3,FALSE)</f>
        <v>87.397000000000006</v>
      </c>
      <c r="Q4" s="5">
        <f>HLOOKUP(Q1,'2022 CHF'!$D$57:$AC$73,$A$3,FALSE)</f>
        <v>51</v>
      </c>
      <c r="R4" s="5">
        <f>HLOOKUP(R1,'2022 CHF'!$D$57:$AC$73,$A$3,FALSE)</f>
        <v>4016.7828</v>
      </c>
      <c r="S4" s="5">
        <f>HLOOKUP(S1,'2022 CHF'!$D$57:$AC$73,$A$3,FALSE)</f>
        <v>1111.5999999999999</v>
      </c>
      <c r="T4" s="5">
        <f>HLOOKUP(T1,'2022 CHF'!$D$57:$AC$73,$A$3,FALSE)</f>
        <v>3831.17</v>
      </c>
      <c r="U4" s="5">
        <f>HLOOKUP(U1,'2022 CHF'!$D$57:$AC$73,$A$3,FALSE)</f>
        <v>918.17700000000002</v>
      </c>
      <c r="V4" s="5">
        <f>HLOOKUP(V1,'2022 CHF'!$D$57:$AC$73,$A$3,FALSE)</f>
        <v>4637.6000000000004</v>
      </c>
      <c r="W4" s="5">
        <f>HLOOKUP(W1,'2022 CHF'!$D$57:$AC$73,$A$3,FALSE)</f>
        <v>4829.326</v>
      </c>
      <c r="X4" s="5">
        <f>HLOOKUP(X1,'2022 CHF'!$D$57:$AC$73,$A$3,FALSE)</f>
        <v>152</v>
      </c>
      <c r="Y4" s="5">
        <f>HLOOKUP(Y1,'2022 CHF'!$D$57:$AC$73,$A$3,FALSE)</f>
        <v>5032.866</v>
      </c>
      <c r="Z4" s="5">
        <f>HLOOKUP(Z1,'2022 CHF'!$D$57:$AC$73,$A$3,FALSE)</f>
        <v>4690.5110000000004</v>
      </c>
      <c r="AA4" s="5">
        <f>HLOOKUP(AA1,'2022 CHF'!$D$57:$AC$73,$A$3,FALSE)</f>
        <v>211.36</v>
      </c>
      <c r="AB4" s="5">
        <f>HLOOKUP(AB1,'2022 CHF'!$D$57:$AC$73,$A$3,FALSE)</f>
        <v>13363.682000000001</v>
      </c>
      <c r="AC4" s="5">
        <f t="shared" ref="AC4:AC9" si="2">SUM(C4:AB4)</f>
        <v>92251.037799999991</v>
      </c>
      <c r="AE4" s="14">
        <v>2022</v>
      </c>
      <c r="AF4" s="5">
        <f t="shared" si="1"/>
        <v>5099.8765880217788</v>
      </c>
      <c r="AG4" s="5">
        <f t="shared" si="0"/>
        <v>3265.8709677419356</v>
      </c>
      <c r="AH4" s="5">
        <f t="shared" si="0"/>
        <v>6028.2413793103442</v>
      </c>
      <c r="AI4" s="5">
        <f t="shared" si="0"/>
        <v>8582.3792415169664</v>
      </c>
      <c r="AJ4" s="5">
        <f t="shared" si="0"/>
        <v>8365.8770883054876</v>
      </c>
      <c r="AK4" s="5">
        <f t="shared" si="0"/>
        <v>16864.250000000004</v>
      </c>
      <c r="AL4" s="5">
        <f t="shared" si="0"/>
        <v>9817.9514450867064</v>
      </c>
      <c r="AM4" s="5">
        <f t="shared" si="0"/>
        <v>7119.7489539748949</v>
      </c>
      <c r="AN4" s="5">
        <f t="shared" si="0"/>
        <v>4595.2621359223303</v>
      </c>
      <c r="AO4" s="5">
        <f t="shared" si="0"/>
        <v>6809.0680272108839</v>
      </c>
      <c r="AP4" s="5">
        <f t="shared" si="0"/>
        <v>3933.1363636363635</v>
      </c>
      <c r="AQ4" s="5">
        <f t="shared" si="0"/>
        <v>5129.1078998073226</v>
      </c>
      <c r="AR4" s="5">
        <f t="shared" si="0"/>
        <v>5165.4903846153848</v>
      </c>
      <c r="AS4" s="5">
        <f t="shared" si="0"/>
        <v>3236.9259259259261</v>
      </c>
      <c r="AT4" s="5">
        <f t="shared" si="0"/>
        <v>5666.666666666667</v>
      </c>
      <c r="AU4" s="5">
        <f t="shared" si="0"/>
        <v>4214.8822665267571</v>
      </c>
      <c r="AV4" s="5">
        <f t="shared" si="0"/>
        <v>5475.8620689655172</v>
      </c>
      <c r="AW4" s="5">
        <f t="shared" si="0"/>
        <v>5778.5369532428358</v>
      </c>
      <c r="AX4" s="5">
        <f t="shared" si="0"/>
        <v>6466.0352112676055</v>
      </c>
      <c r="AY4" s="5">
        <f t="shared" si="0"/>
        <v>6200</v>
      </c>
      <c r="AZ4" s="5">
        <f t="shared" si="0"/>
        <v>9111.9358490566028</v>
      </c>
      <c r="BA4" s="5">
        <f t="shared" si="0"/>
        <v>10857.142857142857</v>
      </c>
      <c r="BB4" s="5">
        <f t="shared" si="0"/>
        <v>8955.2775800711734</v>
      </c>
      <c r="BC4" s="5">
        <f t="shared" si="0"/>
        <v>10377.236725663717</v>
      </c>
      <c r="BD4" s="5">
        <f t="shared" si="0"/>
        <v>11742.222222222223</v>
      </c>
      <c r="BE4" s="5">
        <f t="shared" si="0"/>
        <v>6917.0196687370599</v>
      </c>
      <c r="BF4" s="5">
        <f t="shared" si="0"/>
        <v>7222.3469662569469</v>
      </c>
    </row>
    <row r="5" spans="1:58" x14ac:dyDescent="0.5">
      <c r="B5" s="14">
        <v>2021</v>
      </c>
      <c r="C5" s="5">
        <f>HLOOKUP(C1,'2021 CHF'!$D$57:$AC$73,$A$3,FALSE)</f>
        <v>1162.903</v>
      </c>
      <c r="D5" s="5">
        <f>HLOOKUP(D1,'2021 CHF'!$D$57:$AC$73,$A$3,FALSE)</f>
        <v>18.701000000000001</v>
      </c>
      <c r="E5" s="5">
        <f>HLOOKUP(E1,'2021 CHF'!$D$57:$AC$73,$A$3,FALSE)</f>
        <v>257.50400000000002</v>
      </c>
      <c r="F5" s="5">
        <f>HLOOKUP(F1,'2021 CHF'!$D$57:$AC$73,$A$3,FALSE)</f>
        <v>19677.383000000002</v>
      </c>
      <c r="G5" s="5">
        <f>HLOOKUP(G1,'2021 CHF'!$D$57:$AC$73,$A$3,FALSE)</f>
        <v>4939.2129999999997</v>
      </c>
      <c r="H5" s="5">
        <f>HLOOKUP(H1,'2021 CHF'!$D$57:$AC$73,$A$3,FALSE)</f>
        <v>2087.078</v>
      </c>
      <c r="I5" s="5">
        <f>HLOOKUP(I1,'2021 CHF'!$D$57:$AC$73,$A$3,FALSE)</f>
        <v>4092.9589999999998</v>
      </c>
      <c r="J5" s="5">
        <f>HLOOKUP(J1,'2021 CHF'!$D$57:$AC$73,$A$3,FALSE)</f>
        <v>1486.2280000000001</v>
      </c>
      <c r="K5" s="5">
        <f>HLOOKUP(K1,'2021 CHF'!$D$57:$AC$73,$A$3,FALSE)</f>
        <v>313.35000000000002</v>
      </c>
      <c r="L5" s="5">
        <f>HLOOKUP(L1,'2021 CHF'!$D$57:$AC$73,$A$3,FALSE)</f>
        <v>1358.403</v>
      </c>
      <c r="M5" s="5">
        <f>HLOOKUP(M1,'2021 CHF'!$D$57:$AC$73,$A$3,FALSE)</f>
        <v>371.80099999999999</v>
      </c>
      <c r="N5" s="5">
        <f>HLOOKUP(N1,'2021 CHF'!$D$57:$AC$73,$A$3,FALSE)</f>
        <v>2425.5279999999998</v>
      </c>
      <c r="O5" s="5">
        <f>HLOOKUP(O1,'2021 CHF'!$D$57:$AC$73,$A$3,FALSE)</f>
        <v>844.84699999999998</v>
      </c>
      <c r="P5" s="5">
        <f>HLOOKUP(P1,'2021 CHF'!$D$57:$AC$73,$A$3,FALSE)</f>
        <v>84.311000000000007</v>
      </c>
      <c r="Q5" s="5">
        <f>HLOOKUP(Q1,'2021 CHF'!$D$57:$AC$73,$A$3,FALSE)</f>
        <v>36</v>
      </c>
      <c r="R5" s="5">
        <f>HLOOKUP(R1,'2021 CHF'!$D$57:$AC$73,$A$3,FALSE)</f>
        <v>3649.8539999999998</v>
      </c>
      <c r="S5" s="5">
        <f>HLOOKUP(S1,'2021 CHF'!$D$57:$AC$73,$A$3,FALSE)</f>
        <v>719.8</v>
      </c>
      <c r="T5" s="5">
        <f>HLOOKUP(T1,'2021 CHF'!$D$57:$AC$73,$A$3,FALSE)</f>
        <v>3202.127</v>
      </c>
      <c r="U5" s="5">
        <f>HLOOKUP(U1,'2021 CHF'!$D$57:$AC$73,$A$3,FALSE)</f>
        <v>343.74599999999998</v>
      </c>
      <c r="V5" s="5">
        <f>HLOOKUP(V1,'2021 CHF'!$D$57:$AC$73,$A$3,FALSE)</f>
        <v>3333.6979999999999</v>
      </c>
      <c r="W5" s="5">
        <f>HLOOKUP(W1,'2021 CHF'!$D$57:$AC$73,$A$3,FALSE)</f>
        <v>2170.4369999999999</v>
      </c>
      <c r="X5" s="5">
        <f>HLOOKUP(X1,'2021 CHF'!$D$57:$AC$73,$A$3,FALSE)</f>
        <v>132</v>
      </c>
      <c r="Y5" s="5">
        <f>HLOOKUP(Y1,'2021 CHF'!$D$57:$AC$73,$A$3,FALSE)</f>
        <v>3880.7350000000001</v>
      </c>
      <c r="Z5" s="5">
        <f>HLOOKUP(Z1,'2021 CHF'!$D$57:$AC$73,$A$3,FALSE)</f>
        <v>3646.623</v>
      </c>
      <c r="AA5" s="5">
        <f>HLOOKUP(AA1,'2021 CHF'!$D$57:$AC$73,$A$3,FALSE)</f>
        <v>0</v>
      </c>
      <c r="AB5" s="5">
        <f>HLOOKUP(AB1,'2021 CHF'!$D$57:$AC$73,$A$3,FALSE)</f>
        <v>7683.9589999999998</v>
      </c>
      <c r="AC5" s="5">
        <f t="shared" si="2"/>
        <v>67919.187999999995</v>
      </c>
      <c r="AE5" s="14">
        <v>2021</v>
      </c>
      <c r="AF5" s="5">
        <f t="shared" si="1"/>
        <v>5145.5884955752208</v>
      </c>
      <c r="AG5" s="5">
        <f t="shared" si="0"/>
        <v>2671.5714285714289</v>
      </c>
      <c r="AH5" s="5">
        <f t="shared" si="0"/>
        <v>6131.0476190476193</v>
      </c>
      <c r="AI5" s="5">
        <f t="shared" si="0"/>
        <v>10296.903715332288</v>
      </c>
      <c r="AJ5" s="5">
        <f t="shared" si="0"/>
        <v>8245.7646076794645</v>
      </c>
      <c r="AK5" s="5">
        <f t="shared" si="0"/>
        <v>16968.113821138209</v>
      </c>
      <c r="AL5" s="5">
        <f t="shared" si="0"/>
        <v>8474.0351966873714</v>
      </c>
      <c r="AM5" s="5">
        <f t="shared" si="0"/>
        <v>7781.2984293193713</v>
      </c>
      <c r="AN5" s="5">
        <f t="shared" si="0"/>
        <v>4476.4285714285716</v>
      </c>
      <c r="AO5" s="5">
        <f t="shared" si="0"/>
        <v>5660.0124999999998</v>
      </c>
      <c r="AP5" s="5">
        <f t="shared" si="0"/>
        <v>4177.5393258426966</v>
      </c>
      <c r="AQ5" s="5">
        <f t="shared" si="0"/>
        <v>4909.9757085020237</v>
      </c>
      <c r="AR5" s="5">
        <f t="shared" si="0"/>
        <v>5120.2848484848482</v>
      </c>
      <c r="AS5" s="5">
        <f t="shared" si="0"/>
        <v>3512.9583333333335</v>
      </c>
      <c r="AT5" s="5">
        <f t="shared" si="0"/>
        <v>6000</v>
      </c>
      <c r="AU5" s="5">
        <f t="shared" si="0"/>
        <v>4124.1288135593222</v>
      </c>
      <c r="AV5" s="5">
        <f t="shared" si="0"/>
        <v>5804.8387096774195</v>
      </c>
      <c r="AW5" s="5">
        <f t="shared" si="0"/>
        <v>5822.0490909090904</v>
      </c>
      <c r="AX5" s="5">
        <f t="shared" si="0"/>
        <v>4044.0705882352941</v>
      </c>
      <c r="AY5" s="5">
        <f t="shared" si="0"/>
        <v>6083.3905109489051</v>
      </c>
      <c r="AZ5" s="5">
        <f t="shared" si="0"/>
        <v>6346.3070175438588</v>
      </c>
      <c r="BA5" s="5">
        <f t="shared" si="0"/>
        <v>9428.5714285714294</v>
      </c>
      <c r="BB5" s="5">
        <f t="shared" si="0"/>
        <v>9109.7065727699537</v>
      </c>
      <c r="BC5" s="5">
        <f t="shared" si="0"/>
        <v>10448.776504297994</v>
      </c>
      <c r="BD5" s="5">
        <f t="shared" si="0"/>
        <v>0</v>
      </c>
      <c r="BE5" s="5">
        <f t="shared" si="0"/>
        <v>6550.6896845694791</v>
      </c>
      <c r="BF5" s="5">
        <f t="shared" si="0"/>
        <v>7409.9048658084212</v>
      </c>
    </row>
    <row r="6" spans="1:58" x14ac:dyDescent="0.5">
      <c r="B6" s="14">
        <v>2020</v>
      </c>
      <c r="C6" s="5">
        <f>HLOOKUP(C1,'2020 CHF'!$D$57:$AC$73,$A$3,FALSE)</f>
        <v>0</v>
      </c>
      <c r="D6" s="5">
        <f>HLOOKUP(D1,'2020 CHF'!$D$57:$AC$73,$A$3,FALSE)</f>
        <v>59.503999999999998</v>
      </c>
      <c r="E6" s="5">
        <f>HLOOKUP(E1,'2020 CHF'!$D$57:$AC$73,$A$3,FALSE)</f>
        <v>143.25800000000001</v>
      </c>
      <c r="F6" s="5">
        <f>HLOOKUP(F1,'2020 CHF'!$D$57:$AC$73,$A$3,FALSE)</f>
        <v>10206.313</v>
      </c>
      <c r="G6" s="5">
        <f>HLOOKUP(G1,'2020 CHF'!$D$57:$AC$73,$A$3,FALSE)</f>
        <v>807.98400000000004</v>
      </c>
      <c r="H6" s="5">
        <f>HLOOKUP(H1,'2020 CHF'!$D$57:$AC$73,$A$3,FALSE)</f>
        <v>1246.462</v>
      </c>
      <c r="I6" s="5">
        <f>HLOOKUP(I1,'2020 CHF'!$D$57:$AC$73,$A$3,FALSE)</f>
        <v>2453.5045</v>
      </c>
      <c r="J6" s="5">
        <f>HLOOKUP(J1,'2020 CHF'!$D$57:$AC$73,$A$3,FALSE)</f>
        <v>976.72900000000004</v>
      </c>
      <c r="K6" s="5">
        <f>HLOOKUP(K1,'2020 CHF'!$D$57:$AC$73,$A$3,FALSE)</f>
        <v>234.37799999999999</v>
      </c>
      <c r="L6" s="5">
        <f>HLOOKUP(L1,'2020 CHF'!$D$57:$AC$73,$A$3,FALSE)</f>
        <v>887.63199999999995</v>
      </c>
      <c r="M6" s="5">
        <f>HLOOKUP(M1,'2020 CHF'!$D$57:$AC$73,$A$3,FALSE)</f>
        <v>173.995</v>
      </c>
      <c r="N6" s="5">
        <f>HLOOKUP(N1,'2020 CHF'!$D$57:$AC$73,$A$3,FALSE)</f>
        <v>2182.0059999999999</v>
      </c>
      <c r="O6" s="5">
        <f>HLOOKUP(O1,'2020 CHF'!$D$57:$AC$73,$A$3,FALSE)</f>
        <v>503.488</v>
      </c>
      <c r="P6" s="5">
        <f>HLOOKUP(P1,'2020 CHF'!$D$57:$AC$73,$A$3,FALSE)</f>
        <v>121.378</v>
      </c>
      <c r="Q6" s="5">
        <f>HLOOKUP(Q1,'2020 CHF'!$D$57:$AC$73,$A$3,FALSE)</f>
        <v>48</v>
      </c>
      <c r="R6" s="5">
        <f>HLOOKUP(R1,'2020 CHF'!$D$57:$AC$73,$A$3,FALSE)</f>
        <v>2977.2966000000001</v>
      </c>
      <c r="S6" s="5">
        <f>HLOOKUP(S1,'2020 CHF'!$D$57:$AC$73,$A$3,FALSE)</f>
        <v>351</v>
      </c>
      <c r="T6" s="5">
        <f>HLOOKUP(T1,'2020 CHF'!$D$57:$AC$73,$A$3,FALSE)</f>
        <v>832.89499999999998</v>
      </c>
      <c r="U6" s="5">
        <f>HLOOKUP(U1,'2020 CHF'!$D$57:$AC$73,$A$3,FALSE)</f>
        <v>113.99</v>
      </c>
      <c r="V6" s="5">
        <f>HLOOKUP(V1,'2020 CHF'!$D$57:$AC$73,$A$3,FALSE)</f>
        <v>1840.1</v>
      </c>
      <c r="W6" s="5">
        <f>HLOOKUP(W1,'2020 CHF'!$D$57:$AC$73,$A$3,FALSE)</f>
        <v>1365.183</v>
      </c>
      <c r="X6" s="5">
        <f>HLOOKUP(X1,'2020 CHF'!$D$57:$AC$73,$A$3,FALSE)</f>
        <v>77</v>
      </c>
      <c r="Y6" s="5">
        <f>HLOOKUP(Y1,'2020 CHF'!$D$57:$AC$73,$A$3,FALSE)</f>
        <v>3099.8539999999998</v>
      </c>
      <c r="Z6" s="5">
        <f>HLOOKUP(Z1,'2020 CHF'!$D$57:$AC$73,$A$3,FALSE)</f>
        <v>2632.11</v>
      </c>
      <c r="AA6" s="5">
        <f>HLOOKUP(AA1,'2020 CHF'!$D$57:$AC$73,$A$3,FALSE)</f>
        <v>0</v>
      </c>
      <c r="AB6" s="5">
        <f>HLOOKUP(AB1,'2020 CHF'!$D$57:$AC$73,$A$3,FALSE)</f>
        <v>537.83600000000001</v>
      </c>
      <c r="AC6" s="5">
        <f t="shared" si="2"/>
        <v>33871.896100000005</v>
      </c>
      <c r="AE6" s="14">
        <v>2020</v>
      </c>
      <c r="AF6" s="5">
        <f t="shared" si="1"/>
        <v>0</v>
      </c>
      <c r="AG6" s="5">
        <f t="shared" si="0"/>
        <v>2704.7272727272725</v>
      </c>
      <c r="AH6" s="5">
        <f t="shared" si="0"/>
        <v>5116.3571428571431</v>
      </c>
      <c r="AI6" s="5">
        <f t="shared" si="0"/>
        <v>9637.6893295561858</v>
      </c>
      <c r="AJ6" s="5">
        <f t="shared" si="0"/>
        <v>6733.2</v>
      </c>
      <c r="AK6" s="5">
        <f t="shared" si="0"/>
        <v>15580.775</v>
      </c>
      <c r="AL6" s="5">
        <f t="shared" si="0"/>
        <v>7132.2805232558148</v>
      </c>
      <c r="AM6" s="5">
        <f t="shared" si="0"/>
        <v>8005.9754098360663</v>
      </c>
      <c r="AN6" s="5">
        <f t="shared" si="0"/>
        <v>4595.6470588235288</v>
      </c>
      <c r="AO6" s="5">
        <f t="shared" si="0"/>
        <v>6038.3129251700684</v>
      </c>
      <c r="AP6" s="5">
        <f t="shared" si="0"/>
        <v>4578.8157894736842</v>
      </c>
      <c r="AQ6" s="5">
        <f t="shared" si="0"/>
        <v>5074.4325581395342</v>
      </c>
      <c r="AR6" s="5">
        <f t="shared" si="0"/>
        <v>5034.88</v>
      </c>
      <c r="AS6" s="5">
        <f t="shared" si="0"/>
        <v>4045.9333333333329</v>
      </c>
      <c r="AT6" s="5">
        <f t="shared" si="0"/>
        <v>5333.333333333333</v>
      </c>
      <c r="AU6" s="5">
        <f t="shared" si="0"/>
        <v>4457.0308383233532</v>
      </c>
      <c r="AV6" s="5">
        <f t="shared" si="0"/>
        <v>5161.7647058823532</v>
      </c>
      <c r="AW6" s="5">
        <f t="shared" si="0"/>
        <v>4928.3727810650889</v>
      </c>
      <c r="AX6" s="5">
        <f t="shared" si="0"/>
        <v>2780.2439024390246</v>
      </c>
      <c r="AY6" s="5">
        <f t="shared" si="0"/>
        <v>5732.3987538940801</v>
      </c>
      <c r="AZ6" s="5">
        <f t="shared" si="0"/>
        <v>5784.6737288135591</v>
      </c>
      <c r="BA6" s="5">
        <f t="shared" si="0"/>
        <v>8555.5555555555547</v>
      </c>
      <c r="BB6" s="5">
        <f t="shared" si="0"/>
        <v>9037.4752186588921</v>
      </c>
      <c r="BC6" s="5">
        <f t="shared" si="0"/>
        <v>9970.113636363636</v>
      </c>
      <c r="BD6" s="5">
        <f t="shared" si="0"/>
        <v>0</v>
      </c>
      <c r="BE6" s="5">
        <f t="shared" si="0"/>
        <v>6182.022988505747</v>
      </c>
      <c r="BF6" s="5">
        <f t="shared" si="0"/>
        <v>7077.2871082323454</v>
      </c>
    </row>
    <row r="7" spans="1:58" x14ac:dyDescent="0.5">
      <c r="B7" s="14">
        <v>2019</v>
      </c>
      <c r="C7" s="5">
        <f>HLOOKUP(C1,'2019 CHF'!$D$57:$AC$73,$A$3,FALSE)</f>
        <v>0</v>
      </c>
      <c r="D7" s="5">
        <f>HLOOKUP(D1,'2019 CHF'!$D$57:$AC$73,$A$3,FALSE)</f>
        <v>55.095999999999997</v>
      </c>
      <c r="E7" s="5">
        <f>HLOOKUP(E1,'2019 CHF'!$D$57:$AC$73,$A$3,FALSE)</f>
        <v>56.52</v>
      </c>
      <c r="F7" s="5">
        <f>HLOOKUP(F1,'2019 CHF'!$D$57:$AC$73,$A$3,FALSE)</f>
        <v>2530.13</v>
      </c>
      <c r="G7" s="5">
        <f>HLOOKUP(G1,'2019 CHF'!$D$57:$AC$73,$A$3,FALSE)</f>
        <v>147.87799999999999</v>
      </c>
      <c r="H7" s="5">
        <f>HLOOKUP(H1,'2019 CHF'!$D$57:$AC$73,$A$3,FALSE)</f>
        <v>340.97699999999998</v>
      </c>
      <c r="I7" s="5">
        <f>HLOOKUP(I1,'2019 CHF'!$D$57:$AC$73,$A$3,FALSE)</f>
        <v>1570.4445000000001</v>
      </c>
      <c r="J7" s="5">
        <f>HLOOKUP(J1,'2019 CHF'!$D$57:$AC$73,$A$3,FALSE)</f>
        <v>967.51900000000001</v>
      </c>
      <c r="K7" s="5">
        <f>HLOOKUP(K1,'2019 CHF'!$D$57:$AC$73,$A$3,FALSE)</f>
        <v>199.245</v>
      </c>
      <c r="L7" s="5">
        <f>HLOOKUP(L1,'2019 CHF'!$D$57:$AC$73,$A$3,FALSE)</f>
        <v>635.14599999999996</v>
      </c>
      <c r="M7" s="5">
        <f>HLOOKUP(M1,'2019 CHF'!$D$57:$AC$73,$A$3,FALSE)</f>
        <v>134.774</v>
      </c>
      <c r="N7" s="5">
        <f>HLOOKUP(N1,'2019 CHF'!$D$57:$AC$73,$A$3,FALSE)</f>
        <v>521.57299999999998</v>
      </c>
      <c r="O7" s="5">
        <f>HLOOKUP(O1,'2019 CHF'!$D$57:$AC$73,$A$3,FALSE)</f>
        <v>43.235999999999997</v>
      </c>
      <c r="P7" s="5">
        <f>HLOOKUP(P1,'2019 CHF'!$D$57:$AC$73,$A$3,FALSE)</f>
        <v>80.334999999999994</v>
      </c>
      <c r="Q7" s="5">
        <f>HLOOKUP(Q1,'2019 CHF'!$D$57:$AC$73,$A$3,FALSE)</f>
        <v>45</v>
      </c>
      <c r="R7" s="5">
        <f>HLOOKUP(R1,'2019 CHF'!$D$57:$AC$73,$A$3,FALSE)</f>
        <v>1891.7429999999999</v>
      </c>
      <c r="S7" s="5">
        <f>HLOOKUP(S1,'2019 CHF'!$D$57:$AC$73,$A$3,FALSE)</f>
        <v>218</v>
      </c>
      <c r="T7" s="5">
        <f>HLOOKUP(T1,'2019 CHF'!$D$57:$AC$73,$A$3,FALSE)</f>
        <v>219.27099999999999</v>
      </c>
      <c r="U7" s="5">
        <f>HLOOKUP(U1,'2019 CHF'!$D$57:$AC$73,$A$3,FALSE)</f>
        <v>56.37</v>
      </c>
      <c r="V7" s="5">
        <f>HLOOKUP(V1,'2019 CHF'!$D$57:$AC$73,$A$3,FALSE)</f>
        <v>1181.5</v>
      </c>
      <c r="W7" s="5">
        <f>HLOOKUP(W1,'2019 CHF'!$D$57:$AC$73,$A$3,FALSE)</f>
        <v>659.02499999999998</v>
      </c>
      <c r="X7" s="5">
        <f>HLOOKUP(X1,'2019 CHF'!$D$57:$AC$73,$A$3,FALSE)</f>
        <v>143</v>
      </c>
      <c r="Y7" s="5">
        <f>HLOOKUP(Y1,'2019 CHF'!$D$57:$AC$73,$A$3,FALSE)</f>
        <v>2977.34</v>
      </c>
      <c r="Z7" s="5">
        <f>HLOOKUP(Z1,'2019 CHF'!$D$57:$AC$73,$A$3,FALSE)</f>
        <v>1364.248</v>
      </c>
      <c r="AA7" s="5">
        <f>HLOOKUP(AA1,'2019 CHF'!$D$57:$AC$73,$A$3,FALSE)</f>
        <v>0</v>
      </c>
      <c r="AB7" s="5">
        <f>HLOOKUP(AB1,'2019 CHF'!$D$57:$AC$73,$A$3,FALSE)</f>
        <v>0</v>
      </c>
      <c r="AC7" s="5">
        <f t="shared" si="2"/>
        <v>16038.370500000001</v>
      </c>
      <c r="AE7" s="14">
        <v>2019</v>
      </c>
      <c r="AF7" s="5">
        <f t="shared" si="1"/>
        <v>0</v>
      </c>
      <c r="AG7" s="5">
        <f t="shared" si="0"/>
        <v>3240.9411764705883</v>
      </c>
      <c r="AH7" s="5">
        <f t="shared" si="0"/>
        <v>3768.0000000000005</v>
      </c>
      <c r="AI7" s="5">
        <f t="shared" si="0"/>
        <v>5698.4909909909911</v>
      </c>
      <c r="AJ7" s="5">
        <f t="shared" si="0"/>
        <v>3996.702702702702</v>
      </c>
      <c r="AK7" s="5">
        <f t="shared" si="0"/>
        <v>12628.777777777777</v>
      </c>
      <c r="AL7" s="5">
        <f t="shared" si="0"/>
        <v>6979.753333333334</v>
      </c>
      <c r="AM7" s="5">
        <f t="shared" si="0"/>
        <v>7866.0081300813008</v>
      </c>
      <c r="AN7" s="5">
        <f t="shared" si="0"/>
        <v>5108.8461538461543</v>
      </c>
      <c r="AO7" s="5">
        <f t="shared" si="0"/>
        <v>5991.9433962264147</v>
      </c>
      <c r="AP7" s="5">
        <f t="shared" si="0"/>
        <v>5183.6153846153848</v>
      </c>
      <c r="AQ7" s="5">
        <f t="shared" si="0"/>
        <v>4967.361904761905</v>
      </c>
      <c r="AR7" s="5">
        <f t="shared" si="0"/>
        <v>4803.9999999999991</v>
      </c>
      <c r="AS7" s="5">
        <f t="shared" si="0"/>
        <v>3651.590909090909</v>
      </c>
      <c r="AT7" s="5">
        <f t="shared" si="0"/>
        <v>5625</v>
      </c>
      <c r="AU7" s="5">
        <f t="shared" si="0"/>
        <v>4348.8344827586207</v>
      </c>
      <c r="AV7" s="5">
        <f t="shared" si="0"/>
        <v>4954.545454545454</v>
      </c>
      <c r="AW7" s="5">
        <f t="shared" si="0"/>
        <v>3322.2878787878785</v>
      </c>
      <c r="AX7" s="5">
        <f t="shared" si="0"/>
        <v>2684.2857142857142</v>
      </c>
      <c r="AY7" s="5">
        <f t="shared" si="0"/>
        <v>5394.9771689497711</v>
      </c>
      <c r="AZ7" s="5">
        <f t="shared" si="0"/>
        <v>4845.7720588235297</v>
      </c>
      <c r="BA7" s="5">
        <f t="shared" si="0"/>
        <v>8937.5</v>
      </c>
      <c r="BB7" s="5">
        <f t="shared" si="0"/>
        <v>9891.4950166112958</v>
      </c>
      <c r="BC7" s="5">
        <f t="shared" si="0"/>
        <v>10031.235294117649</v>
      </c>
      <c r="BD7" s="5">
        <f t="shared" si="0"/>
        <v>0</v>
      </c>
      <c r="BE7" s="5">
        <f t="shared" si="0"/>
        <v>0</v>
      </c>
      <c r="BF7" s="5">
        <f t="shared" si="0"/>
        <v>6223.6594877764846</v>
      </c>
    </row>
    <row r="8" spans="1:58" x14ac:dyDescent="0.5">
      <c r="B8" s="14">
        <v>2018</v>
      </c>
      <c r="C8" s="5">
        <f>HLOOKUP(C1,'2018 CHF'!$D$57:$AC$73,$A$3,FALSE)</f>
        <v>0</v>
      </c>
      <c r="D8" s="5">
        <f>HLOOKUP(D1,'2018 CHF'!$D$57:$AC$73,$A$3,FALSE)</f>
        <v>21.928000000000001</v>
      </c>
      <c r="E8" s="5">
        <f>HLOOKUP(E1,'2018 CHF'!$D$57:$AC$73,$A$3,FALSE)</f>
        <v>70.69</v>
      </c>
      <c r="F8" s="5">
        <f>HLOOKUP(F1,'2018 CHF'!$D$57:$AC$73,$A$3,FALSE)</f>
        <v>1704.3</v>
      </c>
      <c r="G8" s="5">
        <f>HLOOKUP(G1,'2018 CHF'!$D$57:$AC$73,$A$3,FALSE)</f>
        <v>172.99799999999999</v>
      </c>
      <c r="H8" s="5">
        <f>HLOOKUP(H1,'2018 CHF'!$D$57:$AC$73,$A$3,FALSE)</f>
        <v>129.80000000000001</v>
      </c>
      <c r="I8" s="5">
        <f>HLOOKUP(I1,'2018 CHF'!$D$57:$AC$73,$A$3,FALSE)</f>
        <v>1296.8544999999999</v>
      </c>
      <c r="J8" s="5">
        <f>HLOOKUP(J1,'2018 CHF'!$D$57:$AC$73,$A$3,FALSE)</f>
        <v>563.66800000000001</v>
      </c>
      <c r="K8" s="5">
        <f>HLOOKUP(K1,'2018 CHF'!$D$57:$AC$73,$A$3,FALSE)</f>
        <v>100.623</v>
      </c>
      <c r="L8" s="5">
        <f>HLOOKUP(L1,'2018 CHF'!$D$57:$AC$73,$A$3,FALSE)</f>
        <v>493.80900000000003</v>
      </c>
      <c r="M8" s="5">
        <f>HLOOKUP(M1,'2018 CHF'!$D$57:$AC$73,$A$3,FALSE)</f>
        <v>51.526000000000003</v>
      </c>
      <c r="N8" s="5">
        <f>HLOOKUP(N1,'2018 CHF'!$D$57:$AC$73,$A$3,FALSE)</f>
        <v>0</v>
      </c>
      <c r="O8" s="5">
        <f>HLOOKUP(O1,'2018 CHF'!$D$57:$AC$73,$A$3,FALSE)</f>
        <v>16.024999999999999</v>
      </c>
      <c r="P8" s="5">
        <f>HLOOKUP(P1,'2018 CHF'!$D$57:$AC$73,$A$3,FALSE)</f>
        <v>39.548000000000002</v>
      </c>
      <c r="Q8" s="5">
        <f>HLOOKUP(Q1,'2018 CHF'!$D$57:$AC$73,$A$3,FALSE)</f>
        <v>24</v>
      </c>
      <c r="R8" s="5">
        <f>HLOOKUP(R1,'2018 CHF'!$D$57:$AC$73,$A$3,FALSE)</f>
        <v>1302.259</v>
      </c>
      <c r="S8" s="5">
        <f>HLOOKUP(S1,'2018 CHF'!$D$57:$AC$73,$A$3,FALSE)</f>
        <v>53</v>
      </c>
      <c r="T8" s="5">
        <f>HLOOKUP(T1,'2018 CHF'!$D$57:$AC$73,$A$3,FALSE)</f>
        <v>157.238</v>
      </c>
      <c r="U8" s="5">
        <f>HLOOKUP(U1,'2018 CHF'!$D$57:$AC$73,$A$3,FALSE)</f>
        <v>36.625999999999998</v>
      </c>
      <c r="V8" s="5">
        <f>HLOOKUP(V1,'2018 CHF'!$D$57:$AC$73,$A$3,FALSE)</f>
        <v>1032.51</v>
      </c>
      <c r="W8" s="5">
        <f>HLOOKUP(W1,'2018 CHF'!$D$57:$AC$73,$A$3,FALSE)</f>
        <v>132.02600000000001</v>
      </c>
      <c r="X8" s="5">
        <f>HLOOKUP(X1,'2018 CHF'!$D$57:$AC$73,$A$3,FALSE)</f>
        <v>88</v>
      </c>
      <c r="Y8" s="5">
        <f>HLOOKUP(Y1,'2018 CHF'!$D$57:$AC$73,$A$3,FALSE)</f>
        <v>1363.27</v>
      </c>
      <c r="Z8" s="5">
        <f>HLOOKUP(Z1,'2018 CHF'!$D$57:$AC$73,$A$3,FALSE)</f>
        <v>1165.123</v>
      </c>
      <c r="AA8" s="5">
        <f>HLOOKUP(AA1,'2018 CHF'!$D$57:$AC$73,$A$3,FALSE)</f>
        <v>0</v>
      </c>
      <c r="AB8" s="5">
        <f>HLOOKUP(AB1,'2018 CHF'!$D$57:$AC$73,$A$3,FALSE)</f>
        <v>0</v>
      </c>
      <c r="AC8" s="5">
        <f t="shared" si="2"/>
        <v>10015.8215</v>
      </c>
      <c r="AE8" s="14">
        <v>2018</v>
      </c>
      <c r="AF8" s="5">
        <f t="shared" si="1"/>
        <v>0</v>
      </c>
      <c r="AG8" s="5">
        <f t="shared" si="0"/>
        <v>3132.5714285714284</v>
      </c>
      <c r="AH8" s="5">
        <f t="shared" si="0"/>
        <v>4712.6666666666661</v>
      </c>
      <c r="AI8" s="5">
        <f t="shared" si="0"/>
        <v>5133.4337349397592</v>
      </c>
      <c r="AJ8" s="5">
        <f t="shared" si="0"/>
        <v>4119</v>
      </c>
      <c r="AK8" s="5">
        <f t="shared" si="0"/>
        <v>14422.222222222224</v>
      </c>
      <c r="AL8" s="5">
        <f t="shared" si="0"/>
        <v>7048.1222826086951</v>
      </c>
      <c r="AM8" s="5">
        <f t="shared" si="0"/>
        <v>7320.3636363636369</v>
      </c>
      <c r="AN8" s="5">
        <f t="shared" si="0"/>
        <v>3726.7777777777778</v>
      </c>
      <c r="AO8" s="5">
        <f t="shared" si="0"/>
        <v>7370.2835820895525</v>
      </c>
      <c r="AP8" s="5">
        <f t="shared" si="0"/>
        <v>4684.1818181818189</v>
      </c>
      <c r="AQ8" s="5">
        <f t="shared" si="0"/>
        <v>0</v>
      </c>
      <c r="AR8" s="5">
        <f t="shared" si="0"/>
        <v>3204.9999999999995</v>
      </c>
      <c r="AS8" s="5">
        <f t="shared" si="0"/>
        <v>3042.1538461538466</v>
      </c>
      <c r="AT8" s="5">
        <f t="shared" si="0"/>
        <v>6000</v>
      </c>
      <c r="AU8" s="5">
        <f t="shared" si="0"/>
        <v>4121.0727848101269</v>
      </c>
      <c r="AV8" s="5">
        <f t="shared" si="0"/>
        <v>4416.666666666667</v>
      </c>
      <c r="AW8" s="5">
        <f t="shared" si="0"/>
        <v>3494.1777777777779</v>
      </c>
      <c r="AX8" s="5">
        <f t="shared" si="0"/>
        <v>2441.7333333333331</v>
      </c>
      <c r="AY8" s="5">
        <f t="shared" si="0"/>
        <v>5521.4438502673793</v>
      </c>
      <c r="AZ8" s="5">
        <f t="shared" si="0"/>
        <v>4000.787878787879</v>
      </c>
      <c r="BA8" s="5">
        <f t="shared" si="0"/>
        <v>8000</v>
      </c>
      <c r="BB8" s="5">
        <f t="shared" si="0"/>
        <v>8852.402597402599</v>
      </c>
      <c r="BC8" s="5">
        <f t="shared" si="0"/>
        <v>9873.923728813561</v>
      </c>
      <c r="BD8" s="5">
        <f t="shared" si="0"/>
        <v>0</v>
      </c>
      <c r="BE8" s="5">
        <f t="shared" si="0"/>
        <v>0</v>
      </c>
      <c r="BF8" s="5">
        <f t="shared" si="0"/>
        <v>5947.6374703087886</v>
      </c>
    </row>
    <row r="9" spans="1:58" x14ac:dyDescent="0.5">
      <c r="B9" s="14">
        <v>2017</v>
      </c>
      <c r="C9" s="5">
        <f>HLOOKUP(C1,'2017 CHF'!$D$57:$AC$73,$A$3,FALSE)</f>
        <v>0</v>
      </c>
      <c r="D9" s="5">
        <f>HLOOKUP(D1,'2017 CHF'!$D$57:$AC$73,$A$3,FALSE)</f>
        <v>0</v>
      </c>
      <c r="E9" s="5">
        <f>HLOOKUP(E1,'2017 CHF'!$D$57:$AC$73,$A$3,FALSE)</f>
        <v>0</v>
      </c>
      <c r="F9" s="5">
        <f>HLOOKUP(F1,'2017 CHF'!$D$57:$AC$73,$A$3,FALSE)</f>
        <v>397.06</v>
      </c>
      <c r="G9" s="5">
        <f>HLOOKUP(G1,'2017 CHF'!$D$57:$AC$73,$A$3,FALSE)</f>
        <v>23.045999999999999</v>
      </c>
      <c r="H9" s="5">
        <f>HLOOKUP(H1,'2017 CHF'!$D$57:$AC$73,$A$3,FALSE)</f>
        <v>0</v>
      </c>
      <c r="I9" s="5">
        <f>HLOOKUP(I1,'2017 CHF'!$D$57:$AC$73,$A$3,FALSE)</f>
        <v>143.04249999999999</v>
      </c>
      <c r="J9" s="5">
        <f>HLOOKUP(J1,'2017 CHF'!$D$57:$AC$73,$A$3,FALSE)</f>
        <v>581.84400000000005</v>
      </c>
      <c r="K9" s="5">
        <f>HLOOKUP(K1,'2017 CHF'!$D$57:$AC$73,$A$3,FALSE)</f>
        <v>18.3</v>
      </c>
      <c r="L9" s="5">
        <f>HLOOKUP(L1,'2017 CHF'!$D$57:$AC$73,$A$3,FALSE)</f>
        <v>82.28</v>
      </c>
      <c r="M9" s="5">
        <f>HLOOKUP(M1,'2017 CHF'!$D$57:$AC$73,$A$3,FALSE)</f>
        <v>30.56</v>
      </c>
      <c r="N9" s="5">
        <f>HLOOKUP(N1,'2017 CHF'!$D$57:$AC$73,$A$3,FALSE)</f>
        <v>0</v>
      </c>
      <c r="O9" s="5">
        <f>HLOOKUP(O1,'2017 CHF'!$D$57:$AC$73,$A$3,FALSE)</f>
        <v>5.46</v>
      </c>
      <c r="P9" s="5">
        <f>HLOOKUP(P1,'2017 CHF'!$D$57:$AC$73,$A$3,FALSE)</f>
        <v>0</v>
      </c>
      <c r="Q9" s="5">
        <f>HLOOKUP(Q1,'2017 CHF'!$D$57:$AC$73,$A$3,FALSE)</f>
        <v>12</v>
      </c>
      <c r="R9" s="5">
        <f>HLOOKUP(R1,'2017 CHF'!$D$57:$AC$73,$A$3,FALSE)</f>
        <v>236.89099999999999</v>
      </c>
      <c r="S9" s="5">
        <f>HLOOKUP(S1,'2017 CHF'!$D$57:$AC$73,$A$3,FALSE)</f>
        <v>0</v>
      </c>
      <c r="T9" s="5">
        <f>HLOOKUP(T1,'2017 CHF'!$D$57:$AC$73,$A$3,FALSE)</f>
        <v>30.46</v>
      </c>
      <c r="U9" s="5">
        <f>HLOOKUP(U1,'2017 CHF'!$D$57:$AC$73,$A$3,FALSE)</f>
        <v>0</v>
      </c>
      <c r="V9" s="5">
        <f>HLOOKUP(V1,'2017 CHF'!$D$57:$AC$73,$A$3,FALSE)</f>
        <v>186.5</v>
      </c>
      <c r="W9" s="5">
        <f>HLOOKUP(W1,'2017 CHF'!$D$57:$AC$73,$A$3,FALSE)</f>
        <v>34.198</v>
      </c>
      <c r="X9" s="5">
        <f>HLOOKUP(X1,'2017 CHF'!$D$57:$AC$73,$A$3,FALSE)</f>
        <v>3</v>
      </c>
      <c r="Y9" s="5">
        <f>HLOOKUP(Y1,'2017 CHF'!$D$57:$AC$73,$A$3,FALSE)</f>
        <v>126.4</v>
      </c>
      <c r="Z9" s="5">
        <f>HLOOKUP(Z1,'2017 CHF'!$D$57:$AC$73,$A$3,FALSE)</f>
        <v>140.53299999999999</v>
      </c>
      <c r="AA9" s="5">
        <f>HLOOKUP(AA1,'2017 CHF'!$D$57:$AC$73,$A$3,FALSE)</f>
        <v>0</v>
      </c>
      <c r="AB9" s="5">
        <f>HLOOKUP(AB1,'2017 CHF'!$D$57:$AC$73,$A$3,FALSE)</f>
        <v>0</v>
      </c>
      <c r="AC9" s="5">
        <f t="shared" si="2"/>
        <v>2051.5745000000002</v>
      </c>
      <c r="AE9" s="14">
        <v>2017</v>
      </c>
      <c r="AF9" s="5">
        <f t="shared" si="1"/>
        <v>0</v>
      </c>
      <c r="AG9" s="5">
        <f t="shared" si="0"/>
        <v>0</v>
      </c>
      <c r="AH9" s="5">
        <f t="shared" si="0"/>
        <v>0</v>
      </c>
      <c r="AI9" s="5">
        <f t="shared" si="0"/>
        <v>4783.8554216867469</v>
      </c>
      <c r="AJ9" s="5">
        <f t="shared" si="0"/>
        <v>3292.2857142857142</v>
      </c>
      <c r="AK9" s="5">
        <f t="shared" si="0"/>
        <v>0</v>
      </c>
      <c r="AL9" s="5">
        <f t="shared" si="0"/>
        <v>7528.5526315789466</v>
      </c>
      <c r="AM9" s="5">
        <f t="shared" si="0"/>
        <v>7862.7567567567576</v>
      </c>
      <c r="AN9" s="5">
        <f t="shared" si="0"/>
        <v>3660</v>
      </c>
      <c r="AO9" s="5">
        <f t="shared" si="0"/>
        <v>6329.2307692307695</v>
      </c>
      <c r="AP9" s="5">
        <f t="shared" si="0"/>
        <v>4365.7142857142853</v>
      </c>
      <c r="AQ9" s="5">
        <f t="shared" si="0"/>
        <v>0</v>
      </c>
      <c r="AR9" s="5">
        <f t="shared" si="0"/>
        <v>5460</v>
      </c>
      <c r="AS9" s="5">
        <f t="shared" si="0"/>
        <v>0</v>
      </c>
      <c r="AT9" s="5">
        <f t="shared" si="0"/>
        <v>6000</v>
      </c>
      <c r="AU9" s="5">
        <f t="shared" si="0"/>
        <v>4555.5961538461543</v>
      </c>
      <c r="AV9" s="5">
        <f t="shared" si="0"/>
        <v>0</v>
      </c>
      <c r="AW9" s="5">
        <f t="shared" si="0"/>
        <v>3807.5</v>
      </c>
      <c r="AX9" s="5">
        <f t="shared" si="0"/>
        <v>0</v>
      </c>
      <c r="AY9" s="5">
        <f t="shared" si="0"/>
        <v>4782.0512820512822</v>
      </c>
      <c r="AZ9" s="5">
        <f t="shared" si="0"/>
        <v>5699.6666666666661</v>
      </c>
      <c r="BA9" s="5">
        <f t="shared" si="0"/>
        <v>3000</v>
      </c>
      <c r="BB9" s="5">
        <f t="shared" si="0"/>
        <v>7022.2222222222217</v>
      </c>
      <c r="BC9" s="5">
        <f t="shared" si="0"/>
        <v>8783.3125</v>
      </c>
      <c r="BD9" s="5">
        <f t="shared" si="0"/>
        <v>0</v>
      </c>
      <c r="BE9" s="5">
        <f t="shared" si="0"/>
        <v>0</v>
      </c>
      <c r="BF9" s="5">
        <f t="shared" si="0"/>
        <v>5844.9415954415963</v>
      </c>
    </row>
    <row r="10" spans="1:58" x14ac:dyDescent="0.5"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E10" s="14" t="s">
        <v>63</v>
      </c>
      <c r="AF10" s="5">
        <f>SUM(C2:C9)/SUM(C24:C31)*1000</f>
        <v>4782.7395613665112</v>
      </c>
      <c r="AG10" s="5">
        <f t="shared" ref="AG10:BE10" si="3">SUM(D2:D9)/SUM(D24:D31)*1000</f>
        <v>3069.3741935483872</v>
      </c>
      <c r="AH10" s="5">
        <f t="shared" si="3"/>
        <v>5808.0229007633579</v>
      </c>
      <c r="AI10" s="5">
        <f t="shared" si="3"/>
        <v>8069.1224781119145</v>
      </c>
      <c r="AJ10" s="5">
        <f t="shared" si="3"/>
        <v>8270.8478486262302</v>
      </c>
      <c r="AK10" s="5">
        <f t="shared" si="3"/>
        <v>18217.648702594808</v>
      </c>
      <c r="AL10" s="5">
        <f t="shared" si="3"/>
        <v>8084.4044776119408</v>
      </c>
      <c r="AM10" s="5">
        <f t="shared" si="3"/>
        <v>7365.0814621409909</v>
      </c>
      <c r="AN10" s="5">
        <f t="shared" si="3"/>
        <v>4516.7597402597403</v>
      </c>
      <c r="AO10" s="5">
        <f t="shared" si="3"/>
        <v>8099.6407879490152</v>
      </c>
      <c r="AP10" s="5">
        <f t="shared" si="3"/>
        <v>4052.2464065708414</v>
      </c>
      <c r="AQ10" s="5">
        <f t="shared" si="3"/>
        <v>5651.5791025221097</v>
      </c>
      <c r="AR10" s="5">
        <f t="shared" si="3"/>
        <v>5103.6917591125193</v>
      </c>
      <c r="AS10" s="5">
        <f t="shared" si="3"/>
        <v>3506.0526315789475</v>
      </c>
      <c r="AT10" s="5">
        <f t="shared" si="3"/>
        <v>5531.25</v>
      </c>
      <c r="AU10" s="5">
        <f t="shared" si="3"/>
        <v>4161.895368838901</v>
      </c>
      <c r="AV10" s="5">
        <f t="shared" si="3"/>
        <v>5772.4012345679002</v>
      </c>
      <c r="AW10" s="5">
        <f t="shared" si="3"/>
        <v>5753.2881471389655</v>
      </c>
      <c r="AX10" s="5">
        <f t="shared" si="3"/>
        <v>5823.5464968152864</v>
      </c>
      <c r="AY10" s="5">
        <f t="shared" si="3"/>
        <v>6325.1368653421632</v>
      </c>
      <c r="AZ10" s="5">
        <f t="shared" si="3"/>
        <v>8606.0777297964232</v>
      </c>
      <c r="BA10" s="5">
        <f t="shared" si="3"/>
        <v>10043.870967741934</v>
      </c>
      <c r="BB10" s="5">
        <f t="shared" si="3"/>
        <v>8973.5613207547176</v>
      </c>
      <c r="BC10" s="5">
        <f t="shared" si="3"/>
        <v>10106.266363318166</v>
      </c>
      <c r="BD10" s="5">
        <f t="shared" si="3"/>
        <v>19195.288571428569</v>
      </c>
      <c r="BE10" s="5">
        <f t="shared" si="3"/>
        <v>7096.4054502369672</v>
      </c>
      <c r="BF10" s="5">
        <f>SUM(C2:AB9)/SUM(C24:AB31)*1000</f>
        <v>7204.0656409291014</v>
      </c>
    </row>
    <row r="12" spans="1:58" x14ac:dyDescent="0.5">
      <c r="A12" s="1" t="s">
        <v>41</v>
      </c>
      <c r="B12" s="14" t="s">
        <v>59</v>
      </c>
      <c r="C12" s="14" t="s">
        <v>20</v>
      </c>
      <c r="D12" s="14" t="s">
        <v>17</v>
      </c>
      <c r="E12" s="14" t="s">
        <v>16</v>
      </c>
      <c r="F12" s="14" t="s">
        <v>3</v>
      </c>
      <c r="G12" s="14" t="s">
        <v>14</v>
      </c>
      <c r="H12" s="14" t="s">
        <v>13</v>
      </c>
      <c r="I12" s="14" t="s">
        <v>11</v>
      </c>
      <c r="J12" s="14" t="s">
        <v>26</v>
      </c>
      <c r="K12" s="14" t="s">
        <v>9</v>
      </c>
      <c r="L12" s="14" t="s">
        <v>19</v>
      </c>
      <c r="M12" s="14" t="s">
        <v>27</v>
      </c>
      <c r="N12" s="14" t="s">
        <v>4</v>
      </c>
      <c r="O12" s="14" t="s">
        <v>25</v>
      </c>
      <c r="P12" s="14" t="s">
        <v>8</v>
      </c>
      <c r="Q12" s="14" t="s">
        <v>7</v>
      </c>
      <c r="R12" s="14" t="s">
        <v>18</v>
      </c>
      <c r="S12" s="14" t="s">
        <v>15</v>
      </c>
      <c r="T12" s="14" t="s">
        <v>12</v>
      </c>
      <c r="U12" s="14" t="s">
        <v>6</v>
      </c>
      <c r="V12" s="14" t="s">
        <v>21</v>
      </c>
      <c r="W12" s="14" t="s">
        <v>22</v>
      </c>
      <c r="X12" s="14" t="s">
        <v>5</v>
      </c>
      <c r="Y12" s="14" t="s">
        <v>23</v>
      </c>
      <c r="Z12" s="14" t="s">
        <v>24</v>
      </c>
      <c r="AA12" s="14" t="s">
        <v>10</v>
      </c>
      <c r="AB12" s="14" t="s">
        <v>2</v>
      </c>
      <c r="AE12" s="14" t="s">
        <v>60</v>
      </c>
      <c r="AF12" s="14" t="s">
        <v>20</v>
      </c>
      <c r="AG12" s="14" t="s">
        <v>17</v>
      </c>
      <c r="AH12" s="14" t="s">
        <v>16</v>
      </c>
      <c r="AI12" s="14" t="s">
        <v>3</v>
      </c>
      <c r="AJ12" s="14" t="s">
        <v>14</v>
      </c>
      <c r="AK12" s="14" t="s">
        <v>13</v>
      </c>
      <c r="AL12" s="14" t="s">
        <v>11</v>
      </c>
      <c r="AM12" s="14" t="s">
        <v>26</v>
      </c>
      <c r="AN12" s="14" t="s">
        <v>9</v>
      </c>
      <c r="AO12" s="14" t="s">
        <v>19</v>
      </c>
      <c r="AP12" s="14" t="s">
        <v>27</v>
      </c>
      <c r="AQ12" s="14" t="s">
        <v>4</v>
      </c>
      <c r="AR12" s="14" t="s">
        <v>25</v>
      </c>
      <c r="AS12" s="14" t="s">
        <v>8</v>
      </c>
      <c r="AT12" s="14" t="s">
        <v>7</v>
      </c>
      <c r="AU12" s="14" t="s">
        <v>18</v>
      </c>
      <c r="AV12" s="14" t="s">
        <v>15</v>
      </c>
      <c r="AW12" s="14" t="s">
        <v>12</v>
      </c>
      <c r="AX12" s="14" t="s">
        <v>6</v>
      </c>
      <c r="AY12" s="14" t="s">
        <v>21</v>
      </c>
      <c r="AZ12" s="14" t="s">
        <v>22</v>
      </c>
      <c r="BA12" s="14" t="s">
        <v>5</v>
      </c>
      <c r="BB12" s="14" t="s">
        <v>23</v>
      </c>
      <c r="BC12" s="14" t="s">
        <v>24</v>
      </c>
      <c r="BD12" s="14" t="s">
        <v>10</v>
      </c>
      <c r="BE12" s="14" t="s">
        <v>2</v>
      </c>
      <c r="BF12" s="14" t="s">
        <v>63</v>
      </c>
    </row>
    <row r="13" spans="1:58" x14ac:dyDescent="0.5">
      <c r="A13" s="1"/>
      <c r="B13" s="14">
        <v>2024</v>
      </c>
      <c r="C13" s="5">
        <f>HLOOKUP(C12,'2024 CHF'!$D$57:$AC$73,$A$14,FALSE)</f>
        <v>1885.1659999999999</v>
      </c>
      <c r="D13" s="5">
        <f>HLOOKUP(D12,'2024 CHF'!$D$57:$AC$73,$A$14,FALSE)</f>
        <v>11.986000000000001</v>
      </c>
      <c r="E13" s="5">
        <f>HLOOKUP(E12,'2024 CHF'!$D$57:$AC$73,$A$14,FALSE)</f>
        <v>216.65199999999999</v>
      </c>
      <c r="F13" s="5">
        <f>HLOOKUP(F12,'2024 CHF'!$D$57:$AC$73,$A$14,FALSE)</f>
        <v>3690.81</v>
      </c>
      <c r="G13" s="5">
        <f>HLOOKUP(G12,'2024 CHF'!$D$57:$AC$73,$A$14,FALSE)</f>
        <v>1468.231</v>
      </c>
      <c r="H13" s="5">
        <f>HLOOKUP(H12,'2024 CHF'!$D$57:$AC$73,$A$14,FALSE)</f>
        <v>1181.99</v>
      </c>
      <c r="I13" s="5">
        <f>HLOOKUP(I12,'2024 CHF'!$D$57:$AC$73,$A$14,FALSE)</f>
        <v>1194.598</v>
      </c>
      <c r="J13" s="5">
        <f>HLOOKUP(J12,'2024 CHF'!$D$57:$AC$73,$A$14,FALSE)</f>
        <v>402.52</v>
      </c>
      <c r="K13" s="5">
        <f>HLOOKUP(K12,'2024 CHF'!$D$57:$AC$73,$A$14,FALSE)</f>
        <v>122.313</v>
      </c>
      <c r="L13" s="5">
        <f>HLOOKUP(L12,'2024 CHF'!$D$57:$AC$73,$A$14,FALSE)</f>
        <v>5455.7240000000002</v>
      </c>
      <c r="M13" s="5">
        <f>HLOOKUP(M12,'2024 CHF'!$D$57:$AC$73,$A$14,FALSE)</f>
        <v>98.456000000000003</v>
      </c>
      <c r="N13" s="5">
        <f>HLOOKUP(N12,'2024 CHF'!$D$57:$AC$73,$A$14,FALSE)</f>
        <v>3512.5410000000002</v>
      </c>
      <c r="O13" s="5">
        <f>HLOOKUP(O12,'2024 CHF'!$D$57:$AC$73,$A$14,FALSE)</f>
        <v>312.42200000000003</v>
      </c>
      <c r="P13" s="5">
        <f>HLOOKUP(P12,'2024 CHF'!$D$57:$AC$73,$A$14,FALSE)</f>
        <v>275.47199999999998</v>
      </c>
      <c r="Q13" s="5">
        <f>HLOOKUP(Q12,'2024 CHF'!$D$57:$AC$73,$A$14,FALSE)</f>
        <v>25.86</v>
      </c>
      <c r="R13" s="5">
        <f>HLOOKUP(R12,'2024 CHF'!$D$57:$AC$73,$A$14,FALSE)</f>
        <v>680.86</v>
      </c>
      <c r="S13" s="5">
        <f>HLOOKUP(S12,'2024 CHF'!$D$57:$AC$73,$A$14,FALSE)</f>
        <v>384.46499999999997</v>
      </c>
      <c r="T13" s="5">
        <f>HLOOKUP(T12,'2024 CHF'!$D$57:$AC$73,$A$14,FALSE)</f>
        <v>1330.5954999999999</v>
      </c>
      <c r="U13" s="5">
        <f>HLOOKUP(U12,'2024 CHF'!$D$57:$AC$73,$A$14,FALSE)</f>
        <v>937.93399999999997</v>
      </c>
      <c r="V13" s="5">
        <f>HLOOKUP(V12,'2024 CHF'!$D$57:$AC$73,$A$14,FALSE)</f>
        <v>2074.413</v>
      </c>
      <c r="W13" s="5">
        <f>HLOOKUP(W12,'2024 CHF'!$D$57:$AC$73,$A$14,FALSE)</f>
        <v>1064.345</v>
      </c>
      <c r="X13" s="5">
        <f>HLOOKUP(X12,'2024 CHF'!$D$57:$AC$73,$A$14,FALSE)</f>
        <v>115.84</v>
      </c>
      <c r="Y13" s="5">
        <f>HLOOKUP(Y12,'2024 CHF'!$D$57:$AC$73,$A$14,FALSE)</f>
        <v>1574.115</v>
      </c>
      <c r="Z13" s="5">
        <f>HLOOKUP(Z12,'2024 CHF'!$D$57:$AC$73,$A$14,FALSE)</f>
        <v>2007.5170000000001</v>
      </c>
      <c r="AA13" s="5">
        <f>HLOOKUP(AA12,'2024 CHF'!$D$57:$AC$73,$A$14,FALSE)</f>
        <v>4369.82</v>
      </c>
      <c r="AB13" s="5">
        <f>HLOOKUP(AB12,'2024 CHF'!$D$57:$AC$73,$A$14,FALSE)</f>
        <v>8915.3549999999996</v>
      </c>
      <c r="AC13" s="5">
        <f>SUM(C13:AB13)</f>
        <v>43310.000500000009</v>
      </c>
      <c r="AE13" s="14">
        <v>2024</v>
      </c>
      <c r="AF13" s="5">
        <f>IF(C35,C13/C35,0)*1000</f>
        <v>7034.2014925373132</v>
      </c>
      <c r="AG13" s="5">
        <f t="shared" ref="AG13:AG20" si="4">IF(D35,D13/D35,0)*1000</f>
        <v>5993</v>
      </c>
      <c r="AH13" s="5">
        <f t="shared" ref="AH13:AH20" si="5">IF(E35,E13/E35,0)*1000</f>
        <v>6770.375</v>
      </c>
      <c r="AI13" s="5">
        <f t="shared" ref="AI13:AI20" si="6">IF(F35,F13/F35,0)*1000</f>
        <v>7852.7872340425529</v>
      </c>
      <c r="AJ13" s="5">
        <f t="shared" ref="AJ13:AJ20" si="7">IF(G35,G13/G35,0)*1000</f>
        <v>11652.626984126984</v>
      </c>
      <c r="AK13" s="5">
        <f t="shared" ref="AK13:AK20" si="8">IF(H35,H13/H35,0)*1000</f>
        <v>22730.576923076926</v>
      </c>
      <c r="AL13" s="5">
        <f t="shared" ref="AL13:AL20" si="9">IF(I35,I13/I35,0)*1000</f>
        <v>11827.702970297029</v>
      </c>
      <c r="AM13" s="5">
        <f t="shared" ref="AM13:AM20" si="10">IF(J35,J13/J35,0)*1000</f>
        <v>16100.8</v>
      </c>
      <c r="AN13" s="5">
        <f t="shared" ref="AN13:AN20" si="11">IF(K35,K13/K35,0)*1000</f>
        <v>6795.166666666667</v>
      </c>
      <c r="AO13" s="5">
        <f t="shared" ref="AO13:AO20" si="12">IF(L35,L13/L35,0)*1000</f>
        <v>27415.69849246231</v>
      </c>
      <c r="AP13" s="5">
        <f t="shared" ref="AP13:AP20" si="13">IF(M35,M13/M35,0)*1000</f>
        <v>5181.894736842105</v>
      </c>
      <c r="AQ13" s="5">
        <f t="shared" ref="AQ13:AQ20" si="14">IF(N35,N13/N35,0)*1000</f>
        <v>10392.133136094675</v>
      </c>
      <c r="AR13" s="5">
        <f t="shared" ref="AR13:AR20" si="15">IF(O35,O13/O35,0)*1000</f>
        <v>6508.791666666667</v>
      </c>
      <c r="AS13" s="5">
        <f t="shared" ref="AS13:AS20" si="16">IF(P35,P13/P35,0)*1000</f>
        <v>6260.7272727272721</v>
      </c>
      <c r="AT13" s="5">
        <f t="shared" ref="AT13:AT20" si="17">IF(Q35,Q13/Q35,0)*1000</f>
        <v>6465</v>
      </c>
      <c r="AU13" s="5">
        <f t="shared" ref="AU13:AU20" si="18">IF(R35,R13/R35,0)*1000</f>
        <v>8010.1176470588234</v>
      </c>
      <c r="AV13" s="5">
        <f t="shared" ref="AV13:AV20" si="19">IF(S35,S13/S35,0)*1000</f>
        <v>14239.444444444443</v>
      </c>
      <c r="AW13" s="5">
        <f t="shared" ref="AW13:AW20" si="20">IF(T35,T13/T35,0)*1000</f>
        <v>10080.268939393938</v>
      </c>
      <c r="AX13" s="5">
        <f t="shared" ref="AX13:AX20" si="21">IF(U35,U13/U35,0)*1000</f>
        <v>9570.7551020408173</v>
      </c>
      <c r="AY13" s="5">
        <f t="shared" ref="AY13:AY20" si="22">IF(V35,V13/V35,0)*1000</f>
        <v>16463.595238095237</v>
      </c>
      <c r="AZ13" s="5">
        <f t="shared" ref="AZ13:AZ20" si="23">IF(W35,W13/W35,0)*1000</f>
        <v>12823.433734939761</v>
      </c>
      <c r="BA13" s="5">
        <f t="shared" ref="BA13:BA20" si="24">IF(X35,X13/X35,0)*1000</f>
        <v>9653.3333333333339</v>
      </c>
      <c r="BB13" s="5">
        <f t="shared" ref="BB13:BB20" si="25">IF(Y35,Y13/Y35,0)*1000</f>
        <v>11406.630434782608</v>
      </c>
      <c r="BC13" s="5">
        <f>IF(Z35,Z13/Z35,0)*1000</f>
        <v>26071.649350649353</v>
      </c>
      <c r="BD13" s="5">
        <f t="shared" ref="BD13:BD20" si="26">IF(AA35,AA13/AA35,0)*1000</f>
        <v>30991.631205673755</v>
      </c>
      <c r="BE13" s="5">
        <f t="shared" ref="BE13:BF20" si="27">IF(AB35,AB13/AB35,0)*1000</f>
        <v>10952.52457002457</v>
      </c>
      <c r="BF13" s="5">
        <f t="shared" si="27"/>
        <v>12448.979735556197</v>
      </c>
    </row>
    <row r="14" spans="1:58" x14ac:dyDescent="0.5">
      <c r="A14" s="14">
        <v>16</v>
      </c>
      <c r="B14" s="14">
        <v>2023</v>
      </c>
      <c r="C14" s="5">
        <f>HLOOKUP(C12,'2023 CHF'!$D$57:$AC$73,$A$14,FALSE)</f>
        <v>1348.6559999999999</v>
      </c>
      <c r="D14" s="5">
        <f>HLOOKUP(D12,'2023 CHF'!$D$57:$AC$73,$A$14,FALSE)</f>
        <v>21.125</v>
      </c>
      <c r="E14" s="5">
        <f>HLOOKUP(E12,'2023 CHF'!$D$57:$AC$73,$A$14,FALSE)</f>
        <v>102.407</v>
      </c>
      <c r="F14" s="5">
        <f>HLOOKUP(F12,'2023 CHF'!$D$57:$AC$73,$A$14,FALSE)</f>
        <v>3619.77</v>
      </c>
      <c r="G14" s="5">
        <f>HLOOKUP(G12,'2023 CHF'!$D$57:$AC$73,$A$14,FALSE)</f>
        <v>1150.492</v>
      </c>
      <c r="H14" s="5">
        <f>HLOOKUP(H12,'2023 CHF'!$D$57:$AC$73,$A$14,FALSE)</f>
        <v>598.19200000000001</v>
      </c>
      <c r="I14" s="5">
        <f>HLOOKUP(I12,'2023 CHF'!$D$57:$AC$73,$A$14,FALSE)</f>
        <v>1202.1310000000001</v>
      </c>
      <c r="J14" s="5">
        <f>HLOOKUP(J12,'2023 CHF'!$D$57:$AC$73,$A$14,FALSE)</f>
        <v>87.361000000000004</v>
      </c>
      <c r="K14" s="5">
        <f>HLOOKUP(K12,'2023 CHF'!$D$57:$AC$73,$A$14,FALSE)</f>
        <v>99.147999999999996</v>
      </c>
      <c r="L14" s="5">
        <f>HLOOKUP(L12,'2023 CHF'!$D$57:$AC$73,$A$14,FALSE)</f>
        <v>3382.8780000000002</v>
      </c>
      <c r="M14" s="5">
        <f>HLOOKUP(M12,'2023 CHF'!$D$57:$AC$73,$A$14,FALSE)</f>
        <v>23.198</v>
      </c>
      <c r="N14" s="5">
        <f>HLOOKUP(N12,'2023 CHF'!$D$57:$AC$73,$A$14,FALSE)</f>
        <v>2631.953</v>
      </c>
      <c r="O14" s="5">
        <f>HLOOKUP(O12,'2023 CHF'!$D$57:$AC$73,$A$14,FALSE)</f>
        <v>121.78100000000001</v>
      </c>
      <c r="P14" s="5">
        <f>HLOOKUP(P12,'2023 CHF'!$D$57:$AC$73,$A$14,FALSE)</f>
        <v>284.66899999999998</v>
      </c>
      <c r="Q14" s="5">
        <f>HLOOKUP(Q12,'2023 CHF'!$D$57:$AC$73,$A$14,FALSE)</f>
        <v>13.53</v>
      </c>
      <c r="R14" s="5">
        <f>HLOOKUP(R12,'2023 CHF'!$D$57:$AC$73,$A$14,FALSE)</f>
        <v>709.99800000000005</v>
      </c>
      <c r="S14" s="5">
        <f>HLOOKUP(S12,'2023 CHF'!$D$57:$AC$73,$A$14,FALSE)</f>
        <v>140.48500000000001</v>
      </c>
      <c r="T14" s="5">
        <f>HLOOKUP(T12,'2023 CHF'!$D$57:$AC$73,$A$14,FALSE)</f>
        <v>1371.652</v>
      </c>
      <c r="U14" s="5">
        <f>HLOOKUP(U12,'2023 CHF'!$D$57:$AC$73,$A$14,FALSE)</f>
        <v>859.39200000000005</v>
      </c>
      <c r="V14" s="5">
        <f>HLOOKUP(V12,'2023 CHF'!$D$57:$AC$73,$A$14,FALSE)</f>
        <v>1866.133</v>
      </c>
      <c r="W14" s="5">
        <f>HLOOKUP(W12,'2023 CHF'!$D$57:$AC$73,$A$14,FALSE)</f>
        <v>683.02099999999996</v>
      </c>
      <c r="X14" s="5">
        <f>HLOOKUP(X12,'2023 CHF'!$D$57:$AC$73,$A$14,FALSE)</f>
        <v>71</v>
      </c>
      <c r="Y14" s="5">
        <f>HLOOKUP(Y12,'2023 CHF'!$D$57:$AC$73,$A$14,FALSE)</f>
        <v>1114.8019999999999</v>
      </c>
      <c r="Z14" s="5">
        <f>HLOOKUP(Z12,'2023 CHF'!$D$57:$AC$73,$A$14,FALSE)</f>
        <v>2567.8690000000001</v>
      </c>
      <c r="AA14" s="5">
        <f>HLOOKUP(AA12,'2023 CHF'!$D$57:$AC$73,$A$14,FALSE)</f>
        <v>1542.6610000000001</v>
      </c>
      <c r="AB14" s="5">
        <f>HLOOKUP(AB12,'2023 CHF'!$D$57:$AC$73,$A$14,FALSE)</f>
        <v>5773.2470000000003</v>
      </c>
      <c r="AC14" s="5">
        <f>SUM(C14:AB14)</f>
        <v>31387.550999999999</v>
      </c>
      <c r="AE14" s="14">
        <v>2023</v>
      </c>
      <c r="AF14" s="5">
        <f t="shared" ref="AF14:AF20" si="28">IF(C36,C14/C36,0)*1000</f>
        <v>6643.6256157635471</v>
      </c>
      <c r="AG14" s="5">
        <f t="shared" si="4"/>
        <v>3017.8571428571427</v>
      </c>
      <c r="AH14" s="5">
        <f t="shared" si="5"/>
        <v>6400.4375</v>
      </c>
      <c r="AI14" s="5">
        <f t="shared" si="6"/>
        <v>8043.9333333333334</v>
      </c>
      <c r="AJ14" s="5">
        <f t="shared" si="7"/>
        <v>10004.278260869565</v>
      </c>
      <c r="AK14" s="5">
        <f t="shared" si="8"/>
        <v>18693.5</v>
      </c>
      <c r="AL14" s="5">
        <f t="shared" si="9"/>
        <v>10928.463636363636</v>
      </c>
      <c r="AM14" s="5">
        <f t="shared" si="10"/>
        <v>10920.125</v>
      </c>
      <c r="AN14" s="5">
        <f t="shared" si="11"/>
        <v>7082</v>
      </c>
      <c r="AO14" s="5">
        <f t="shared" si="12"/>
        <v>18898.759776536313</v>
      </c>
      <c r="AP14" s="5">
        <f t="shared" si="13"/>
        <v>5799.5</v>
      </c>
      <c r="AQ14" s="5">
        <f t="shared" si="14"/>
        <v>9333.1666666666679</v>
      </c>
      <c r="AR14" s="5">
        <f t="shared" si="15"/>
        <v>7163.588235294118</v>
      </c>
      <c r="AS14" s="5">
        <f t="shared" si="16"/>
        <v>6188.45652173913</v>
      </c>
      <c r="AT14" s="5">
        <f t="shared" si="17"/>
        <v>6765</v>
      </c>
      <c r="AU14" s="5">
        <f t="shared" si="18"/>
        <v>7977.5056179775283</v>
      </c>
      <c r="AV14" s="5">
        <f t="shared" si="19"/>
        <v>17560.625</v>
      </c>
      <c r="AW14" s="5">
        <f t="shared" si="20"/>
        <v>9525.3611111111113</v>
      </c>
      <c r="AX14" s="5">
        <f t="shared" si="21"/>
        <v>9443.868131868132</v>
      </c>
      <c r="AY14" s="5">
        <f t="shared" si="22"/>
        <v>14810.579365079364</v>
      </c>
      <c r="AZ14" s="5">
        <f t="shared" si="23"/>
        <v>11383.683333333332</v>
      </c>
      <c r="BA14" s="5">
        <f t="shared" si="24"/>
        <v>10142.857142857143</v>
      </c>
      <c r="BB14" s="5">
        <f t="shared" si="25"/>
        <v>11987.118279569891</v>
      </c>
      <c r="BC14" s="5">
        <f t="shared" ref="BC14:BC20" si="29">IF(Z36,Z14/Z36,0)*1000</f>
        <v>24455.895238095236</v>
      </c>
      <c r="BD14" s="5">
        <f t="shared" si="26"/>
        <v>22686.191176470591</v>
      </c>
      <c r="BE14" s="5">
        <f t="shared" si="27"/>
        <v>10515.932604735885</v>
      </c>
      <c r="BF14" s="5">
        <f t="shared" si="27"/>
        <v>11110.637522123892</v>
      </c>
    </row>
    <row r="15" spans="1:58" x14ac:dyDescent="0.5">
      <c r="B15" s="14">
        <v>2022</v>
      </c>
      <c r="C15" s="5">
        <f>HLOOKUP(C12,'2022 CHF'!$D$57:$AC$73,$A$14,FALSE)</f>
        <v>874.95799999999997</v>
      </c>
      <c r="D15" s="5">
        <f>HLOOKUP(D12,'2022 CHF'!$D$57:$AC$73,$A$14,FALSE)</f>
        <v>21.03</v>
      </c>
      <c r="E15" s="5">
        <f>HLOOKUP(E12,'2022 CHF'!$D$57:$AC$73,$A$14,FALSE)</f>
        <v>35.07</v>
      </c>
      <c r="F15" s="5">
        <f>HLOOKUP(F12,'2022 CHF'!$D$57:$AC$73,$A$14,FALSE)</f>
        <v>2537.6309999999999</v>
      </c>
      <c r="G15" s="5">
        <f>HLOOKUP(G12,'2022 CHF'!$D$57:$AC$73,$A$14,FALSE)</f>
        <v>787.702</v>
      </c>
      <c r="H15" s="5">
        <f>HLOOKUP(H12,'2022 CHF'!$D$57:$AC$73,$A$14,FALSE)</f>
        <v>435.13499999999999</v>
      </c>
      <c r="I15" s="5">
        <f>HLOOKUP(I12,'2022 CHF'!$D$57:$AC$73,$A$14,FALSE)</f>
        <v>1094.0150000000001</v>
      </c>
      <c r="J15" s="5">
        <f>HLOOKUP(J12,'2022 CHF'!$D$57:$AC$73,$A$14,FALSE)</f>
        <v>54.76</v>
      </c>
      <c r="K15" s="5">
        <f>HLOOKUP(K12,'2022 CHF'!$D$57:$AC$73,$A$14,FALSE)</f>
        <v>88.105000000000004</v>
      </c>
      <c r="L15" s="5">
        <f>HLOOKUP(L12,'2022 CHF'!$D$57:$AC$73,$A$14,FALSE)</f>
        <v>1375.4570000000001</v>
      </c>
      <c r="M15" s="5">
        <f>HLOOKUP(M12,'2022 CHF'!$D$57:$AC$73,$A$14,FALSE)</f>
        <v>33.386000000000003</v>
      </c>
      <c r="N15" s="5">
        <f>HLOOKUP(N12,'2022 CHF'!$D$57:$AC$73,$A$14,FALSE)</f>
        <v>1912.165</v>
      </c>
      <c r="O15" s="5">
        <f>HLOOKUP(O12,'2022 CHF'!$D$57:$AC$73,$A$14,FALSE)</f>
        <v>87.332999999999998</v>
      </c>
      <c r="P15" s="5">
        <f>HLOOKUP(P12,'2022 CHF'!$D$57:$AC$73,$A$14,FALSE)</f>
        <v>102.66</v>
      </c>
      <c r="Q15" s="5">
        <f>HLOOKUP(Q12,'2022 CHF'!$D$57:$AC$73,$A$14,FALSE)</f>
        <v>60.12</v>
      </c>
      <c r="R15" s="5">
        <f>HLOOKUP(R12,'2022 CHF'!$D$57:$AC$73,$A$14,FALSE)</f>
        <v>480.38799999999998</v>
      </c>
      <c r="S15" s="5">
        <f>HLOOKUP(S12,'2022 CHF'!$D$57:$AC$73,$A$14,FALSE)</f>
        <v>288.59500000000003</v>
      </c>
      <c r="T15" s="5">
        <f>HLOOKUP(T12,'2022 CHF'!$D$57:$AC$73,$A$14,FALSE)</f>
        <v>503.24900000000002</v>
      </c>
      <c r="U15" s="5">
        <f>HLOOKUP(U12,'2022 CHF'!$D$57:$AC$73,$A$14,FALSE)</f>
        <v>460.29399999999998</v>
      </c>
      <c r="V15" s="5">
        <f>HLOOKUP(V12,'2022 CHF'!$D$57:$AC$73,$A$14,FALSE)</f>
        <v>897.71799999999996</v>
      </c>
      <c r="W15" s="5">
        <f>HLOOKUP(W12,'2022 CHF'!$D$57:$AC$73,$A$14,FALSE)</f>
        <v>701.09299999999996</v>
      </c>
      <c r="X15" s="5">
        <f>HLOOKUP(X12,'2022 CHF'!$D$57:$AC$73,$A$14,FALSE)</f>
        <v>35</v>
      </c>
      <c r="Y15" s="5">
        <f>HLOOKUP(Y12,'2022 CHF'!$D$57:$AC$73,$A$14,FALSE)</f>
        <v>546.274</v>
      </c>
      <c r="Z15" s="5">
        <f>HLOOKUP(Z12,'2022 CHF'!$D$57:$AC$73,$A$14,FALSE)</f>
        <v>1298.8420000000001</v>
      </c>
      <c r="AA15" s="5">
        <f>HLOOKUP(AA12,'2022 CHF'!$D$57:$AC$73,$A$14,FALSE)</f>
        <v>117.45</v>
      </c>
      <c r="AB15" s="5">
        <f>HLOOKUP(AB12,'2022 CHF'!$D$57:$AC$73,$A$14,FALSE)</f>
        <v>4012.5830000000001</v>
      </c>
      <c r="AC15" s="5">
        <f t="shared" ref="AC15:AC20" si="30">SUM(C15:AB15)</f>
        <v>18841.013000000003</v>
      </c>
      <c r="AE15" s="14">
        <v>2022</v>
      </c>
      <c r="AF15" s="5">
        <f t="shared" si="28"/>
        <v>8101.4629629629626</v>
      </c>
      <c r="AG15" s="5">
        <f t="shared" si="4"/>
        <v>5257.5</v>
      </c>
      <c r="AH15" s="5">
        <f t="shared" si="5"/>
        <v>5845</v>
      </c>
      <c r="AI15" s="5">
        <f t="shared" si="6"/>
        <v>9295.3516483516487</v>
      </c>
      <c r="AJ15" s="5">
        <f t="shared" si="7"/>
        <v>10940.305555555557</v>
      </c>
      <c r="AK15" s="5">
        <f t="shared" si="8"/>
        <v>20720.714285714286</v>
      </c>
      <c r="AL15" s="5">
        <f t="shared" si="9"/>
        <v>13675.187500000002</v>
      </c>
      <c r="AM15" s="5">
        <f t="shared" si="10"/>
        <v>18253.333333333332</v>
      </c>
      <c r="AN15" s="5">
        <f t="shared" si="11"/>
        <v>7342.0833333333339</v>
      </c>
      <c r="AO15" s="5">
        <f t="shared" si="12"/>
        <v>12854.738317757012</v>
      </c>
      <c r="AP15" s="5">
        <f t="shared" si="13"/>
        <v>4769.4285714285716</v>
      </c>
      <c r="AQ15" s="5">
        <f t="shared" si="14"/>
        <v>10064.026315789473</v>
      </c>
      <c r="AR15" s="5">
        <f t="shared" si="15"/>
        <v>6238.0714285714284</v>
      </c>
      <c r="AS15" s="5">
        <f t="shared" si="16"/>
        <v>4463.478260869565</v>
      </c>
      <c r="AT15" s="5">
        <f t="shared" si="17"/>
        <v>6680</v>
      </c>
      <c r="AU15" s="5">
        <f t="shared" si="18"/>
        <v>8734.3272727272724</v>
      </c>
      <c r="AV15" s="5">
        <f t="shared" si="19"/>
        <v>18037.1875</v>
      </c>
      <c r="AW15" s="5">
        <f t="shared" si="20"/>
        <v>7863.265625</v>
      </c>
      <c r="AX15" s="5">
        <f t="shared" si="21"/>
        <v>8219.5357142857138</v>
      </c>
      <c r="AY15" s="5">
        <f t="shared" si="22"/>
        <v>13010.405797101448</v>
      </c>
      <c r="AZ15" s="5">
        <f t="shared" si="23"/>
        <v>11307.951612903225</v>
      </c>
      <c r="BA15" s="5">
        <f t="shared" si="24"/>
        <v>7000</v>
      </c>
      <c r="BB15" s="5">
        <f t="shared" si="25"/>
        <v>8535.53125</v>
      </c>
      <c r="BC15" s="5">
        <f t="shared" si="29"/>
        <v>24977.73076923077</v>
      </c>
      <c r="BD15" s="5">
        <f t="shared" si="26"/>
        <v>14681.25</v>
      </c>
      <c r="BE15" s="5">
        <f t="shared" si="27"/>
        <v>10476.718015665796</v>
      </c>
      <c r="BF15" s="5">
        <f t="shared" si="27"/>
        <v>10686.90470788429</v>
      </c>
    </row>
    <row r="16" spans="1:58" x14ac:dyDescent="0.5">
      <c r="B16" s="14">
        <v>2021</v>
      </c>
      <c r="C16" s="5">
        <f>HLOOKUP(C12,'2021 CHF'!$D$57:$AC$73,$A$14,FALSE)</f>
        <v>301.221</v>
      </c>
      <c r="D16" s="5">
        <f>HLOOKUP(D12,'2021 CHF'!$D$57:$AC$73,$A$14,FALSE)</f>
        <v>59.064</v>
      </c>
      <c r="E16" s="5">
        <f>HLOOKUP(E12,'2021 CHF'!$D$57:$AC$73,$A$14,FALSE)</f>
        <v>45.054000000000002</v>
      </c>
      <c r="F16" s="5">
        <f>HLOOKUP(F12,'2021 CHF'!$D$57:$AC$73,$A$14,FALSE)</f>
        <v>2935.93</v>
      </c>
      <c r="G16" s="5">
        <f>HLOOKUP(G12,'2021 CHF'!$D$57:$AC$73,$A$14,FALSE)</f>
        <v>457.61700000000002</v>
      </c>
      <c r="H16" s="5">
        <f>HLOOKUP(H12,'2021 CHF'!$D$57:$AC$73,$A$14,FALSE)</f>
        <v>464.64100000000002</v>
      </c>
      <c r="I16" s="5">
        <f>HLOOKUP(I12,'2021 CHF'!$D$57:$AC$73,$A$14,FALSE)</f>
        <v>699.99599999999998</v>
      </c>
      <c r="J16" s="5">
        <f>HLOOKUP(J12,'2021 CHF'!$D$57:$AC$73,$A$14,FALSE)</f>
        <v>19.928000000000001</v>
      </c>
      <c r="K16" s="5">
        <f>HLOOKUP(K12,'2021 CHF'!$D$57:$AC$73,$A$14,FALSE)</f>
        <v>27.1</v>
      </c>
      <c r="L16" s="5">
        <f>HLOOKUP(L12,'2021 CHF'!$D$57:$AC$73,$A$14,FALSE)</f>
        <v>923.91899999999998</v>
      </c>
      <c r="M16" s="5">
        <f>HLOOKUP(M12,'2021 CHF'!$D$57:$AC$73,$A$14,FALSE)</f>
        <v>52.546999999999997</v>
      </c>
      <c r="N16" s="5">
        <f>HLOOKUP(N12,'2021 CHF'!$D$57:$AC$73,$A$14,FALSE)</f>
        <v>1774.5</v>
      </c>
      <c r="O16" s="5">
        <f>HLOOKUP(O12,'2021 CHF'!$D$57:$AC$73,$A$14,FALSE)</f>
        <v>66.626000000000005</v>
      </c>
      <c r="P16" s="5">
        <f>HLOOKUP(P12,'2021 CHF'!$D$57:$AC$73,$A$14,FALSE)</f>
        <v>246.24600000000001</v>
      </c>
      <c r="Q16" s="5">
        <f>HLOOKUP(Q12,'2021 CHF'!$D$57:$AC$73,$A$14,FALSE)</f>
        <v>24</v>
      </c>
      <c r="R16" s="5">
        <f>HLOOKUP(R12,'2021 CHF'!$D$57:$AC$73,$A$14,FALSE)</f>
        <v>312.94200000000001</v>
      </c>
      <c r="S16" s="5">
        <f>HLOOKUP(S12,'2021 CHF'!$D$57:$AC$73,$A$14,FALSE)</f>
        <v>100.77</v>
      </c>
      <c r="T16" s="5">
        <f>HLOOKUP(T12,'2021 CHF'!$D$57:$AC$73,$A$14,FALSE)</f>
        <v>545.16600000000005</v>
      </c>
      <c r="U16" s="5">
        <f>HLOOKUP(U12,'2021 CHF'!$D$57:$AC$73,$A$14,FALSE)</f>
        <v>199.48</v>
      </c>
      <c r="V16" s="5">
        <f>HLOOKUP(V12,'2021 CHF'!$D$57:$AC$73,$A$14,FALSE)</f>
        <v>660.274</v>
      </c>
      <c r="W16" s="5">
        <f>HLOOKUP(W12,'2021 CHF'!$D$57:$AC$73,$A$14,FALSE)</f>
        <v>200.43799999999999</v>
      </c>
      <c r="X16" s="5">
        <f>HLOOKUP(X12,'2021 CHF'!$D$57:$AC$73,$A$14,FALSE)</f>
        <v>55</v>
      </c>
      <c r="Y16" s="5">
        <f>HLOOKUP(Y12,'2021 CHF'!$D$57:$AC$73,$A$14,FALSE)</f>
        <v>325.14299999999997</v>
      </c>
      <c r="Z16" s="5">
        <f>HLOOKUP(Z12,'2021 CHF'!$D$57:$AC$73,$A$14,FALSE)</f>
        <v>585.10500000000002</v>
      </c>
      <c r="AA16" s="5">
        <f>HLOOKUP(AA12,'2021 CHF'!$D$57:$AC$73,$A$14,FALSE)</f>
        <v>0</v>
      </c>
      <c r="AB16" s="5">
        <f>HLOOKUP(AB12,'2021 CHF'!$D$57:$AC$73,$A$14,FALSE)</f>
        <v>2417.0309999999999</v>
      </c>
      <c r="AC16" s="5">
        <f t="shared" si="30"/>
        <v>13499.737999999998</v>
      </c>
      <c r="AE16" s="14">
        <v>2021</v>
      </c>
      <c r="AF16" s="5">
        <f t="shared" si="28"/>
        <v>7926.8684210526317</v>
      </c>
      <c r="AG16" s="5">
        <f t="shared" si="4"/>
        <v>14766</v>
      </c>
      <c r="AH16" s="5">
        <f t="shared" si="5"/>
        <v>5631.75</v>
      </c>
      <c r="AI16" s="5">
        <f t="shared" si="6"/>
        <v>10337.781690140844</v>
      </c>
      <c r="AJ16" s="5">
        <f t="shared" si="7"/>
        <v>9533.6875000000018</v>
      </c>
      <c r="AK16" s="5">
        <f t="shared" si="8"/>
        <v>17208.925925925923</v>
      </c>
      <c r="AL16" s="5">
        <f t="shared" si="9"/>
        <v>11666.599999999999</v>
      </c>
      <c r="AM16" s="5">
        <f t="shared" si="10"/>
        <v>9964</v>
      </c>
      <c r="AN16" s="5">
        <f t="shared" si="11"/>
        <v>4516.666666666667</v>
      </c>
      <c r="AO16" s="5">
        <f t="shared" si="12"/>
        <v>12656.424657534248</v>
      </c>
      <c r="AP16" s="5">
        <f t="shared" si="13"/>
        <v>7506.7142857142853</v>
      </c>
      <c r="AQ16" s="5">
        <f t="shared" si="14"/>
        <v>8962.121212121212</v>
      </c>
      <c r="AR16" s="5">
        <f t="shared" si="15"/>
        <v>6662.6</v>
      </c>
      <c r="AS16" s="5">
        <f t="shared" si="16"/>
        <v>6156.1500000000005</v>
      </c>
      <c r="AT16" s="5">
        <f t="shared" si="17"/>
        <v>6000</v>
      </c>
      <c r="AU16" s="5">
        <f t="shared" si="18"/>
        <v>6803.0869565217399</v>
      </c>
      <c r="AV16" s="5">
        <f t="shared" si="19"/>
        <v>12596.25</v>
      </c>
      <c r="AW16" s="5">
        <f t="shared" si="20"/>
        <v>8653.4285714285725</v>
      </c>
      <c r="AX16" s="5">
        <f t="shared" si="21"/>
        <v>7124.2857142857138</v>
      </c>
      <c r="AY16" s="5">
        <f t="shared" si="22"/>
        <v>12946.549019607843</v>
      </c>
      <c r="AZ16" s="5">
        <f t="shared" si="23"/>
        <v>9110.818181818182</v>
      </c>
      <c r="BA16" s="5">
        <f t="shared" si="24"/>
        <v>11000</v>
      </c>
      <c r="BB16" s="5">
        <f t="shared" si="25"/>
        <v>10488.483870967741</v>
      </c>
      <c r="BC16" s="5">
        <f t="shared" si="29"/>
        <v>16252.916666666668</v>
      </c>
      <c r="BD16" s="5">
        <f t="shared" si="26"/>
        <v>0</v>
      </c>
      <c r="BE16" s="5">
        <f t="shared" si="27"/>
        <v>11242.004651162792</v>
      </c>
      <c r="BF16" s="5">
        <f t="shared" si="27"/>
        <v>10273.77321156773</v>
      </c>
    </row>
    <row r="17" spans="1:58" x14ac:dyDescent="0.5">
      <c r="B17" s="14">
        <v>2020</v>
      </c>
      <c r="C17" s="5">
        <f>HLOOKUP(C12,'2020 CHF'!$D$57:$AC$73,$A$14,FALSE)</f>
        <v>0</v>
      </c>
      <c r="D17" s="5">
        <f>HLOOKUP(D12,'2020 CHF'!$D$57:$AC$73,$A$14,FALSE)</f>
        <v>17.163</v>
      </c>
      <c r="E17" s="5">
        <f>HLOOKUP(E12,'2020 CHF'!$D$57:$AC$73,$A$14,FALSE)</f>
        <v>34.424999999999997</v>
      </c>
      <c r="F17" s="5">
        <f>HLOOKUP(F12,'2020 CHF'!$D$57:$AC$73,$A$14,FALSE)</f>
        <v>1541.53</v>
      </c>
      <c r="G17" s="5">
        <f>HLOOKUP(G12,'2020 CHF'!$D$57:$AC$73,$A$14,FALSE)</f>
        <v>96.337000000000003</v>
      </c>
      <c r="H17" s="5">
        <f>HLOOKUP(H12,'2020 CHF'!$D$57:$AC$73,$A$14,FALSE)</f>
        <v>207.43799999999999</v>
      </c>
      <c r="I17" s="5">
        <f>HLOOKUP(I12,'2020 CHF'!$D$57:$AC$73,$A$14,FALSE)</f>
        <v>398.64</v>
      </c>
      <c r="J17" s="5">
        <f>HLOOKUP(J12,'2020 CHF'!$D$57:$AC$73,$A$14,FALSE)</f>
        <v>25</v>
      </c>
      <c r="K17" s="5">
        <f>HLOOKUP(K12,'2020 CHF'!$D$57:$AC$73,$A$14,FALSE)</f>
        <v>35.825000000000003</v>
      </c>
      <c r="L17" s="5">
        <f>HLOOKUP(L12,'2020 CHF'!$D$57:$AC$73,$A$14,FALSE)</f>
        <v>761.44500000000005</v>
      </c>
      <c r="M17" s="5">
        <f>HLOOKUP(M12,'2020 CHF'!$D$57:$AC$73,$A$14,FALSE)</f>
        <v>17.085000000000001</v>
      </c>
      <c r="N17" s="5">
        <f>HLOOKUP(N12,'2020 CHF'!$D$57:$AC$73,$A$14,FALSE)</f>
        <v>1296.8599999999999</v>
      </c>
      <c r="O17" s="5">
        <f>HLOOKUP(O12,'2020 CHF'!$D$57:$AC$73,$A$14,FALSE)</f>
        <v>0</v>
      </c>
      <c r="P17" s="5">
        <f>HLOOKUP(P12,'2020 CHF'!$D$57:$AC$73,$A$14,FALSE)</f>
        <v>243.001</v>
      </c>
      <c r="Q17" s="5">
        <f>HLOOKUP(Q12,'2020 CHF'!$D$57:$AC$73,$A$14,FALSE)</f>
        <v>56.46</v>
      </c>
      <c r="R17" s="5">
        <f>HLOOKUP(R12,'2020 CHF'!$D$57:$AC$73,$A$14,FALSE)</f>
        <v>352.81799999999998</v>
      </c>
      <c r="S17" s="5">
        <f>HLOOKUP(S12,'2020 CHF'!$D$57:$AC$73,$A$14,FALSE)</f>
        <v>9.5</v>
      </c>
      <c r="T17" s="5">
        <f>HLOOKUP(T12,'2020 CHF'!$D$57:$AC$73,$A$14,FALSE)</f>
        <v>179.62700000000001</v>
      </c>
      <c r="U17" s="5">
        <f>HLOOKUP(U12,'2020 CHF'!$D$57:$AC$73,$A$14,FALSE)</f>
        <v>31.962</v>
      </c>
      <c r="V17" s="5">
        <f>HLOOKUP(V12,'2020 CHF'!$D$57:$AC$73,$A$14,FALSE)</f>
        <v>352.60199999999998</v>
      </c>
      <c r="W17" s="5">
        <f>HLOOKUP(W12,'2020 CHF'!$D$57:$AC$73,$A$14,FALSE)</f>
        <v>71.421999999999997</v>
      </c>
      <c r="X17" s="5">
        <f>HLOOKUP(X12,'2020 CHF'!$D$57:$AC$73,$A$14,FALSE)</f>
        <v>74</v>
      </c>
      <c r="Y17" s="5">
        <f>HLOOKUP(Y12,'2020 CHF'!$D$57:$AC$73,$A$14,FALSE)</f>
        <v>209.53800000000001</v>
      </c>
      <c r="Z17" s="5">
        <f>HLOOKUP(Z12,'2020 CHF'!$D$57:$AC$73,$A$14,FALSE)</f>
        <v>1101.5170000000001</v>
      </c>
      <c r="AA17" s="5">
        <f>HLOOKUP(AA12,'2020 CHF'!$D$57:$AC$73,$A$14,FALSE)</f>
        <v>0</v>
      </c>
      <c r="AB17" s="5">
        <f>HLOOKUP(AB12,'2020 CHF'!$D$57:$AC$73,$A$14,FALSE)</f>
        <v>419.61099999999999</v>
      </c>
      <c r="AC17" s="5">
        <f t="shared" si="30"/>
        <v>7533.8059999999996</v>
      </c>
      <c r="AE17" s="14">
        <v>2020</v>
      </c>
      <c r="AF17" s="5">
        <f t="shared" si="28"/>
        <v>0</v>
      </c>
      <c r="AG17" s="5">
        <f t="shared" si="4"/>
        <v>5721</v>
      </c>
      <c r="AH17" s="5">
        <f t="shared" si="5"/>
        <v>11475</v>
      </c>
      <c r="AI17" s="5">
        <f t="shared" si="6"/>
        <v>9634.5625</v>
      </c>
      <c r="AJ17" s="5">
        <f t="shared" si="7"/>
        <v>8757.9090909090919</v>
      </c>
      <c r="AK17" s="5">
        <f t="shared" si="8"/>
        <v>18858</v>
      </c>
      <c r="AL17" s="5">
        <f t="shared" si="9"/>
        <v>9966</v>
      </c>
      <c r="AM17" s="5">
        <f t="shared" si="10"/>
        <v>25000</v>
      </c>
      <c r="AN17" s="5">
        <f t="shared" si="11"/>
        <v>11941.666666666668</v>
      </c>
      <c r="AO17" s="5">
        <f t="shared" si="12"/>
        <v>14100.833333333334</v>
      </c>
      <c r="AP17" s="5">
        <f t="shared" si="13"/>
        <v>8542.5</v>
      </c>
      <c r="AQ17" s="5">
        <f t="shared" si="14"/>
        <v>8882.6027397260259</v>
      </c>
      <c r="AR17" s="5">
        <f t="shared" si="15"/>
        <v>0</v>
      </c>
      <c r="AS17" s="5">
        <f t="shared" si="16"/>
        <v>8100.0333333333338</v>
      </c>
      <c r="AT17" s="5">
        <f t="shared" si="17"/>
        <v>7057.5</v>
      </c>
      <c r="AU17" s="5">
        <f t="shared" si="18"/>
        <v>8820.4499999999989</v>
      </c>
      <c r="AV17" s="5">
        <f t="shared" si="19"/>
        <v>4750</v>
      </c>
      <c r="AW17" s="5">
        <f t="shared" si="20"/>
        <v>9454.0526315789484</v>
      </c>
      <c r="AX17" s="5">
        <f t="shared" si="21"/>
        <v>2905.6363636363635</v>
      </c>
      <c r="AY17" s="5">
        <f t="shared" si="22"/>
        <v>12158.689655172413</v>
      </c>
      <c r="AZ17" s="5">
        <f t="shared" si="23"/>
        <v>5494</v>
      </c>
      <c r="BA17" s="5">
        <f t="shared" si="24"/>
        <v>9250</v>
      </c>
      <c r="BB17" s="5">
        <f t="shared" si="25"/>
        <v>7760.666666666667</v>
      </c>
      <c r="BC17" s="5">
        <f t="shared" si="29"/>
        <v>19669.946428571428</v>
      </c>
      <c r="BD17" s="5">
        <f t="shared" si="26"/>
        <v>0</v>
      </c>
      <c r="BE17" s="5">
        <f t="shared" si="27"/>
        <v>10234.414634146342</v>
      </c>
      <c r="BF17" s="5">
        <f t="shared" si="27"/>
        <v>10492.766016713091</v>
      </c>
    </row>
    <row r="18" spans="1:58" x14ac:dyDescent="0.5">
      <c r="B18" s="14">
        <v>2019</v>
      </c>
      <c r="C18" s="5">
        <f>HLOOKUP(C12,'2019 CHF'!$D$57:$AC$73,$A$14,FALSE)</f>
        <v>0</v>
      </c>
      <c r="D18" s="5">
        <f>HLOOKUP(D12,'2019 CHF'!$D$57:$AC$73,$A$14,FALSE)</f>
        <v>19.013999999999999</v>
      </c>
      <c r="E18" s="5">
        <f>HLOOKUP(E12,'2019 CHF'!$D$57:$AC$73,$A$14,FALSE)</f>
        <v>34.976999999999997</v>
      </c>
      <c r="F18" s="5">
        <f>HLOOKUP(F12,'2019 CHF'!$D$57:$AC$73,$A$14,FALSE)</f>
        <v>452.17</v>
      </c>
      <c r="G18" s="5">
        <f>HLOOKUP(G12,'2019 CHF'!$D$57:$AC$73,$A$14,FALSE)</f>
        <v>2.8</v>
      </c>
      <c r="H18" s="5">
        <f>HLOOKUP(H12,'2019 CHF'!$D$57:$AC$73,$A$14,FALSE)</f>
        <v>97.138000000000005</v>
      </c>
      <c r="I18" s="5">
        <f>HLOOKUP(I12,'2019 CHF'!$D$57:$AC$73,$A$14,FALSE)</f>
        <v>220.048</v>
      </c>
      <c r="J18" s="5">
        <f>HLOOKUP(J12,'2019 CHF'!$D$57:$AC$73,$A$14,FALSE)</f>
        <v>10.14</v>
      </c>
      <c r="K18" s="5">
        <f>HLOOKUP(K12,'2019 CHF'!$D$57:$AC$73,$A$14,FALSE)</f>
        <v>27.16</v>
      </c>
      <c r="L18" s="5">
        <f>HLOOKUP(L12,'2019 CHF'!$D$57:$AC$73,$A$14,FALSE)</f>
        <v>244.7</v>
      </c>
      <c r="M18" s="5">
        <f>HLOOKUP(M12,'2019 CHF'!$D$57:$AC$73,$A$14,FALSE)</f>
        <v>17.3</v>
      </c>
      <c r="N18" s="5">
        <f>HLOOKUP(N12,'2019 CHF'!$D$57:$AC$73,$A$14,FALSE)</f>
        <v>415.452</v>
      </c>
      <c r="O18" s="5">
        <f>HLOOKUP(O12,'2019 CHF'!$D$57:$AC$73,$A$14,FALSE)</f>
        <v>19.702999999999999</v>
      </c>
      <c r="P18" s="5">
        <f>HLOOKUP(P12,'2019 CHF'!$D$57:$AC$73,$A$14,FALSE)</f>
        <v>86.144000000000005</v>
      </c>
      <c r="Q18" s="5">
        <f>HLOOKUP(Q12,'2019 CHF'!$D$57:$AC$73,$A$14,FALSE)</f>
        <v>36.18</v>
      </c>
      <c r="R18" s="5">
        <f>HLOOKUP(R12,'2019 CHF'!$D$57:$AC$73,$A$14,FALSE)</f>
        <v>206.66435000000001</v>
      </c>
      <c r="S18" s="5">
        <f>HLOOKUP(S12,'2019 CHF'!$D$57:$AC$73,$A$14,FALSE)</f>
        <v>10</v>
      </c>
      <c r="T18" s="5">
        <f>HLOOKUP(T12,'2019 CHF'!$D$57:$AC$73,$A$14,FALSE)</f>
        <v>83.894999999999996</v>
      </c>
      <c r="U18" s="5">
        <f>HLOOKUP(U12,'2019 CHF'!$D$57:$AC$73,$A$14,FALSE)</f>
        <v>20.692</v>
      </c>
      <c r="V18" s="5">
        <f>HLOOKUP(V12,'2019 CHF'!$D$57:$AC$73,$A$14,FALSE)</f>
        <v>347.10599999999999</v>
      </c>
      <c r="W18" s="5">
        <f>HLOOKUP(W12,'2019 CHF'!$D$57:$AC$73,$A$14,FALSE)</f>
        <v>45.042000000000002</v>
      </c>
      <c r="X18" s="5">
        <f>HLOOKUP(X12,'2019 CHF'!$D$57:$AC$73,$A$14,FALSE)</f>
        <v>84.48</v>
      </c>
      <c r="Y18" s="5">
        <f>HLOOKUP(Y12,'2019 CHF'!$D$57:$AC$73,$A$14,FALSE)</f>
        <v>139.61500000000001</v>
      </c>
      <c r="Z18" s="5">
        <f>HLOOKUP(Z12,'2019 CHF'!$D$57:$AC$73,$A$14,FALSE)</f>
        <v>278.66000000000003</v>
      </c>
      <c r="AA18" s="5">
        <f>HLOOKUP(AA12,'2019 CHF'!$D$57:$AC$73,$A$14,FALSE)</f>
        <v>0</v>
      </c>
      <c r="AB18" s="5">
        <f>HLOOKUP(AB12,'2019 CHF'!$D$57:$AC$73,$A$14,FALSE)</f>
        <v>0</v>
      </c>
      <c r="AC18" s="5">
        <f t="shared" si="30"/>
        <v>2899.0803499999993</v>
      </c>
      <c r="AE18" s="14">
        <v>2019</v>
      </c>
      <c r="AF18" s="5">
        <f t="shared" si="28"/>
        <v>0</v>
      </c>
      <c r="AG18" s="5">
        <f t="shared" si="4"/>
        <v>4753.5</v>
      </c>
      <c r="AH18" s="5">
        <f t="shared" si="5"/>
        <v>8744.25</v>
      </c>
      <c r="AI18" s="5">
        <f t="shared" si="6"/>
        <v>6956.4615384615381</v>
      </c>
      <c r="AJ18" s="5">
        <f t="shared" si="7"/>
        <v>2800</v>
      </c>
      <c r="AK18" s="5">
        <f t="shared" si="8"/>
        <v>24284.5</v>
      </c>
      <c r="AL18" s="5">
        <f t="shared" si="9"/>
        <v>9567.3043478260861</v>
      </c>
      <c r="AM18" s="5">
        <f t="shared" si="10"/>
        <v>10140</v>
      </c>
      <c r="AN18" s="5">
        <f t="shared" si="11"/>
        <v>9053.3333333333321</v>
      </c>
      <c r="AO18" s="5">
        <f t="shared" si="12"/>
        <v>8739.2857142857138</v>
      </c>
      <c r="AP18" s="5">
        <f t="shared" si="13"/>
        <v>5766.666666666667</v>
      </c>
      <c r="AQ18" s="5">
        <f t="shared" si="14"/>
        <v>9031.565217391304</v>
      </c>
      <c r="AR18" s="5">
        <f t="shared" si="15"/>
        <v>6567.666666666667</v>
      </c>
      <c r="AS18" s="5">
        <f t="shared" si="16"/>
        <v>5067.2941176470586</v>
      </c>
      <c r="AT18" s="5">
        <f t="shared" si="17"/>
        <v>6030</v>
      </c>
      <c r="AU18" s="5">
        <f t="shared" si="18"/>
        <v>7380.8696428571429</v>
      </c>
      <c r="AV18" s="5">
        <f t="shared" si="19"/>
        <v>5000</v>
      </c>
      <c r="AW18" s="5">
        <f t="shared" si="20"/>
        <v>4415.5263157894733</v>
      </c>
      <c r="AX18" s="5">
        <f t="shared" si="21"/>
        <v>2956</v>
      </c>
      <c r="AY18" s="5">
        <f t="shared" si="22"/>
        <v>11969.172413793103</v>
      </c>
      <c r="AZ18" s="5">
        <f t="shared" si="23"/>
        <v>5004.666666666667</v>
      </c>
      <c r="BA18" s="5">
        <f t="shared" si="24"/>
        <v>10560</v>
      </c>
      <c r="BB18" s="5">
        <f t="shared" si="25"/>
        <v>7348.1578947368425</v>
      </c>
      <c r="BC18" s="5">
        <f t="shared" si="29"/>
        <v>17416.25</v>
      </c>
      <c r="BD18" s="5">
        <f t="shared" si="26"/>
        <v>0</v>
      </c>
      <c r="BE18" s="5">
        <f t="shared" si="27"/>
        <v>0</v>
      </c>
      <c r="BF18" s="5">
        <f t="shared" si="27"/>
        <v>8403.1314492753609</v>
      </c>
    </row>
    <row r="19" spans="1:58" x14ac:dyDescent="0.5">
      <c r="B19" s="14">
        <v>2018</v>
      </c>
      <c r="C19" s="5">
        <f>HLOOKUP(C12,'2018 CHF'!$D$57:$AC$73,$A$14,FALSE)</f>
        <v>0</v>
      </c>
      <c r="D19" s="5">
        <f>HLOOKUP(D12,'2018 CHF'!$D$57:$AC$73,$A$14,FALSE)</f>
        <v>18.788</v>
      </c>
      <c r="E19" s="5">
        <f>HLOOKUP(E12,'2018 CHF'!$D$57:$AC$73,$A$14,FALSE)</f>
        <v>35.573999999999998</v>
      </c>
      <c r="F19" s="5">
        <f>HLOOKUP(F12,'2018 CHF'!$D$57:$AC$73,$A$14,FALSE)</f>
        <v>357.67</v>
      </c>
      <c r="G19" s="5">
        <f>HLOOKUP(G12,'2018 CHF'!$D$57:$AC$73,$A$14,FALSE)</f>
        <v>3.48</v>
      </c>
      <c r="H19" s="5">
        <f>HLOOKUP(H12,'2018 CHF'!$D$57:$AC$73,$A$14,FALSE)</f>
        <v>14.025</v>
      </c>
      <c r="I19" s="5">
        <f>HLOOKUP(I12,'2018 CHF'!$D$57:$AC$73,$A$14,FALSE)</f>
        <v>64.534499999999994</v>
      </c>
      <c r="J19" s="5">
        <f>HLOOKUP(J12,'2018 CHF'!$D$57:$AC$73,$A$14,FALSE)</f>
        <v>0</v>
      </c>
      <c r="K19" s="5">
        <f>HLOOKUP(K12,'2018 CHF'!$D$57:$AC$73,$A$14,FALSE)</f>
        <v>16.75</v>
      </c>
      <c r="L19" s="5">
        <f>HLOOKUP(L12,'2018 CHF'!$D$57:$AC$73,$A$14,FALSE)</f>
        <v>337.76400000000001</v>
      </c>
      <c r="M19" s="5">
        <f>HLOOKUP(M12,'2018 CHF'!$D$57:$AC$73,$A$14,FALSE)</f>
        <v>9.64</v>
      </c>
      <c r="N19" s="5">
        <f>HLOOKUP(N12,'2018 CHF'!$D$57:$AC$73,$A$14,FALSE)</f>
        <v>0</v>
      </c>
      <c r="O19" s="5">
        <f>HLOOKUP(O12,'2018 CHF'!$D$57:$AC$73,$A$14,FALSE)</f>
        <v>5.61</v>
      </c>
      <c r="P19" s="5">
        <f>HLOOKUP(P12,'2018 CHF'!$D$57:$AC$73,$A$14,FALSE)</f>
        <v>63.734000000000002</v>
      </c>
      <c r="Q19" s="5">
        <f>HLOOKUP(Q12,'2018 CHF'!$D$57:$AC$73,$A$14,FALSE)</f>
        <v>16.440000000000001</v>
      </c>
      <c r="R19" s="5">
        <f>HLOOKUP(R12,'2018 CHF'!$D$57:$AC$73,$A$14,FALSE)</f>
        <v>101.551</v>
      </c>
      <c r="S19" s="5">
        <f>HLOOKUP(S12,'2018 CHF'!$D$57:$AC$73,$A$14,FALSE)</f>
        <v>27.875</v>
      </c>
      <c r="T19" s="5">
        <f>HLOOKUP(T12,'2018 CHF'!$D$57:$AC$73,$A$14,FALSE)</f>
        <v>52.285199999999996</v>
      </c>
      <c r="U19" s="5">
        <f>HLOOKUP(U12,'2018 CHF'!$D$57:$AC$73,$A$14,FALSE)</f>
        <v>20.538</v>
      </c>
      <c r="V19" s="5">
        <f>HLOOKUP(V12,'2018 CHF'!$D$57:$AC$73,$A$14,FALSE)</f>
        <v>144.97300000000001</v>
      </c>
      <c r="W19" s="5">
        <f>HLOOKUP(W12,'2018 CHF'!$D$57:$AC$73,$A$14,FALSE)</f>
        <v>39.212000000000003</v>
      </c>
      <c r="X19" s="5">
        <f>HLOOKUP(X12,'2018 CHF'!$D$57:$AC$73,$A$14,FALSE)</f>
        <v>6</v>
      </c>
      <c r="Y19" s="5">
        <f>HLOOKUP(Y12,'2018 CHF'!$D$57:$AC$73,$A$14,FALSE)</f>
        <v>68.16</v>
      </c>
      <c r="Z19" s="5">
        <f>HLOOKUP(Z12,'2018 CHF'!$D$57:$AC$73,$A$14,FALSE)</f>
        <v>205.28700000000001</v>
      </c>
      <c r="AA19" s="5">
        <f>HLOOKUP(AA12,'2018 CHF'!$D$57:$AC$73,$A$14,FALSE)</f>
        <v>0</v>
      </c>
      <c r="AB19" s="5">
        <f>HLOOKUP(AB12,'2018 CHF'!$D$57:$AC$73,$A$14,FALSE)</f>
        <v>0</v>
      </c>
      <c r="AC19" s="5">
        <f t="shared" si="30"/>
        <v>1609.8907000000002</v>
      </c>
      <c r="AE19" s="14">
        <v>2018</v>
      </c>
      <c r="AF19" s="5">
        <f t="shared" si="28"/>
        <v>0</v>
      </c>
      <c r="AG19" s="5">
        <f t="shared" si="4"/>
        <v>4697</v>
      </c>
      <c r="AH19" s="5">
        <f t="shared" si="5"/>
        <v>11857.999999999998</v>
      </c>
      <c r="AI19" s="5">
        <f t="shared" si="6"/>
        <v>6166.7241379310353</v>
      </c>
      <c r="AJ19" s="5">
        <f t="shared" si="7"/>
        <v>3480</v>
      </c>
      <c r="AK19" s="5">
        <f t="shared" si="8"/>
        <v>14025</v>
      </c>
      <c r="AL19" s="5">
        <f t="shared" si="9"/>
        <v>9219.2142857142844</v>
      </c>
      <c r="AM19" s="5">
        <f t="shared" si="10"/>
        <v>0</v>
      </c>
      <c r="AN19" s="5">
        <f t="shared" si="11"/>
        <v>5583.333333333333</v>
      </c>
      <c r="AO19" s="5">
        <f t="shared" si="12"/>
        <v>11258.800000000001</v>
      </c>
      <c r="AP19" s="5">
        <f t="shared" si="13"/>
        <v>4820</v>
      </c>
      <c r="AQ19" s="5">
        <f t="shared" si="14"/>
        <v>0</v>
      </c>
      <c r="AR19" s="5">
        <f t="shared" si="15"/>
        <v>5610</v>
      </c>
      <c r="AS19" s="5">
        <f t="shared" si="16"/>
        <v>7081.5555555555557</v>
      </c>
      <c r="AT19" s="5">
        <f t="shared" si="17"/>
        <v>5480</v>
      </c>
      <c r="AU19" s="5">
        <f t="shared" si="18"/>
        <v>7253.6428571428569</v>
      </c>
      <c r="AV19" s="5">
        <f t="shared" si="19"/>
        <v>13937.5</v>
      </c>
      <c r="AW19" s="5">
        <f t="shared" si="20"/>
        <v>4753.2</v>
      </c>
      <c r="AX19" s="5">
        <f t="shared" si="21"/>
        <v>4107.5999999999995</v>
      </c>
      <c r="AY19" s="5">
        <f t="shared" si="22"/>
        <v>12081.083333333334</v>
      </c>
      <c r="AZ19" s="5">
        <f t="shared" si="23"/>
        <v>5601.7142857142862</v>
      </c>
      <c r="BA19" s="5">
        <f t="shared" si="24"/>
        <v>3000</v>
      </c>
      <c r="BB19" s="5">
        <f t="shared" si="25"/>
        <v>7573.333333333333</v>
      </c>
      <c r="BC19" s="5">
        <f t="shared" si="29"/>
        <v>12075.705882352942</v>
      </c>
      <c r="BD19" s="5">
        <f t="shared" si="26"/>
        <v>0</v>
      </c>
      <c r="BE19" s="5">
        <f t="shared" si="27"/>
        <v>0</v>
      </c>
      <c r="BF19" s="5">
        <f t="shared" si="27"/>
        <v>8009.4064676616927</v>
      </c>
    </row>
    <row r="20" spans="1:58" x14ac:dyDescent="0.5">
      <c r="B20" s="14">
        <v>2017</v>
      </c>
      <c r="C20" s="5">
        <f>HLOOKUP(C12,'2017 CHF'!$D$57:$AC$73,$A$14,FALSE)</f>
        <v>0</v>
      </c>
      <c r="D20" s="5">
        <f>HLOOKUP(D12,'2017 CHF'!$D$57:$AC$73,$A$14,FALSE)</f>
        <v>0</v>
      </c>
      <c r="E20" s="5">
        <f>HLOOKUP(E12,'2017 CHF'!$D$57:$AC$73,$A$14,FALSE)</f>
        <v>0</v>
      </c>
      <c r="F20" s="5">
        <f>HLOOKUP(F12,'2017 CHF'!$D$57:$AC$73,$A$14,FALSE)</f>
        <v>102.49</v>
      </c>
      <c r="G20" s="5">
        <f>HLOOKUP(G12,'2017 CHF'!$D$57:$AC$73,$A$14,FALSE)</f>
        <v>0</v>
      </c>
      <c r="H20" s="5">
        <f>HLOOKUP(H12,'2017 CHF'!$D$57:$AC$73,$A$14,FALSE)</f>
        <v>0</v>
      </c>
      <c r="I20" s="5">
        <f>HLOOKUP(I12,'2017 CHF'!$D$57:$AC$73,$A$14,FALSE)</f>
        <v>53.255000000000003</v>
      </c>
      <c r="J20" s="5">
        <f>HLOOKUP(J12,'2017 CHF'!$D$57:$AC$73,$A$14,FALSE)</f>
        <v>0</v>
      </c>
      <c r="K20" s="5">
        <f>HLOOKUP(K12,'2017 CHF'!$D$57:$AC$73,$A$14,FALSE)</f>
        <v>0</v>
      </c>
      <c r="L20" s="5">
        <f>HLOOKUP(L12,'2017 CHF'!$D$57:$AC$73,$A$14,FALSE)</f>
        <v>112.816</v>
      </c>
      <c r="M20" s="5">
        <f>HLOOKUP(M12,'2017 CHF'!$D$57:$AC$73,$A$14,FALSE)</f>
        <v>12.05</v>
      </c>
      <c r="N20" s="5">
        <f>HLOOKUP(N12,'2017 CHF'!$D$57:$AC$73,$A$14,FALSE)</f>
        <v>0</v>
      </c>
      <c r="O20" s="5">
        <f>HLOOKUP(O12,'2017 CHF'!$D$57:$AC$73,$A$14,FALSE)</f>
        <v>0</v>
      </c>
      <c r="P20" s="5">
        <f>HLOOKUP(P12,'2017 CHF'!$D$57:$AC$73,$A$14,FALSE)</f>
        <v>5.73</v>
      </c>
      <c r="Q20" s="5">
        <f>HLOOKUP(Q12,'2017 CHF'!$D$57:$AC$73,$A$14,FALSE)</f>
        <v>12</v>
      </c>
      <c r="R20" s="5">
        <f>HLOOKUP(R12,'2017 CHF'!$D$57:$AC$73,$A$14,FALSE)</f>
        <v>42.634</v>
      </c>
      <c r="S20" s="5">
        <f>HLOOKUP(S12,'2017 CHF'!$D$57:$AC$73,$A$14,FALSE)</f>
        <v>0</v>
      </c>
      <c r="T20" s="5">
        <f>HLOOKUP(T12,'2017 CHF'!$D$57:$AC$73,$A$14,FALSE)</f>
        <v>3.04</v>
      </c>
      <c r="U20" s="5">
        <f>HLOOKUP(U12,'2017 CHF'!$D$57:$AC$73,$A$14,FALSE)</f>
        <v>0</v>
      </c>
      <c r="V20" s="5">
        <f>HLOOKUP(V12,'2017 CHF'!$D$57:$AC$73,$A$14,FALSE)</f>
        <v>55.451000000000001</v>
      </c>
      <c r="W20" s="5">
        <f>HLOOKUP(W12,'2017 CHF'!$D$57:$AC$73,$A$14,FALSE)</f>
        <v>5</v>
      </c>
      <c r="X20" s="5">
        <f>HLOOKUP(X12,'2017 CHF'!$D$57:$AC$73,$A$14,FALSE)</f>
        <v>11</v>
      </c>
      <c r="Y20" s="5">
        <f>HLOOKUP(Y12,'2017 CHF'!$D$57:$AC$73,$A$14,FALSE)</f>
        <v>6</v>
      </c>
      <c r="Z20" s="5">
        <f>HLOOKUP(Z12,'2017 CHF'!$D$57:$AC$73,$A$14,FALSE)</f>
        <v>37.764000000000003</v>
      </c>
      <c r="AA20" s="5">
        <f>HLOOKUP(AA12,'2017 CHF'!$D$57:$AC$73,$A$14,FALSE)</f>
        <v>0</v>
      </c>
      <c r="AB20" s="5">
        <f>HLOOKUP(AB12,'2017 CHF'!$D$57:$AC$73,$A$14,FALSE)</f>
        <v>0</v>
      </c>
      <c r="AC20" s="5">
        <f t="shared" si="30"/>
        <v>459.23000000000013</v>
      </c>
      <c r="AE20" s="14">
        <v>2017</v>
      </c>
      <c r="AF20" s="5">
        <f t="shared" si="28"/>
        <v>0</v>
      </c>
      <c r="AG20" s="5">
        <f t="shared" si="4"/>
        <v>0</v>
      </c>
      <c r="AH20" s="5">
        <f t="shared" si="5"/>
        <v>0</v>
      </c>
      <c r="AI20" s="5">
        <f t="shared" si="6"/>
        <v>6832.6666666666661</v>
      </c>
      <c r="AJ20" s="5">
        <f t="shared" si="7"/>
        <v>0</v>
      </c>
      <c r="AK20" s="5">
        <f t="shared" si="8"/>
        <v>0</v>
      </c>
      <c r="AL20" s="5">
        <f t="shared" si="9"/>
        <v>8875.8333333333339</v>
      </c>
      <c r="AM20" s="5">
        <f t="shared" si="10"/>
        <v>0</v>
      </c>
      <c r="AN20" s="5">
        <f t="shared" si="11"/>
        <v>0</v>
      </c>
      <c r="AO20" s="5">
        <f t="shared" si="12"/>
        <v>12535.111111111111</v>
      </c>
      <c r="AP20" s="5">
        <f t="shared" si="13"/>
        <v>12050</v>
      </c>
      <c r="AQ20" s="5">
        <f t="shared" si="14"/>
        <v>0</v>
      </c>
      <c r="AR20" s="5">
        <f t="shared" si="15"/>
        <v>0</v>
      </c>
      <c r="AS20" s="5">
        <f t="shared" si="16"/>
        <v>5730</v>
      </c>
      <c r="AT20" s="5">
        <f t="shared" si="17"/>
        <v>6000</v>
      </c>
      <c r="AU20" s="5">
        <f t="shared" si="18"/>
        <v>6090.5714285714284</v>
      </c>
      <c r="AV20" s="5">
        <f t="shared" si="19"/>
        <v>0</v>
      </c>
      <c r="AW20" s="5">
        <f t="shared" si="20"/>
        <v>3040</v>
      </c>
      <c r="AX20" s="5">
        <f t="shared" si="21"/>
        <v>0</v>
      </c>
      <c r="AY20" s="5">
        <f t="shared" si="22"/>
        <v>7921.5714285714284</v>
      </c>
      <c r="AZ20" s="5">
        <f t="shared" si="23"/>
        <v>5000</v>
      </c>
      <c r="BA20" s="5">
        <f t="shared" si="24"/>
        <v>5500</v>
      </c>
      <c r="BB20" s="5">
        <f t="shared" si="25"/>
        <v>6000</v>
      </c>
      <c r="BC20" s="5">
        <f t="shared" si="29"/>
        <v>12588.000000000002</v>
      </c>
      <c r="BD20" s="5">
        <f t="shared" si="26"/>
        <v>0</v>
      </c>
      <c r="BE20" s="5">
        <f t="shared" si="27"/>
        <v>0</v>
      </c>
      <c r="BF20" s="5">
        <f t="shared" si="27"/>
        <v>8200.5357142857174</v>
      </c>
    </row>
    <row r="21" spans="1:58" x14ac:dyDescent="0.5"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E21" s="14" t="s">
        <v>63</v>
      </c>
      <c r="AF21" s="5">
        <f>SUM(C13:C20)/SUM(C35:C42)*1000</f>
        <v>7147.4894651539717</v>
      </c>
      <c r="AG21" s="5">
        <f t="shared" ref="AG21:BE21" si="31">SUM(D13:D20)/SUM(D35:D42)*1000</f>
        <v>6006.0714285714303</v>
      </c>
      <c r="AH21" s="5">
        <f t="shared" si="31"/>
        <v>7002.208333333333</v>
      </c>
      <c r="AI21" s="5">
        <f t="shared" si="31"/>
        <v>8584.7892957746481</v>
      </c>
      <c r="AJ21" s="5">
        <f t="shared" si="31"/>
        <v>10606.040106951874</v>
      </c>
      <c r="AK21" s="5">
        <f t="shared" si="31"/>
        <v>20260.533783783787</v>
      </c>
      <c r="AL21" s="5">
        <f t="shared" si="31"/>
        <v>11539.151053864171</v>
      </c>
      <c r="AM21" s="5">
        <f t="shared" si="31"/>
        <v>14992.724999999999</v>
      </c>
      <c r="AN21" s="5">
        <f t="shared" si="31"/>
        <v>7057.644067796612</v>
      </c>
      <c r="AO21" s="5">
        <f t="shared" si="31"/>
        <v>18548.899852724597</v>
      </c>
      <c r="AP21" s="5">
        <f t="shared" si="31"/>
        <v>5859.1555555555569</v>
      </c>
      <c r="AQ21" s="5">
        <f t="shared" si="31"/>
        <v>9619.559166666666</v>
      </c>
      <c r="AR21" s="5">
        <f t="shared" si="31"/>
        <v>6596.5053763440865</v>
      </c>
      <c r="AS21" s="5">
        <f t="shared" si="31"/>
        <v>6226.9333333333334</v>
      </c>
      <c r="AT21" s="5">
        <f t="shared" si="31"/>
        <v>6436.5789473684208</v>
      </c>
      <c r="AU21" s="5">
        <f t="shared" si="31"/>
        <v>7933.6685439560442</v>
      </c>
      <c r="AV21" s="5">
        <f t="shared" si="31"/>
        <v>14795.23076923077</v>
      </c>
      <c r="AW21" s="5">
        <f t="shared" si="31"/>
        <v>8983.4651214128044</v>
      </c>
      <c r="AX21" s="5">
        <f t="shared" si="31"/>
        <v>8548.2837837837833</v>
      </c>
      <c r="AY21" s="5">
        <f t="shared" si="31"/>
        <v>14250.935412026725</v>
      </c>
      <c r="AZ21" s="5">
        <f t="shared" si="31"/>
        <v>10932.190661478598</v>
      </c>
      <c r="BA21" s="5">
        <f t="shared" si="31"/>
        <v>9231.0204081632655</v>
      </c>
      <c r="BB21" s="5">
        <f t="shared" si="31"/>
        <v>10428.395287958114</v>
      </c>
      <c r="BC21" s="5">
        <f t="shared" si="31"/>
        <v>22327.516574585636</v>
      </c>
      <c r="BD21" s="5">
        <f t="shared" si="31"/>
        <v>27787.700460829492</v>
      </c>
      <c r="BE21" s="5">
        <f t="shared" si="31"/>
        <v>10758.155344655343</v>
      </c>
      <c r="BF21" s="5">
        <f>SUM(C13:AB20)/SUM(C35:AB42)*1000</f>
        <v>11170.947532940847</v>
      </c>
    </row>
    <row r="23" spans="1:58" x14ac:dyDescent="0.5">
      <c r="A23" s="1" t="s">
        <v>41</v>
      </c>
      <c r="B23" s="14" t="s">
        <v>61</v>
      </c>
      <c r="C23" s="14" t="s">
        <v>20</v>
      </c>
      <c r="D23" s="14" t="s">
        <v>17</v>
      </c>
      <c r="E23" s="14" t="s">
        <v>16</v>
      </c>
      <c r="F23" s="14" t="s">
        <v>3</v>
      </c>
      <c r="G23" s="14" t="s">
        <v>14</v>
      </c>
      <c r="H23" s="14" t="s">
        <v>13</v>
      </c>
      <c r="I23" s="14" t="s">
        <v>11</v>
      </c>
      <c r="J23" s="14" t="s">
        <v>26</v>
      </c>
      <c r="K23" s="14" t="s">
        <v>9</v>
      </c>
      <c r="L23" s="14" t="s">
        <v>19</v>
      </c>
      <c r="M23" s="14" t="s">
        <v>27</v>
      </c>
      <c r="N23" s="14" t="s">
        <v>4</v>
      </c>
      <c r="O23" s="14" t="s">
        <v>25</v>
      </c>
      <c r="P23" s="14" t="s">
        <v>8</v>
      </c>
      <c r="Q23" s="14" t="s">
        <v>7</v>
      </c>
      <c r="R23" s="14" t="s">
        <v>18</v>
      </c>
      <c r="S23" s="14" t="s">
        <v>15</v>
      </c>
      <c r="T23" s="14" t="s">
        <v>12</v>
      </c>
      <c r="U23" s="14" t="s">
        <v>6</v>
      </c>
      <c r="V23" s="14" t="s">
        <v>21</v>
      </c>
      <c r="W23" s="14" t="s">
        <v>22</v>
      </c>
      <c r="X23" s="14" t="s">
        <v>5</v>
      </c>
      <c r="Y23" s="14" t="s">
        <v>23</v>
      </c>
      <c r="Z23" s="14" t="s">
        <v>24</v>
      </c>
      <c r="AA23" s="14" t="s">
        <v>10</v>
      </c>
      <c r="AB23" s="14" t="s">
        <v>2</v>
      </c>
    </row>
    <row r="24" spans="1:58" x14ac:dyDescent="0.5">
      <c r="A24" s="1"/>
      <c r="B24" s="14">
        <v>2024</v>
      </c>
      <c r="C24" s="5">
        <f>HLOOKUP(C23,'2024'!$D$57:$AC$69,$A$25,FALSE)</f>
        <v>1616</v>
      </c>
      <c r="D24" s="5">
        <f>HLOOKUP(D23,'2024'!$D$57:$AC$69,$A$25,FALSE)</f>
        <v>36</v>
      </c>
      <c r="E24" s="5">
        <f>HLOOKUP(E23,'2024'!$D$57:$AC$69,$A$25,FALSE)</f>
        <v>200</v>
      </c>
      <c r="F24" s="5">
        <f>HLOOKUP(F23,'2024'!$D$57:$AC$69,$A$25,FALSE)</f>
        <v>2104</v>
      </c>
      <c r="G24" s="5">
        <f>HLOOKUP(G23,'2024'!$D$57:$AC$69,$A$25,FALSE)</f>
        <v>974</v>
      </c>
      <c r="H24" s="5">
        <f>HLOOKUP(H23,'2024'!$D$57:$AC$69,$A$25,FALSE)</f>
        <v>368</v>
      </c>
      <c r="I24" s="5">
        <f>HLOOKUP(I23,'2024'!$D$57:$AC$69,$A$25,FALSE)</f>
        <v>833</v>
      </c>
      <c r="J24" s="5">
        <f>HLOOKUP(J23,'2024'!$D$57:$AC$69,$A$25,FALSE)</f>
        <v>631</v>
      </c>
      <c r="K24" s="5">
        <f>HLOOKUP(K23,'2024'!$D$57:$AC$69,$A$25,FALSE)</f>
        <v>138</v>
      </c>
      <c r="L24" s="5">
        <f>HLOOKUP(L23,'2024'!$D$57:$AC$69,$A$25,FALSE)</f>
        <v>356</v>
      </c>
      <c r="M24" s="5">
        <f>HLOOKUP(M23,'2024'!$D$57:$AC$69,$A$25,FALSE)</f>
        <v>147</v>
      </c>
      <c r="N24" s="5">
        <f>HLOOKUP(N23,'2024'!$D$57:$AC$69,$A$25,FALSE)</f>
        <v>747</v>
      </c>
      <c r="O24" s="5">
        <f>HLOOKUP(O23,'2024'!$D$57:$AC$69,$A$25,FALSE)</f>
        <v>397</v>
      </c>
      <c r="P24" s="5">
        <f>HLOOKUP(P23,'2024'!$D$57:$AC$69,$A$25,FALSE)</f>
        <v>24</v>
      </c>
      <c r="Q24" s="5">
        <f>HLOOKUP(Q23,'2024'!$D$57:$AC$69,$A$25,FALSE)</f>
        <v>13</v>
      </c>
      <c r="R24" s="5">
        <f>HLOOKUP(R23,'2024'!$D$57:$AC$69,$A$25,FALSE)</f>
        <v>1033</v>
      </c>
      <c r="S24" s="5">
        <f>HLOOKUP(S23,'2024'!$D$57:$AC$69,$A$25,FALSE)</f>
        <v>135</v>
      </c>
      <c r="T24" s="5">
        <f>HLOOKUP(T23,'2024'!$D$57:$AC$69,$A$25,FALSE)</f>
        <v>825</v>
      </c>
      <c r="U24" s="5">
        <f>HLOOKUP(U23,'2024'!$D$57:$AC$69,$A$25,FALSE)</f>
        <v>210</v>
      </c>
      <c r="V24" s="5">
        <f>HLOOKUP(V23,'2024'!$D$57:$AC$69,$A$25,FALSE)</f>
        <v>817</v>
      </c>
      <c r="W24" s="5">
        <f>HLOOKUP(W23,'2024'!$D$57:$AC$69,$A$25,FALSE)</f>
        <v>971</v>
      </c>
      <c r="X24" s="5">
        <f>HLOOKUP(X23,'2024'!$D$57:$AC$69,$A$25,FALSE)</f>
        <v>15</v>
      </c>
      <c r="Y24" s="5">
        <f>HLOOKUP(Y23,'2024'!$D$57:$AC$69,$A$25,FALSE)</f>
        <v>1476</v>
      </c>
      <c r="Z24" s="5">
        <f>HLOOKUP(Z23,'2024'!$D$57:$AC$69,$A$25,FALSE)</f>
        <v>743</v>
      </c>
      <c r="AA24" s="5">
        <f>HLOOKUP(AA23,'2024'!$D$57:$AC$69,$A$25,FALSE)</f>
        <v>154</v>
      </c>
      <c r="AB24" s="5">
        <f>HLOOKUP(AB23,'2024'!$D$57:$AC$69,$A$25,FALSE)</f>
        <v>2790</v>
      </c>
      <c r="AC24" s="5">
        <f>SUM(C24:AB24)</f>
        <v>17753</v>
      </c>
    </row>
    <row r="25" spans="1:58" x14ac:dyDescent="0.5">
      <c r="A25" s="14">
        <v>11</v>
      </c>
      <c r="B25" s="14">
        <v>2023</v>
      </c>
      <c r="C25" s="5">
        <f>HLOOKUP(C23,'2023'!$D$57:$AC$69,$A$25,FALSE)</f>
        <v>1798</v>
      </c>
      <c r="D25" s="5">
        <f>HLOOKUP(D23,'2023'!$D$57:$AC$69,$A$25,FALSE)</f>
        <v>35</v>
      </c>
      <c r="E25" s="5">
        <f>HLOOKUP(E23,'2023'!$D$57:$AC$69,$A$25,FALSE)</f>
        <v>268</v>
      </c>
      <c r="F25" s="5">
        <f>HLOOKUP(F23,'2023'!$D$57:$AC$69,$A$25,FALSE)</f>
        <v>2571</v>
      </c>
      <c r="G25" s="5">
        <f>HLOOKUP(G23,'2023'!$D$57:$AC$69,$A$25,FALSE)</f>
        <v>1241</v>
      </c>
      <c r="H25" s="5">
        <f>HLOOKUP(H23,'2023'!$D$57:$AC$69,$A$25,FALSE)</f>
        <v>275</v>
      </c>
      <c r="I25" s="5">
        <f>HLOOKUP(I23,'2023'!$D$57:$AC$69,$A$25,FALSE)</f>
        <v>1067</v>
      </c>
      <c r="J25" s="5">
        <f>HLOOKUP(J23,'2023'!$D$57:$AC$69,$A$25,FALSE)</f>
        <v>458</v>
      </c>
      <c r="K25" s="5">
        <f>HLOOKUP(K23,'2023'!$D$57:$AC$69,$A$25,FALSE)</f>
        <v>183</v>
      </c>
      <c r="L25" s="5">
        <f>HLOOKUP(L23,'2023'!$D$57:$AC$69,$A$25,FALSE)</f>
        <v>503</v>
      </c>
      <c r="M25" s="5">
        <f>HLOOKUP(M23,'2023'!$D$57:$AC$69,$A$25,FALSE)</f>
        <v>59</v>
      </c>
      <c r="N25" s="5">
        <f>HLOOKUP(N23,'2023'!$D$57:$AC$69,$A$25,FALSE)</f>
        <v>758</v>
      </c>
      <c r="O25" s="5">
        <f>HLOOKUP(O23,'2023'!$D$57:$AC$69,$A$25,FALSE)</f>
        <v>377</v>
      </c>
      <c r="P25" s="5">
        <f>HLOOKUP(P23,'2023'!$D$57:$AC$69,$A$25,FALSE)</f>
        <v>31</v>
      </c>
      <c r="Q25" s="5">
        <f>HLOOKUP(Q23,'2023'!$D$57:$AC$69,$A$25,FALSE)</f>
        <v>13</v>
      </c>
      <c r="R25" s="5">
        <f>HLOOKUP(R23,'2023'!$D$57:$AC$69,$A$25,FALSE)</f>
        <v>1704</v>
      </c>
      <c r="S25" s="5">
        <f>HLOOKUP(S23,'2023'!$D$57:$AC$69,$A$25,FALSE)</f>
        <v>224</v>
      </c>
      <c r="T25" s="5">
        <f>HLOOKUP(T23,'2023'!$D$57:$AC$69,$A$25,FALSE)</f>
        <v>1344</v>
      </c>
      <c r="U25" s="5">
        <f>HLOOKUP(U23,'2023'!$D$57:$AC$69,$A$25,FALSE)</f>
        <v>271</v>
      </c>
      <c r="V25" s="5">
        <f>HLOOKUP(V23,'2023'!$D$57:$AC$69,$A$25,FALSE)</f>
        <v>1198</v>
      </c>
      <c r="W25" s="5">
        <f>HLOOKUP(W23,'2023'!$D$57:$AC$69,$A$25,FALSE)</f>
        <v>988</v>
      </c>
      <c r="X25" s="5">
        <f>HLOOKUP(X23,'2023'!$D$57:$AC$69,$A$25,FALSE)</f>
        <v>13</v>
      </c>
      <c r="Y25" s="5">
        <f>HLOOKUP(Y23,'2023'!$D$57:$AC$69,$A$25,FALSE)</f>
        <v>1172</v>
      </c>
      <c r="Z25" s="5">
        <f>HLOOKUP(Z23,'2023'!$D$57:$AC$69,$A$25,FALSE)</f>
        <v>779</v>
      </c>
      <c r="AA25" s="5">
        <f>HLOOKUP(AA23,'2023'!$D$57:$AC$69,$A$25,FALSE)</f>
        <v>178</v>
      </c>
      <c r="AB25" s="5">
        <f>HLOOKUP(AB23,'2023'!$D$57:$AC$69,$A$25,FALSE)</f>
        <v>2458</v>
      </c>
      <c r="AC25" s="5">
        <f>SUM(C25:AB25)</f>
        <v>19966</v>
      </c>
    </row>
    <row r="26" spans="1:58" x14ac:dyDescent="0.5">
      <c r="B26" s="14">
        <v>2022</v>
      </c>
      <c r="C26" s="5">
        <f>HLOOKUP(C23,'2022'!$D$57:$AC$69,$A$25,FALSE)</f>
        <v>1102</v>
      </c>
      <c r="D26" s="5">
        <f>HLOOKUP(D23,'2022'!$D$57:$AC$69,$A$25,FALSE)</f>
        <v>31</v>
      </c>
      <c r="E26" s="5">
        <f>HLOOKUP(E23,'2022'!$D$57:$AC$69,$A$25,FALSE)</f>
        <v>87</v>
      </c>
      <c r="F26" s="5">
        <f>HLOOKUP(F23,'2022'!$D$57:$AC$69,$A$25,FALSE)</f>
        <v>2004</v>
      </c>
      <c r="G26" s="5">
        <f>HLOOKUP(G23,'2022'!$D$57:$AC$69,$A$25,FALSE)</f>
        <v>838</v>
      </c>
      <c r="H26" s="5">
        <f>HLOOKUP(H23,'2022'!$D$57:$AC$69,$A$25,FALSE)</f>
        <v>120</v>
      </c>
      <c r="I26" s="5">
        <f>HLOOKUP(I23,'2022'!$D$57:$AC$69,$A$25,FALSE)</f>
        <v>865</v>
      </c>
      <c r="J26" s="5">
        <f>HLOOKUP(J23,'2022'!$D$57:$AC$69,$A$25,FALSE)</f>
        <v>239</v>
      </c>
      <c r="K26" s="5">
        <f>HLOOKUP(K23,'2022'!$D$57:$AC$69,$A$25,FALSE)</f>
        <v>103</v>
      </c>
      <c r="L26" s="5">
        <f>HLOOKUP(L23,'2022'!$D$57:$AC$69,$A$25,FALSE)</f>
        <v>294</v>
      </c>
      <c r="M26" s="5">
        <f>HLOOKUP(M23,'2022'!$D$57:$AC$69,$A$25,FALSE)</f>
        <v>110</v>
      </c>
      <c r="N26" s="5">
        <f>HLOOKUP(N23,'2022'!$D$57:$AC$69,$A$25,FALSE)</f>
        <v>519</v>
      </c>
      <c r="O26" s="5">
        <f>HLOOKUP(O23,'2022'!$D$57:$AC$69,$A$25,FALSE)</f>
        <v>208</v>
      </c>
      <c r="P26" s="5">
        <f>HLOOKUP(P23,'2022'!$D$57:$AC$69,$A$25,FALSE)</f>
        <v>27</v>
      </c>
      <c r="Q26" s="5">
        <f>HLOOKUP(Q23,'2022'!$D$57:$AC$69,$A$25,FALSE)</f>
        <v>9</v>
      </c>
      <c r="R26" s="5">
        <f>HLOOKUP(R23,'2022'!$D$57:$AC$69,$A$25,FALSE)</f>
        <v>953</v>
      </c>
      <c r="S26" s="5">
        <f>HLOOKUP(S23,'2022'!$D$57:$AC$69,$A$25,FALSE)</f>
        <v>203</v>
      </c>
      <c r="T26" s="5">
        <f>HLOOKUP(T23,'2022'!$D$57:$AC$69,$A$25,FALSE)</f>
        <v>663</v>
      </c>
      <c r="U26" s="5">
        <f>HLOOKUP(U23,'2022'!$D$57:$AC$69,$A$25,FALSE)</f>
        <v>142</v>
      </c>
      <c r="V26" s="5">
        <f>HLOOKUP(V23,'2022'!$D$57:$AC$69,$A$25,FALSE)</f>
        <v>748</v>
      </c>
      <c r="W26" s="5">
        <f>HLOOKUP(W23,'2022'!$D$57:$AC$69,$A$25,FALSE)</f>
        <v>530</v>
      </c>
      <c r="X26" s="5">
        <f>HLOOKUP(X23,'2022'!$D$57:$AC$69,$A$25,FALSE)</f>
        <v>14</v>
      </c>
      <c r="Y26" s="5">
        <f>HLOOKUP(Y23,'2022'!$D$57:$AC$69,$A$25,FALSE)</f>
        <v>562</v>
      </c>
      <c r="Z26" s="5">
        <f>HLOOKUP(Z23,'2022'!$D$57:$AC$69,$A$25,FALSE)</f>
        <v>452</v>
      </c>
      <c r="AA26" s="5">
        <f>HLOOKUP(AA23,'2022'!$D$57:$AC$69,$A$25,FALSE)</f>
        <v>18</v>
      </c>
      <c r="AB26" s="5">
        <f>HLOOKUP(AB23,'2022'!$D$57:$AC$69,$A$25,FALSE)</f>
        <v>1932</v>
      </c>
      <c r="AC26" s="5">
        <f t="shared" ref="AC26:AC31" si="32">SUM(C26:AB26)</f>
        <v>12773</v>
      </c>
    </row>
    <row r="27" spans="1:58" x14ac:dyDescent="0.5">
      <c r="B27" s="14">
        <v>2021</v>
      </c>
      <c r="C27" s="5">
        <f>HLOOKUP(C23,'2021'!$D$57:$AC$69,$A$25,FALSE)</f>
        <v>226</v>
      </c>
      <c r="D27" s="5">
        <f>HLOOKUP(D23,'2021'!$D$57:$AC$69,$A$25,FALSE)</f>
        <v>7</v>
      </c>
      <c r="E27" s="5">
        <f>HLOOKUP(E23,'2021'!$D$57:$AC$69,$A$25,FALSE)</f>
        <v>42</v>
      </c>
      <c r="F27" s="5">
        <f>HLOOKUP(F23,'2021'!$D$57:$AC$69,$A$25,FALSE)</f>
        <v>1911</v>
      </c>
      <c r="G27" s="5">
        <f>HLOOKUP(G23,'2021'!$D$57:$AC$69,$A$25,FALSE)</f>
        <v>599</v>
      </c>
      <c r="H27" s="5">
        <f>HLOOKUP(H23,'2021'!$D$57:$AC$69,$A$25,FALSE)</f>
        <v>123</v>
      </c>
      <c r="I27" s="5">
        <f>HLOOKUP(I23,'2021'!$D$57:$AC$69,$A$25,FALSE)</f>
        <v>483</v>
      </c>
      <c r="J27" s="5">
        <f>HLOOKUP(J23,'2021'!$D$57:$AC$69,$A$25,FALSE)</f>
        <v>191</v>
      </c>
      <c r="K27" s="5">
        <f>HLOOKUP(K23,'2021'!$D$57:$AC$69,$A$25,FALSE)</f>
        <v>70</v>
      </c>
      <c r="L27" s="5">
        <f>HLOOKUP(L23,'2021'!$D$57:$AC$69,$A$25,FALSE)</f>
        <v>240</v>
      </c>
      <c r="M27" s="5">
        <f>HLOOKUP(M23,'2021'!$D$57:$AC$69,$A$25,FALSE)</f>
        <v>89</v>
      </c>
      <c r="N27" s="5">
        <f>HLOOKUP(N23,'2021'!$D$57:$AC$69,$A$25,FALSE)</f>
        <v>494</v>
      </c>
      <c r="O27" s="5">
        <f>HLOOKUP(O23,'2021'!$D$57:$AC$69,$A$25,FALSE)</f>
        <v>165</v>
      </c>
      <c r="P27" s="5">
        <f>HLOOKUP(P23,'2021'!$D$57:$AC$69,$A$25,FALSE)</f>
        <v>24</v>
      </c>
      <c r="Q27" s="5">
        <f>HLOOKUP(Q23,'2021'!$D$57:$AC$69,$A$25,FALSE)</f>
        <v>6</v>
      </c>
      <c r="R27" s="5">
        <f>HLOOKUP(R23,'2021'!$D$57:$AC$69,$A$25,FALSE)</f>
        <v>885</v>
      </c>
      <c r="S27" s="5">
        <f>HLOOKUP(S23,'2021'!$D$57:$AC$69,$A$25,FALSE)</f>
        <v>124</v>
      </c>
      <c r="T27" s="5">
        <f>HLOOKUP(T23,'2021'!$D$57:$AC$69,$A$25,FALSE)</f>
        <v>550</v>
      </c>
      <c r="U27" s="5">
        <f>HLOOKUP(U23,'2021'!$D$57:$AC$69,$A$25,FALSE)</f>
        <v>85</v>
      </c>
      <c r="V27" s="5">
        <f>HLOOKUP(V23,'2021'!$D$57:$AC$69,$A$25,FALSE)</f>
        <v>548</v>
      </c>
      <c r="W27" s="5">
        <f>HLOOKUP(W23,'2021'!$D$57:$AC$69,$A$25,FALSE)</f>
        <v>342</v>
      </c>
      <c r="X27" s="5">
        <f>HLOOKUP(X23,'2021'!$D$57:$AC$69,$A$25,FALSE)</f>
        <v>14</v>
      </c>
      <c r="Y27" s="5">
        <f>HLOOKUP(Y23,'2021'!$D$57:$AC$69,$A$25,FALSE)</f>
        <v>426</v>
      </c>
      <c r="Z27" s="5">
        <f>HLOOKUP(Z23,'2021'!$D$57:$AC$69,$A$25,FALSE)</f>
        <v>349</v>
      </c>
      <c r="AA27" s="5">
        <f>HLOOKUP(AA23,'2021'!$D$57:$AC$69,$A$25,FALSE)</f>
        <v>0</v>
      </c>
      <c r="AB27" s="5">
        <f>HLOOKUP(AB23,'2021'!$D$57:$AC$69,$A$25,FALSE)</f>
        <v>1173</v>
      </c>
      <c r="AC27" s="5">
        <f t="shared" si="32"/>
        <v>9166</v>
      </c>
    </row>
    <row r="28" spans="1:58" x14ac:dyDescent="0.5">
      <c r="B28" s="14">
        <v>2020</v>
      </c>
      <c r="C28" s="5">
        <f>HLOOKUP(C23,'2020'!$D$57:$AC$69,$A$25,FALSE)</f>
        <v>0</v>
      </c>
      <c r="D28" s="5">
        <f>HLOOKUP(D23,'2020'!$D$57:$AC$69,$A$25,FALSE)</f>
        <v>22</v>
      </c>
      <c r="E28" s="5">
        <f>HLOOKUP(E23,'2020'!$D$57:$AC$69,$A$25,FALSE)</f>
        <v>28</v>
      </c>
      <c r="F28" s="5">
        <f>HLOOKUP(F23,'2020'!$D$57:$AC$69,$A$25,FALSE)</f>
        <v>1059</v>
      </c>
      <c r="G28" s="5">
        <f>HLOOKUP(G23,'2020'!$D$57:$AC$69,$A$25,FALSE)</f>
        <v>120</v>
      </c>
      <c r="H28" s="5">
        <f>HLOOKUP(H23,'2020'!$D$57:$AC$69,$A$25,FALSE)</f>
        <v>80</v>
      </c>
      <c r="I28" s="5">
        <f>HLOOKUP(I23,'2020'!$D$57:$AC$69,$A$25,FALSE)</f>
        <v>344</v>
      </c>
      <c r="J28" s="5">
        <f>HLOOKUP(J23,'2020'!$D$57:$AC$69,$A$25,FALSE)</f>
        <v>122</v>
      </c>
      <c r="K28" s="5">
        <f>HLOOKUP(K23,'2020'!$D$57:$AC$69,$A$25,FALSE)</f>
        <v>51</v>
      </c>
      <c r="L28" s="5">
        <f>HLOOKUP(L23,'2020'!$D$57:$AC$69,$A$25,FALSE)</f>
        <v>147</v>
      </c>
      <c r="M28" s="5">
        <f>HLOOKUP(M23,'2020'!$D$57:$AC$69,$A$25,FALSE)</f>
        <v>38</v>
      </c>
      <c r="N28" s="5">
        <f>HLOOKUP(N23,'2020'!$D$57:$AC$69,$A$25,FALSE)</f>
        <v>430</v>
      </c>
      <c r="O28" s="5">
        <f>HLOOKUP(O23,'2020'!$D$57:$AC$69,$A$25,FALSE)</f>
        <v>100</v>
      </c>
      <c r="P28" s="5">
        <f>HLOOKUP(P23,'2020'!$D$57:$AC$69,$A$25,FALSE)</f>
        <v>30</v>
      </c>
      <c r="Q28" s="5">
        <f>HLOOKUP(Q23,'2020'!$D$57:$AC$69,$A$25,FALSE)</f>
        <v>9</v>
      </c>
      <c r="R28" s="5">
        <f>HLOOKUP(R23,'2020'!$D$57:$AC$69,$A$25,FALSE)</f>
        <v>668</v>
      </c>
      <c r="S28" s="5">
        <f>HLOOKUP(S23,'2020'!$D$57:$AC$69,$A$25,FALSE)</f>
        <v>68</v>
      </c>
      <c r="T28" s="5">
        <f>HLOOKUP(T23,'2020'!$D$57:$AC$69,$A$25,FALSE)</f>
        <v>169</v>
      </c>
      <c r="U28" s="5">
        <f>HLOOKUP(U23,'2020'!$D$57:$AC$69,$A$25,FALSE)</f>
        <v>41</v>
      </c>
      <c r="V28" s="5">
        <f>HLOOKUP(V23,'2020'!$D$57:$AC$69,$A$25,FALSE)</f>
        <v>321</v>
      </c>
      <c r="W28" s="5">
        <f>HLOOKUP(W23,'2020'!$D$57:$AC$69,$A$25,FALSE)</f>
        <v>236</v>
      </c>
      <c r="X28" s="5">
        <f>HLOOKUP(X23,'2020'!$D$57:$AC$69,$A$25,FALSE)</f>
        <v>9</v>
      </c>
      <c r="Y28" s="5">
        <f>HLOOKUP(Y23,'2020'!$D$57:$AC$69,$A$25,FALSE)</f>
        <v>343</v>
      </c>
      <c r="Z28" s="5">
        <f>HLOOKUP(Z23,'2020'!$D$57:$AC$69,$A$25,FALSE)</f>
        <v>264</v>
      </c>
      <c r="AA28" s="5">
        <f>HLOOKUP(AA23,'2020'!$D$57:$AC$69,$A$25,FALSE)</f>
        <v>0</v>
      </c>
      <c r="AB28" s="5">
        <f>HLOOKUP(AB23,'2020'!$D$57:$AC$69,$A$25,FALSE)</f>
        <v>87</v>
      </c>
      <c r="AC28" s="5">
        <f t="shared" si="32"/>
        <v>4786</v>
      </c>
    </row>
    <row r="29" spans="1:58" x14ac:dyDescent="0.5">
      <c r="B29" s="14">
        <v>2019</v>
      </c>
      <c r="C29" s="5">
        <f>HLOOKUP(C23,'2019'!$D$57:$AC$69,$A$25,FALSE)</f>
        <v>0</v>
      </c>
      <c r="D29" s="5">
        <f>HLOOKUP(D23,'2019'!$D$57:$AC$69,$A$25,FALSE)</f>
        <v>17</v>
      </c>
      <c r="E29" s="5">
        <f>HLOOKUP(E23,'2019'!$D$57:$AC$69,$A$25,FALSE)</f>
        <v>15</v>
      </c>
      <c r="F29" s="5">
        <f>HLOOKUP(F23,'2019'!$D$57:$AC$69,$A$25,FALSE)</f>
        <v>444</v>
      </c>
      <c r="G29" s="5">
        <f>HLOOKUP(G23,'2019'!$D$57:$AC$69,$A$25,FALSE)</f>
        <v>37</v>
      </c>
      <c r="H29" s="5">
        <f>HLOOKUP(H23,'2019'!$D$57:$AC$69,$A$25,FALSE)</f>
        <v>27</v>
      </c>
      <c r="I29" s="5">
        <f>HLOOKUP(I23,'2019'!$D$57:$AC$69,$A$25,FALSE)</f>
        <v>225</v>
      </c>
      <c r="J29" s="5">
        <f>HLOOKUP(J23,'2019'!$D$57:$AC$69,$A$25,FALSE)</f>
        <v>123</v>
      </c>
      <c r="K29" s="5">
        <f>HLOOKUP(K23,'2019'!$D$57:$AC$69,$A$25,FALSE)</f>
        <v>39</v>
      </c>
      <c r="L29" s="5">
        <f>HLOOKUP(L23,'2019'!$D$57:$AC$69,$A$25,FALSE)</f>
        <v>106</v>
      </c>
      <c r="M29" s="5">
        <f>HLOOKUP(M23,'2019'!$D$57:$AC$69,$A$25,FALSE)</f>
        <v>26</v>
      </c>
      <c r="N29" s="5">
        <f>HLOOKUP(N23,'2019'!$D$57:$AC$69,$A$25,FALSE)</f>
        <v>105</v>
      </c>
      <c r="O29" s="5">
        <f>HLOOKUP(O23,'2019'!$D$57:$AC$69,$A$25,FALSE)</f>
        <v>9</v>
      </c>
      <c r="P29" s="5">
        <f>HLOOKUP(P23,'2019'!$D$57:$AC$69,$A$25,FALSE)</f>
        <v>22</v>
      </c>
      <c r="Q29" s="5">
        <f>HLOOKUP(Q23,'2019'!$D$57:$AC$69,$A$25,FALSE)</f>
        <v>8</v>
      </c>
      <c r="R29" s="5">
        <f>HLOOKUP(R23,'2019'!$D$57:$AC$69,$A$25,FALSE)</f>
        <v>435</v>
      </c>
      <c r="S29" s="5">
        <f>HLOOKUP(S23,'2019'!$D$57:$AC$69,$A$25,FALSE)</f>
        <v>44</v>
      </c>
      <c r="T29" s="5">
        <f>HLOOKUP(T23,'2019'!$D$57:$AC$69,$A$25,FALSE)</f>
        <v>66</v>
      </c>
      <c r="U29" s="5">
        <f>HLOOKUP(U23,'2019'!$D$57:$AC$69,$A$25,FALSE)</f>
        <v>21</v>
      </c>
      <c r="V29" s="5">
        <f>HLOOKUP(V23,'2019'!$D$57:$AC$69,$A$25,FALSE)</f>
        <v>219</v>
      </c>
      <c r="W29" s="5">
        <f>HLOOKUP(W23,'2019'!$D$57:$AC$69,$A$25,FALSE)</f>
        <v>136</v>
      </c>
      <c r="X29" s="5">
        <f>HLOOKUP(X23,'2019'!$D$57:$AC$69,$A$25,FALSE)</f>
        <v>16</v>
      </c>
      <c r="Y29" s="5">
        <f>HLOOKUP(Y23,'2019'!$D$57:$AC$69,$A$25,FALSE)</f>
        <v>301</v>
      </c>
      <c r="Z29" s="5">
        <f>HLOOKUP(Z23,'2019'!$D$57:$AC$69,$A$25,FALSE)</f>
        <v>136</v>
      </c>
      <c r="AA29" s="5">
        <f>HLOOKUP(AA23,'2019'!$D$57:$AC$69,$A$25,FALSE)</f>
        <v>0</v>
      </c>
      <c r="AB29" s="5">
        <f>HLOOKUP(AB23,'2019'!$D$57:$AC$69,$A$25,FALSE)</f>
        <v>0</v>
      </c>
      <c r="AC29" s="5">
        <f t="shared" si="32"/>
        <v>2577</v>
      </c>
    </row>
    <row r="30" spans="1:58" x14ac:dyDescent="0.5">
      <c r="B30" s="14">
        <v>2018</v>
      </c>
      <c r="C30" s="5">
        <f>HLOOKUP(C23,'2018'!$D$57:$AC$69,$A$25,FALSE)</f>
        <v>0</v>
      </c>
      <c r="D30" s="5">
        <f>HLOOKUP(D23,'2018'!$D$57:$AC$69,$A$25,FALSE)</f>
        <v>7</v>
      </c>
      <c r="E30" s="5">
        <f>HLOOKUP(E23,'2018'!$D$57:$AC$69,$A$25,FALSE)</f>
        <v>15</v>
      </c>
      <c r="F30" s="5">
        <f>HLOOKUP(F23,'2018'!$D$57:$AC$69,$A$25,FALSE)</f>
        <v>332</v>
      </c>
      <c r="G30" s="5">
        <f>HLOOKUP(G23,'2018'!$D$57:$AC$69,$A$25,FALSE)</f>
        <v>42</v>
      </c>
      <c r="H30" s="5">
        <f>HLOOKUP(H23,'2018'!$D$57:$AC$69,$A$25,FALSE)</f>
        <v>9</v>
      </c>
      <c r="I30" s="5">
        <f>HLOOKUP(I23,'2018'!$D$57:$AC$69,$A$25,FALSE)</f>
        <v>184</v>
      </c>
      <c r="J30" s="5">
        <f>HLOOKUP(J23,'2018'!$D$57:$AC$69,$A$25,FALSE)</f>
        <v>77</v>
      </c>
      <c r="K30" s="5">
        <f>HLOOKUP(K23,'2018'!$D$57:$AC$69,$A$25,FALSE)</f>
        <v>27</v>
      </c>
      <c r="L30" s="5">
        <f>HLOOKUP(L23,'2018'!$D$57:$AC$69,$A$25,FALSE)</f>
        <v>67</v>
      </c>
      <c r="M30" s="5">
        <f>HLOOKUP(M23,'2018'!$D$57:$AC$69,$A$25,FALSE)</f>
        <v>11</v>
      </c>
      <c r="N30" s="5">
        <f>HLOOKUP(N23,'2018'!$D$57:$AC$69,$A$25,FALSE)</f>
        <v>0</v>
      </c>
      <c r="O30" s="5">
        <f>HLOOKUP(O23,'2018'!$D$57:$AC$69,$A$25,FALSE)</f>
        <v>5</v>
      </c>
      <c r="P30" s="5">
        <f>HLOOKUP(P23,'2018'!$D$57:$AC$69,$A$25,FALSE)</f>
        <v>13</v>
      </c>
      <c r="Q30" s="5">
        <f>HLOOKUP(Q23,'2018'!$D$57:$AC$69,$A$25,FALSE)</f>
        <v>4</v>
      </c>
      <c r="R30" s="5">
        <f>HLOOKUP(R23,'2018'!$D$57:$AC$69,$A$25,FALSE)</f>
        <v>316</v>
      </c>
      <c r="S30" s="5">
        <f>HLOOKUP(S23,'2018'!$D$57:$AC$69,$A$25,FALSE)</f>
        <v>12</v>
      </c>
      <c r="T30" s="5">
        <f>HLOOKUP(T23,'2018'!$D$57:$AC$69,$A$25,FALSE)</f>
        <v>45</v>
      </c>
      <c r="U30" s="5">
        <f>HLOOKUP(U23,'2018'!$D$57:$AC$69,$A$25,FALSE)</f>
        <v>15</v>
      </c>
      <c r="V30" s="5">
        <f>HLOOKUP(V23,'2018'!$D$57:$AC$69,$A$25,FALSE)</f>
        <v>187</v>
      </c>
      <c r="W30" s="5">
        <f>HLOOKUP(W23,'2018'!$D$57:$AC$69,$A$25,FALSE)</f>
        <v>33</v>
      </c>
      <c r="X30" s="5">
        <f>HLOOKUP(X23,'2018'!$D$57:$AC$69,$A$25,FALSE)</f>
        <v>11</v>
      </c>
      <c r="Y30" s="5">
        <f>HLOOKUP(Y23,'2018'!$D$57:$AC$69,$A$25,FALSE)</f>
        <v>154</v>
      </c>
      <c r="Z30" s="5">
        <f>HLOOKUP(Z23,'2018'!$D$57:$AC$69,$A$25,FALSE)</f>
        <v>118</v>
      </c>
      <c r="AA30" s="5">
        <f>HLOOKUP(AA23,'2018'!$D$57:$AC$69,$A$25,FALSE)</f>
        <v>0</v>
      </c>
      <c r="AB30" s="5">
        <f>HLOOKUP(AB23,'2018'!$D$57:$AC$69,$A$25,FALSE)</f>
        <v>0</v>
      </c>
      <c r="AC30" s="5">
        <f t="shared" si="32"/>
        <v>1684</v>
      </c>
    </row>
    <row r="31" spans="1:58" x14ac:dyDescent="0.5">
      <c r="B31" s="14">
        <v>2017</v>
      </c>
      <c r="C31" s="5">
        <f>HLOOKUP(C23,'2017'!$D$57:$AC$69,$A$25,FALSE)</f>
        <v>0</v>
      </c>
      <c r="D31" s="5">
        <f>HLOOKUP(D23,'2017'!$D$57:$AC$69,$A$25,FALSE)</f>
        <v>0</v>
      </c>
      <c r="E31" s="5">
        <f>HLOOKUP(E23,'2017'!$D$57:$AC$69,$A$25,FALSE)</f>
        <v>0</v>
      </c>
      <c r="F31" s="5">
        <f>HLOOKUP(F23,'2017'!$D$57:$AC$69,$A$25,FALSE)</f>
        <v>83</v>
      </c>
      <c r="G31" s="5">
        <f>HLOOKUP(G23,'2017'!$D$57:$AC$69,$A$25,FALSE)</f>
        <v>7</v>
      </c>
      <c r="H31" s="5">
        <f>HLOOKUP(H23,'2017'!$D$57:$AC$69,$A$25,FALSE)</f>
        <v>0</v>
      </c>
      <c r="I31" s="5">
        <f>HLOOKUP(I23,'2017'!$D$57:$AC$69,$A$25,FALSE)</f>
        <v>19</v>
      </c>
      <c r="J31" s="5">
        <f>HLOOKUP(J23,'2017'!$D$57:$AC$69,$A$25,FALSE)</f>
        <v>74</v>
      </c>
      <c r="K31" s="5">
        <f>HLOOKUP(K23,'2017'!$D$57:$AC$69,$A$25,FALSE)</f>
        <v>5</v>
      </c>
      <c r="L31" s="5">
        <f>HLOOKUP(L23,'2017'!$D$57:$AC$69,$A$25,FALSE)</f>
        <v>13</v>
      </c>
      <c r="M31" s="5">
        <f>HLOOKUP(M23,'2017'!$D$57:$AC$69,$A$25,FALSE)</f>
        <v>7</v>
      </c>
      <c r="N31" s="5">
        <f>HLOOKUP(N23,'2017'!$D$57:$AC$69,$A$25,FALSE)</f>
        <v>0</v>
      </c>
      <c r="O31" s="5">
        <f>HLOOKUP(O23,'2017'!$D$57:$AC$69,$A$25,FALSE)</f>
        <v>1</v>
      </c>
      <c r="P31" s="5">
        <f>HLOOKUP(P23,'2017'!$D$57:$AC$69,$A$25,FALSE)</f>
        <v>0</v>
      </c>
      <c r="Q31" s="5">
        <f>HLOOKUP(Q23,'2017'!$D$57:$AC$69,$A$25,FALSE)</f>
        <v>2</v>
      </c>
      <c r="R31" s="5">
        <f>HLOOKUP(R23,'2017'!$D$57:$AC$69,$A$25,FALSE)</f>
        <v>52</v>
      </c>
      <c r="S31" s="5">
        <f>HLOOKUP(S23,'2017'!$D$57:$AC$69,$A$25,FALSE)</f>
        <v>0</v>
      </c>
      <c r="T31" s="5">
        <f>HLOOKUP(T23,'2017'!$D$57:$AC$69,$A$25,FALSE)</f>
        <v>8</v>
      </c>
      <c r="U31" s="5">
        <f>HLOOKUP(U23,'2017'!$D$57:$AC$69,$A$25,FALSE)</f>
        <v>0</v>
      </c>
      <c r="V31" s="5">
        <f>HLOOKUP(V23,'2017'!$D$57:$AC$69,$A$25,FALSE)</f>
        <v>39</v>
      </c>
      <c r="W31" s="5">
        <f>HLOOKUP(W23,'2017'!$D$57:$AC$69,$A$25,FALSE)</f>
        <v>6</v>
      </c>
      <c r="X31" s="5">
        <f>HLOOKUP(X23,'2017'!$D$57:$AC$69,$A$25,FALSE)</f>
        <v>1</v>
      </c>
      <c r="Y31" s="5">
        <f>HLOOKUP(Y23,'2017'!$D$57:$AC$69,$A$25,FALSE)</f>
        <v>18</v>
      </c>
      <c r="Z31" s="5">
        <f>HLOOKUP(Z23,'2017'!$D$57:$AC$69,$A$25,FALSE)</f>
        <v>16</v>
      </c>
      <c r="AA31" s="5">
        <f>HLOOKUP(AA23,'2017'!$D$57:$AC$69,$A$25,FALSE)</f>
        <v>0</v>
      </c>
      <c r="AB31" s="5">
        <f>HLOOKUP(AB23,'2017'!$D$57:$AC$69,$A$25,FALSE)</f>
        <v>0</v>
      </c>
      <c r="AC31" s="5">
        <f t="shared" si="32"/>
        <v>351</v>
      </c>
    </row>
    <row r="34" spans="1:29" x14ac:dyDescent="0.5">
      <c r="A34" s="1" t="s">
        <v>41</v>
      </c>
      <c r="B34" s="14" t="s">
        <v>62</v>
      </c>
      <c r="C34" s="14" t="s">
        <v>20</v>
      </c>
      <c r="D34" s="14" t="s">
        <v>17</v>
      </c>
      <c r="E34" s="14" t="s">
        <v>16</v>
      </c>
      <c r="F34" s="14" t="s">
        <v>3</v>
      </c>
      <c r="G34" s="14" t="s">
        <v>14</v>
      </c>
      <c r="H34" s="14" t="s">
        <v>13</v>
      </c>
      <c r="I34" s="14" t="s">
        <v>11</v>
      </c>
      <c r="J34" s="14" t="s">
        <v>26</v>
      </c>
      <c r="K34" s="14" t="s">
        <v>9</v>
      </c>
      <c r="L34" s="14" t="s">
        <v>19</v>
      </c>
      <c r="M34" s="14" t="s">
        <v>27</v>
      </c>
      <c r="N34" s="14" t="s">
        <v>4</v>
      </c>
      <c r="O34" s="14" t="s">
        <v>25</v>
      </c>
      <c r="P34" s="14" t="s">
        <v>8</v>
      </c>
      <c r="Q34" s="14" t="s">
        <v>7</v>
      </c>
      <c r="R34" s="14" t="s">
        <v>18</v>
      </c>
      <c r="S34" s="14" t="s">
        <v>15</v>
      </c>
      <c r="T34" s="14" t="s">
        <v>12</v>
      </c>
      <c r="U34" s="14" t="s">
        <v>6</v>
      </c>
      <c r="V34" s="14" t="s">
        <v>21</v>
      </c>
      <c r="W34" s="14" t="s">
        <v>22</v>
      </c>
      <c r="X34" s="14" t="s">
        <v>5</v>
      </c>
      <c r="Y34" s="14" t="s">
        <v>23</v>
      </c>
      <c r="Z34" s="14" t="s">
        <v>24</v>
      </c>
      <c r="AA34" s="14" t="s">
        <v>10</v>
      </c>
      <c r="AB34" s="14" t="s">
        <v>2</v>
      </c>
    </row>
    <row r="35" spans="1:29" x14ac:dyDescent="0.5">
      <c r="A35" s="1"/>
      <c r="B35" s="14">
        <v>2024</v>
      </c>
      <c r="C35" s="5">
        <f>HLOOKUP(C34,'2024'!$D$57:$AC$69,$A$36,FALSE)</f>
        <v>268</v>
      </c>
      <c r="D35" s="5">
        <f>HLOOKUP(D34,'2024'!$D$57:$AC$69,$A$36,FALSE)</f>
        <v>2</v>
      </c>
      <c r="E35" s="5">
        <f>HLOOKUP(E34,'2024'!$D$57:$AC$69,$A$36,FALSE)</f>
        <v>32</v>
      </c>
      <c r="F35" s="5">
        <f>HLOOKUP(F34,'2024'!$D$57:$AC$69,$A$36,FALSE)</f>
        <v>470</v>
      </c>
      <c r="G35" s="5">
        <f>HLOOKUP(G34,'2024'!$D$57:$AC$69,$A$36,FALSE)</f>
        <v>126</v>
      </c>
      <c r="H35" s="5">
        <f>HLOOKUP(H34,'2024'!$D$57:$AC$69,$A$36,FALSE)</f>
        <v>52</v>
      </c>
      <c r="I35" s="5">
        <f>HLOOKUP(I34,'2024'!$D$57:$AC$69,$A$36,FALSE)</f>
        <v>101</v>
      </c>
      <c r="J35" s="5">
        <f>HLOOKUP(J34,'2024'!$D$57:$AC$69,$A$36,FALSE)</f>
        <v>25</v>
      </c>
      <c r="K35" s="5">
        <f>HLOOKUP(K34,'2024'!$D$57:$AC$69,$A$36,FALSE)</f>
        <v>18</v>
      </c>
      <c r="L35" s="5">
        <f>HLOOKUP(L34,'2024'!$D$57:$AC$69,$A$36,FALSE)</f>
        <v>199</v>
      </c>
      <c r="M35" s="5">
        <f>HLOOKUP(M34,'2024'!$D$57:$AC$69,$A$36,FALSE)</f>
        <v>19</v>
      </c>
      <c r="N35" s="5">
        <f>HLOOKUP(N34,'2024'!$D$57:$AC$69,$A$36,FALSE)</f>
        <v>338</v>
      </c>
      <c r="O35" s="5">
        <f>HLOOKUP(O34,'2024'!$D$57:$AC$69,$A$36,FALSE)</f>
        <v>48</v>
      </c>
      <c r="P35" s="5">
        <f>HLOOKUP(P34,'2024'!$D$57:$AC$69,$A$36,FALSE)</f>
        <v>44</v>
      </c>
      <c r="Q35" s="5">
        <f>HLOOKUP(Q34,'2024'!$D$57:$AC$69,$A$36,FALSE)</f>
        <v>4</v>
      </c>
      <c r="R35" s="5">
        <f>HLOOKUP(R34,'2024'!$D$57:$AC$69,$A$36,FALSE)</f>
        <v>85</v>
      </c>
      <c r="S35" s="5">
        <f>HLOOKUP(S34,'2024'!$D$57:$AC$69,$A$36,FALSE)</f>
        <v>27</v>
      </c>
      <c r="T35" s="5">
        <f>HLOOKUP(T34,'2024'!$D$57:$AC$69,$A$36,FALSE)</f>
        <v>132</v>
      </c>
      <c r="U35" s="5">
        <f>HLOOKUP(U34,'2024'!$D$57:$AC$69,$A$36,FALSE)</f>
        <v>98</v>
      </c>
      <c r="V35" s="5">
        <f>HLOOKUP(V34,'2024'!$D$57:$AC$69,$A$36,FALSE)</f>
        <v>126</v>
      </c>
      <c r="W35" s="5">
        <f>HLOOKUP(W34,'2024'!$D$57:$AC$69,$A$36,FALSE)</f>
        <v>83</v>
      </c>
      <c r="X35" s="5">
        <f>HLOOKUP(X34,'2024'!$D$57:$AC$69,$A$36,FALSE)</f>
        <v>12</v>
      </c>
      <c r="Y35" s="5">
        <f>HLOOKUP(Y34,'2024'!$D$57:$AC$69,$A$36,FALSE)</f>
        <v>138</v>
      </c>
      <c r="Z35" s="5">
        <f>HLOOKUP(Z34,'2024'!$D$57:$AC$69,$A$36,FALSE)</f>
        <v>77</v>
      </c>
      <c r="AA35" s="5">
        <f>HLOOKUP(AA34,'2024'!$D$57:$AC$69,$A$36,FALSE)</f>
        <v>141</v>
      </c>
      <c r="AB35" s="5">
        <f>HLOOKUP(AB34,'2024'!$D$57:$AC$69,$A$36,FALSE)</f>
        <v>814</v>
      </c>
      <c r="AC35" s="5">
        <f>SUM(C35:AB35)</f>
        <v>3479</v>
      </c>
    </row>
    <row r="36" spans="1:29" x14ac:dyDescent="0.5">
      <c r="A36" s="14">
        <v>12</v>
      </c>
      <c r="B36" s="14">
        <v>2023</v>
      </c>
      <c r="C36" s="5">
        <f>HLOOKUP(C34,'2023'!$D$57:$AC$69,$A$36,FALSE)</f>
        <v>203</v>
      </c>
      <c r="D36" s="5">
        <f>HLOOKUP(D34,'2023'!$D$57:$AC$69,$A$36,FALSE)</f>
        <v>7</v>
      </c>
      <c r="E36" s="5">
        <f>HLOOKUP(E34,'2023'!$D$57:$AC$69,$A$36,FALSE)</f>
        <v>16</v>
      </c>
      <c r="F36" s="5">
        <f>HLOOKUP(F34,'2023'!$D$57:$AC$69,$A$36,FALSE)</f>
        <v>450</v>
      </c>
      <c r="G36" s="5">
        <f>HLOOKUP(G34,'2023'!$D$57:$AC$69,$A$36,FALSE)</f>
        <v>115</v>
      </c>
      <c r="H36" s="5">
        <f>HLOOKUP(H34,'2023'!$D$57:$AC$69,$A$36,FALSE)</f>
        <v>32</v>
      </c>
      <c r="I36" s="5">
        <f>HLOOKUP(I34,'2023'!$D$57:$AC$69,$A$36,FALSE)</f>
        <v>110</v>
      </c>
      <c r="J36" s="5">
        <f>HLOOKUP(J34,'2023'!$D$57:$AC$69,$A$36,FALSE)</f>
        <v>8</v>
      </c>
      <c r="K36" s="5">
        <f>HLOOKUP(K34,'2023'!$D$57:$AC$69,$A$36,FALSE)</f>
        <v>14</v>
      </c>
      <c r="L36" s="5">
        <f>HLOOKUP(L34,'2023'!$D$57:$AC$69,$A$36,FALSE)</f>
        <v>179</v>
      </c>
      <c r="M36" s="5">
        <f>HLOOKUP(M34,'2023'!$D$57:$AC$69,$A$36,FALSE)</f>
        <v>4</v>
      </c>
      <c r="N36" s="5">
        <f>HLOOKUP(N34,'2023'!$D$57:$AC$69,$A$36,FALSE)</f>
        <v>282</v>
      </c>
      <c r="O36" s="5">
        <f>HLOOKUP(O34,'2023'!$D$57:$AC$69,$A$36,FALSE)</f>
        <v>17</v>
      </c>
      <c r="P36" s="5">
        <f>HLOOKUP(P34,'2023'!$D$57:$AC$69,$A$36,FALSE)</f>
        <v>46</v>
      </c>
      <c r="Q36" s="5">
        <f>HLOOKUP(Q34,'2023'!$D$57:$AC$69,$A$36,FALSE)</f>
        <v>2</v>
      </c>
      <c r="R36" s="5">
        <f>HLOOKUP(R34,'2023'!$D$57:$AC$69,$A$36,FALSE)</f>
        <v>89</v>
      </c>
      <c r="S36" s="5">
        <f>HLOOKUP(S34,'2023'!$D$57:$AC$69,$A$36,FALSE)</f>
        <v>8</v>
      </c>
      <c r="T36" s="5">
        <f>HLOOKUP(T34,'2023'!$D$57:$AC$69,$A$36,FALSE)</f>
        <v>144</v>
      </c>
      <c r="U36" s="5">
        <f>HLOOKUP(U34,'2023'!$D$57:$AC$69,$A$36,FALSE)</f>
        <v>91</v>
      </c>
      <c r="V36" s="5">
        <f>HLOOKUP(V34,'2023'!$D$57:$AC$69,$A$36,FALSE)</f>
        <v>126</v>
      </c>
      <c r="W36" s="5">
        <f>HLOOKUP(W34,'2023'!$D$57:$AC$69,$A$36,FALSE)</f>
        <v>60</v>
      </c>
      <c r="X36" s="5">
        <f>HLOOKUP(X34,'2023'!$D$57:$AC$69,$A$36,FALSE)</f>
        <v>7</v>
      </c>
      <c r="Y36" s="5">
        <f>HLOOKUP(Y34,'2023'!$D$57:$AC$69,$A$36,FALSE)</f>
        <v>93</v>
      </c>
      <c r="Z36" s="5">
        <f>HLOOKUP(Z34,'2023'!$D$57:$AC$69,$A$36,FALSE)</f>
        <v>105</v>
      </c>
      <c r="AA36" s="5">
        <f>HLOOKUP(AA34,'2023'!$D$57:$AC$69,$A$36,FALSE)</f>
        <v>68</v>
      </c>
      <c r="AB36" s="5">
        <f>HLOOKUP(AB34,'2023'!$D$57:$AC$69,$A$36,FALSE)</f>
        <v>549</v>
      </c>
      <c r="AC36" s="5">
        <f>SUM(C36:AB36)</f>
        <v>2825</v>
      </c>
    </row>
    <row r="37" spans="1:29" x14ac:dyDescent="0.5">
      <c r="B37" s="14">
        <v>2022</v>
      </c>
      <c r="C37" s="5">
        <f>HLOOKUP(C34,'2022'!$D$57:$AC$69,$A$36,FALSE)</f>
        <v>108</v>
      </c>
      <c r="D37" s="5">
        <f>HLOOKUP(D34,'2022'!$D$57:$AC$69,$A$36,FALSE)</f>
        <v>4</v>
      </c>
      <c r="E37" s="5">
        <f>HLOOKUP(E34,'2022'!$D$57:$AC$69,$A$36,FALSE)</f>
        <v>6</v>
      </c>
      <c r="F37" s="5">
        <f>HLOOKUP(F34,'2022'!$D$57:$AC$69,$A$36,FALSE)</f>
        <v>273</v>
      </c>
      <c r="G37" s="5">
        <f>HLOOKUP(G34,'2022'!$D$57:$AC$69,$A$36,FALSE)</f>
        <v>72</v>
      </c>
      <c r="H37" s="5">
        <f>HLOOKUP(H34,'2022'!$D$57:$AC$69,$A$36,FALSE)</f>
        <v>21</v>
      </c>
      <c r="I37" s="5">
        <f>HLOOKUP(I34,'2022'!$D$57:$AC$69,$A$36,FALSE)</f>
        <v>80</v>
      </c>
      <c r="J37" s="5">
        <f>HLOOKUP(J34,'2022'!$D$57:$AC$69,$A$36,FALSE)</f>
        <v>3</v>
      </c>
      <c r="K37" s="5">
        <f>HLOOKUP(K34,'2022'!$D$57:$AC$69,$A$36,FALSE)</f>
        <v>12</v>
      </c>
      <c r="L37" s="5">
        <f>HLOOKUP(L34,'2022'!$D$57:$AC$69,$A$36,FALSE)</f>
        <v>107</v>
      </c>
      <c r="M37" s="5">
        <f>HLOOKUP(M34,'2022'!$D$57:$AC$69,$A$36,FALSE)</f>
        <v>7</v>
      </c>
      <c r="N37" s="5">
        <f>HLOOKUP(N34,'2022'!$D$57:$AC$69,$A$36,FALSE)</f>
        <v>190</v>
      </c>
      <c r="O37" s="5">
        <f>HLOOKUP(O34,'2022'!$D$57:$AC$69,$A$36,FALSE)</f>
        <v>14</v>
      </c>
      <c r="P37" s="5">
        <f>HLOOKUP(P34,'2022'!$D$57:$AC$69,$A$36,FALSE)</f>
        <v>23</v>
      </c>
      <c r="Q37" s="5">
        <f>HLOOKUP(Q34,'2022'!$D$57:$AC$69,$A$36,FALSE)</f>
        <v>9</v>
      </c>
      <c r="R37" s="5">
        <f>HLOOKUP(R34,'2022'!$D$57:$AC$69,$A$36,FALSE)</f>
        <v>55</v>
      </c>
      <c r="S37" s="5">
        <f>HLOOKUP(S34,'2022'!$D$57:$AC$69,$A$36,FALSE)</f>
        <v>16</v>
      </c>
      <c r="T37" s="5">
        <f>HLOOKUP(T34,'2022'!$D$57:$AC$69,$A$36,FALSE)</f>
        <v>64</v>
      </c>
      <c r="U37" s="5">
        <f>HLOOKUP(U34,'2022'!$D$57:$AC$69,$A$36,FALSE)</f>
        <v>56</v>
      </c>
      <c r="V37" s="5">
        <f>HLOOKUP(V34,'2022'!$D$57:$AC$69,$A$36,FALSE)</f>
        <v>69</v>
      </c>
      <c r="W37" s="5">
        <f>HLOOKUP(W34,'2022'!$D$57:$AC$69,$A$36,FALSE)</f>
        <v>62</v>
      </c>
      <c r="X37" s="5">
        <f>HLOOKUP(X34,'2022'!$D$57:$AC$69,$A$36,FALSE)</f>
        <v>5</v>
      </c>
      <c r="Y37" s="5">
        <f>HLOOKUP(Y34,'2022'!$D$57:$AC$69,$A$36,FALSE)</f>
        <v>64</v>
      </c>
      <c r="Z37" s="5">
        <f>HLOOKUP(Z34,'2022'!$D$57:$AC$69,$A$36,FALSE)</f>
        <v>52</v>
      </c>
      <c r="AA37" s="5">
        <f>HLOOKUP(AA34,'2022'!$D$57:$AC$69,$A$36,FALSE)</f>
        <v>8</v>
      </c>
      <c r="AB37" s="5">
        <f>HLOOKUP(AB34,'2022'!$D$57:$AC$69,$A$36,FALSE)</f>
        <v>383</v>
      </c>
      <c r="AC37" s="5">
        <f t="shared" ref="AC37:AC42" si="33">SUM(C37:AB37)</f>
        <v>1763</v>
      </c>
    </row>
    <row r="38" spans="1:29" x14ac:dyDescent="0.5">
      <c r="B38" s="14">
        <v>2021</v>
      </c>
      <c r="C38" s="5">
        <f>HLOOKUP(C34,'2021'!$D$57:$AC$69,$A$36,FALSE)</f>
        <v>38</v>
      </c>
      <c r="D38" s="5">
        <f>HLOOKUP(D34,'2021'!$D$57:$AC$69,$A$36,FALSE)</f>
        <v>4</v>
      </c>
      <c r="E38" s="5">
        <f>HLOOKUP(E34,'2021'!$D$57:$AC$69,$A$36,FALSE)</f>
        <v>8</v>
      </c>
      <c r="F38" s="5">
        <f>HLOOKUP(F34,'2021'!$D$57:$AC$69,$A$36,FALSE)</f>
        <v>284</v>
      </c>
      <c r="G38" s="5">
        <f>HLOOKUP(G34,'2021'!$D$57:$AC$69,$A$36,FALSE)</f>
        <v>48</v>
      </c>
      <c r="H38" s="5">
        <f>HLOOKUP(H34,'2021'!$D$57:$AC$69,$A$36,FALSE)</f>
        <v>27</v>
      </c>
      <c r="I38" s="5">
        <f>HLOOKUP(I34,'2021'!$D$57:$AC$69,$A$36,FALSE)</f>
        <v>60</v>
      </c>
      <c r="J38" s="5">
        <f>HLOOKUP(J34,'2021'!$D$57:$AC$69,$A$36,FALSE)</f>
        <v>2</v>
      </c>
      <c r="K38" s="5">
        <f>HLOOKUP(K34,'2021'!$D$57:$AC$69,$A$36,FALSE)</f>
        <v>6</v>
      </c>
      <c r="L38" s="5">
        <f>HLOOKUP(L34,'2021'!$D$57:$AC$69,$A$36,FALSE)</f>
        <v>73</v>
      </c>
      <c r="M38" s="5">
        <f>HLOOKUP(M34,'2021'!$D$57:$AC$69,$A$36,FALSE)</f>
        <v>7</v>
      </c>
      <c r="N38" s="5">
        <f>HLOOKUP(N34,'2021'!$D$57:$AC$69,$A$36,FALSE)</f>
        <v>198</v>
      </c>
      <c r="O38" s="5">
        <f>HLOOKUP(O34,'2021'!$D$57:$AC$69,$A$36,FALSE)</f>
        <v>10</v>
      </c>
      <c r="P38" s="5">
        <f>HLOOKUP(P34,'2021'!$D$57:$AC$69,$A$36,FALSE)</f>
        <v>40</v>
      </c>
      <c r="Q38" s="5">
        <f>HLOOKUP(Q34,'2021'!$D$57:$AC$69,$A$36,FALSE)</f>
        <v>4</v>
      </c>
      <c r="R38" s="5">
        <f>HLOOKUP(R34,'2021'!$D$57:$AC$69,$A$36,FALSE)</f>
        <v>46</v>
      </c>
      <c r="S38" s="5">
        <f>HLOOKUP(S34,'2021'!$D$57:$AC$69,$A$36,FALSE)</f>
        <v>8</v>
      </c>
      <c r="T38" s="5">
        <f>HLOOKUP(T34,'2021'!$D$57:$AC$69,$A$36,FALSE)</f>
        <v>63</v>
      </c>
      <c r="U38" s="5">
        <f>HLOOKUP(U34,'2021'!$D$57:$AC$69,$A$36,FALSE)</f>
        <v>28</v>
      </c>
      <c r="V38" s="5">
        <f>HLOOKUP(V34,'2021'!$D$57:$AC$69,$A$36,FALSE)</f>
        <v>51</v>
      </c>
      <c r="W38" s="5">
        <f>HLOOKUP(W34,'2021'!$D$57:$AC$69,$A$36,FALSE)</f>
        <v>22</v>
      </c>
      <c r="X38" s="5">
        <f>HLOOKUP(X34,'2021'!$D$57:$AC$69,$A$36,FALSE)</f>
        <v>5</v>
      </c>
      <c r="Y38" s="5">
        <f>HLOOKUP(Y34,'2021'!$D$57:$AC$69,$A$36,FALSE)</f>
        <v>31</v>
      </c>
      <c r="Z38" s="5">
        <f>HLOOKUP(Z34,'2021'!$D$57:$AC$69,$A$36,FALSE)</f>
        <v>36</v>
      </c>
      <c r="AA38" s="5">
        <f>HLOOKUP(AA34,'2021'!$D$57:$AC$69,$A$36,FALSE)</f>
        <v>0</v>
      </c>
      <c r="AB38" s="5">
        <f>HLOOKUP(AB34,'2021'!$D$57:$AC$69,$A$36,FALSE)</f>
        <v>215</v>
      </c>
      <c r="AC38" s="5">
        <f t="shared" si="33"/>
        <v>1314</v>
      </c>
    </row>
    <row r="39" spans="1:29" x14ac:dyDescent="0.5">
      <c r="B39" s="14">
        <v>2020</v>
      </c>
      <c r="C39" s="5">
        <f>HLOOKUP(C34,'2020'!$D$57:$AC$69,$A$36,FALSE)</f>
        <v>0</v>
      </c>
      <c r="D39" s="5">
        <f>HLOOKUP(D34,'2020'!$D$57:$AC$69,$A$36,FALSE)</f>
        <v>3</v>
      </c>
      <c r="E39" s="5">
        <f>HLOOKUP(E34,'2020'!$D$57:$AC$69,$A$36,FALSE)</f>
        <v>3</v>
      </c>
      <c r="F39" s="5">
        <f>HLOOKUP(F34,'2020'!$D$57:$AC$69,$A$36,FALSE)</f>
        <v>160</v>
      </c>
      <c r="G39" s="5">
        <f>HLOOKUP(G34,'2020'!$D$57:$AC$69,$A$36,FALSE)</f>
        <v>11</v>
      </c>
      <c r="H39" s="5">
        <f>HLOOKUP(H34,'2020'!$D$57:$AC$69,$A$36,FALSE)</f>
        <v>11</v>
      </c>
      <c r="I39" s="5">
        <f>HLOOKUP(I34,'2020'!$D$57:$AC$69,$A$36,FALSE)</f>
        <v>40</v>
      </c>
      <c r="J39" s="5">
        <f>HLOOKUP(J34,'2020'!$D$57:$AC$69,$A$36,FALSE)</f>
        <v>1</v>
      </c>
      <c r="K39" s="5">
        <f>HLOOKUP(K34,'2020'!$D$57:$AC$69,$A$36,FALSE)</f>
        <v>3</v>
      </c>
      <c r="L39" s="5">
        <f>HLOOKUP(L34,'2020'!$D$57:$AC$69,$A$36,FALSE)</f>
        <v>54</v>
      </c>
      <c r="M39" s="5">
        <f>HLOOKUP(M34,'2020'!$D$57:$AC$69,$A$36,FALSE)</f>
        <v>2</v>
      </c>
      <c r="N39" s="5">
        <f>HLOOKUP(N34,'2020'!$D$57:$AC$69,$A$36,FALSE)</f>
        <v>146</v>
      </c>
      <c r="O39" s="5">
        <f>HLOOKUP(O34,'2020'!$D$57:$AC$69,$A$36,FALSE)</f>
        <v>0</v>
      </c>
      <c r="P39" s="5">
        <f>HLOOKUP(P34,'2020'!$D$57:$AC$69,$A$36,FALSE)</f>
        <v>30</v>
      </c>
      <c r="Q39" s="5">
        <f>HLOOKUP(Q34,'2020'!$D$57:$AC$69,$A$36,FALSE)</f>
        <v>8</v>
      </c>
      <c r="R39" s="5">
        <f>HLOOKUP(R34,'2020'!$D$57:$AC$69,$A$36,FALSE)</f>
        <v>40</v>
      </c>
      <c r="S39" s="5">
        <f>HLOOKUP(S34,'2020'!$D$57:$AC$69,$A$36,FALSE)</f>
        <v>2</v>
      </c>
      <c r="T39" s="5">
        <f>HLOOKUP(T34,'2020'!$D$57:$AC$69,$A$36,FALSE)</f>
        <v>19</v>
      </c>
      <c r="U39" s="5">
        <f>HLOOKUP(U34,'2020'!$D$57:$AC$69,$A$36,FALSE)</f>
        <v>11</v>
      </c>
      <c r="V39" s="5">
        <f>HLOOKUP(V34,'2020'!$D$57:$AC$69,$A$36,FALSE)</f>
        <v>29</v>
      </c>
      <c r="W39" s="5">
        <f>HLOOKUP(W34,'2020'!$D$57:$AC$69,$A$36,FALSE)</f>
        <v>13</v>
      </c>
      <c r="X39" s="5">
        <f>HLOOKUP(X34,'2020'!$D$57:$AC$69,$A$36,FALSE)</f>
        <v>8</v>
      </c>
      <c r="Y39" s="5">
        <f>HLOOKUP(Y34,'2020'!$D$57:$AC$69,$A$36,FALSE)</f>
        <v>27</v>
      </c>
      <c r="Z39" s="5">
        <f>HLOOKUP(Z34,'2020'!$D$57:$AC$69,$A$36,FALSE)</f>
        <v>56</v>
      </c>
      <c r="AA39" s="5">
        <f>HLOOKUP(AA34,'2020'!$D$57:$AC$69,$A$36,FALSE)</f>
        <v>0</v>
      </c>
      <c r="AB39" s="5">
        <f>HLOOKUP(AB34,'2020'!$D$57:$AC$69,$A$36,FALSE)</f>
        <v>41</v>
      </c>
      <c r="AC39" s="5">
        <f t="shared" si="33"/>
        <v>718</v>
      </c>
    </row>
    <row r="40" spans="1:29" x14ac:dyDescent="0.5">
      <c r="B40" s="14">
        <v>2019</v>
      </c>
      <c r="C40" s="5">
        <f>HLOOKUP(C34,'2019'!$D$57:$AC$69,$A$36,FALSE)</f>
        <v>0</v>
      </c>
      <c r="D40" s="5">
        <f>HLOOKUP(D34,'2019'!$D$57:$AC$69,$A$36,FALSE)</f>
        <v>4</v>
      </c>
      <c r="E40" s="5">
        <f>HLOOKUP(E34,'2019'!$D$57:$AC$69,$A$36,FALSE)</f>
        <v>4</v>
      </c>
      <c r="F40" s="5">
        <f>HLOOKUP(F34,'2019'!$D$57:$AC$69,$A$36,FALSE)</f>
        <v>65</v>
      </c>
      <c r="G40" s="5">
        <f>HLOOKUP(G34,'2019'!$D$57:$AC$69,$A$36,FALSE)</f>
        <v>1</v>
      </c>
      <c r="H40" s="5">
        <f>HLOOKUP(H34,'2019'!$D$57:$AC$69,$A$36,FALSE)</f>
        <v>4</v>
      </c>
      <c r="I40" s="5">
        <f>HLOOKUP(I34,'2019'!$D$57:$AC$69,$A$36,FALSE)</f>
        <v>23</v>
      </c>
      <c r="J40" s="5">
        <f>HLOOKUP(J34,'2019'!$D$57:$AC$69,$A$36,FALSE)</f>
        <v>1</v>
      </c>
      <c r="K40" s="5">
        <f>HLOOKUP(K34,'2019'!$D$57:$AC$69,$A$36,FALSE)</f>
        <v>3</v>
      </c>
      <c r="L40" s="5">
        <f>HLOOKUP(L34,'2019'!$D$57:$AC$69,$A$36,FALSE)</f>
        <v>28</v>
      </c>
      <c r="M40" s="5">
        <f>HLOOKUP(M34,'2019'!$D$57:$AC$69,$A$36,FALSE)</f>
        <v>3</v>
      </c>
      <c r="N40" s="5">
        <f>HLOOKUP(N34,'2019'!$D$57:$AC$69,$A$36,FALSE)</f>
        <v>46</v>
      </c>
      <c r="O40" s="5">
        <f>HLOOKUP(O34,'2019'!$D$57:$AC$69,$A$36,FALSE)</f>
        <v>3</v>
      </c>
      <c r="P40" s="5">
        <f>HLOOKUP(P34,'2019'!$D$57:$AC$69,$A$36,FALSE)</f>
        <v>17</v>
      </c>
      <c r="Q40" s="5">
        <f>HLOOKUP(Q34,'2019'!$D$57:$AC$69,$A$36,FALSE)</f>
        <v>6</v>
      </c>
      <c r="R40" s="5">
        <f>HLOOKUP(R34,'2019'!$D$57:$AC$69,$A$36,FALSE)</f>
        <v>28</v>
      </c>
      <c r="S40" s="5">
        <f>HLOOKUP(S34,'2019'!$D$57:$AC$69,$A$36,FALSE)</f>
        <v>2</v>
      </c>
      <c r="T40" s="5">
        <f>HLOOKUP(T34,'2019'!$D$57:$AC$69,$A$36,FALSE)</f>
        <v>19</v>
      </c>
      <c r="U40" s="5">
        <f>HLOOKUP(U34,'2019'!$D$57:$AC$69,$A$36,FALSE)</f>
        <v>7</v>
      </c>
      <c r="V40" s="5">
        <f>HLOOKUP(V34,'2019'!$D$57:$AC$69,$A$36,FALSE)</f>
        <v>29</v>
      </c>
      <c r="W40" s="5">
        <f>HLOOKUP(W34,'2019'!$D$57:$AC$69,$A$36,FALSE)</f>
        <v>9</v>
      </c>
      <c r="X40" s="5">
        <f>HLOOKUP(X34,'2019'!$D$57:$AC$69,$A$36,FALSE)</f>
        <v>8</v>
      </c>
      <c r="Y40" s="5">
        <f>HLOOKUP(Y34,'2019'!$D$57:$AC$69,$A$36,FALSE)</f>
        <v>19</v>
      </c>
      <c r="Z40" s="5">
        <f>HLOOKUP(Z34,'2019'!$D$57:$AC$69,$A$36,FALSE)</f>
        <v>16</v>
      </c>
      <c r="AA40" s="5">
        <f>HLOOKUP(AA34,'2019'!$D$57:$AC$69,$A$36,FALSE)</f>
        <v>0</v>
      </c>
      <c r="AB40" s="5">
        <f>HLOOKUP(AB34,'2019'!$D$57:$AC$69,$A$36,FALSE)</f>
        <v>0</v>
      </c>
      <c r="AC40" s="5">
        <f t="shared" si="33"/>
        <v>345</v>
      </c>
    </row>
    <row r="41" spans="1:29" x14ac:dyDescent="0.5">
      <c r="B41" s="14">
        <v>2018</v>
      </c>
      <c r="C41" s="5">
        <f>HLOOKUP(C34,'2018'!$D$57:$AC$69,$A$36,FALSE)</f>
        <v>0</v>
      </c>
      <c r="D41" s="5">
        <f>HLOOKUP(D34,'2018'!$D$57:$AC$69,$A$36,FALSE)</f>
        <v>4</v>
      </c>
      <c r="E41" s="5">
        <f>HLOOKUP(E34,'2018'!$D$57:$AC$69,$A$36,FALSE)</f>
        <v>3</v>
      </c>
      <c r="F41" s="5">
        <f>HLOOKUP(F34,'2018'!$D$57:$AC$69,$A$36,FALSE)</f>
        <v>58</v>
      </c>
      <c r="G41" s="5">
        <f>HLOOKUP(G34,'2018'!$D$57:$AC$69,$A$36,FALSE)</f>
        <v>1</v>
      </c>
      <c r="H41" s="5">
        <f>HLOOKUP(H34,'2018'!$D$57:$AC$69,$A$36,FALSE)</f>
        <v>1</v>
      </c>
      <c r="I41" s="5">
        <f>HLOOKUP(I34,'2018'!$D$57:$AC$69,$A$36,FALSE)</f>
        <v>7</v>
      </c>
      <c r="J41" s="5">
        <f>HLOOKUP(J34,'2018'!$D$57:$AC$69,$A$36,FALSE)</f>
        <v>0</v>
      </c>
      <c r="K41" s="5">
        <f>HLOOKUP(K34,'2018'!$D$57:$AC$69,$A$36,FALSE)</f>
        <v>3</v>
      </c>
      <c r="L41" s="5">
        <f>HLOOKUP(L34,'2018'!$D$57:$AC$69,$A$36,FALSE)</f>
        <v>30</v>
      </c>
      <c r="M41" s="5">
        <f>HLOOKUP(M34,'2018'!$D$57:$AC$69,$A$36,FALSE)</f>
        <v>2</v>
      </c>
      <c r="N41" s="5">
        <f>HLOOKUP(N34,'2018'!$D$57:$AC$69,$A$36,FALSE)</f>
        <v>0</v>
      </c>
      <c r="O41" s="5">
        <f>HLOOKUP(O34,'2018'!$D$57:$AC$69,$A$36,FALSE)</f>
        <v>1</v>
      </c>
      <c r="P41" s="5">
        <f>HLOOKUP(P34,'2018'!$D$57:$AC$69,$A$36,FALSE)</f>
        <v>9</v>
      </c>
      <c r="Q41" s="5">
        <f>HLOOKUP(Q34,'2018'!$D$57:$AC$69,$A$36,FALSE)</f>
        <v>3</v>
      </c>
      <c r="R41" s="5">
        <f>HLOOKUP(R34,'2018'!$D$57:$AC$69,$A$36,FALSE)</f>
        <v>14</v>
      </c>
      <c r="S41" s="5">
        <f>HLOOKUP(S34,'2018'!$D$57:$AC$69,$A$36,FALSE)</f>
        <v>2</v>
      </c>
      <c r="T41" s="5">
        <f>HLOOKUP(T34,'2018'!$D$57:$AC$69,$A$36,FALSE)</f>
        <v>11</v>
      </c>
      <c r="U41" s="5">
        <f>HLOOKUP(U34,'2018'!$D$57:$AC$69,$A$36,FALSE)</f>
        <v>5</v>
      </c>
      <c r="V41" s="5">
        <f>HLOOKUP(V34,'2018'!$D$57:$AC$69,$A$36,FALSE)</f>
        <v>12</v>
      </c>
      <c r="W41" s="5">
        <f>HLOOKUP(W34,'2018'!$D$57:$AC$69,$A$36,FALSE)</f>
        <v>7</v>
      </c>
      <c r="X41" s="5">
        <f>HLOOKUP(X34,'2018'!$D$57:$AC$69,$A$36,FALSE)</f>
        <v>2</v>
      </c>
      <c r="Y41" s="5">
        <f>HLOOKUP(Y34,'2018'!$D$57:$AC$69,$A$36,FALSE)</f>
        <v>9</v>
      </c>
      <c r="Z41" s="5">
        <f>HLOOKUP(Z34,'2018'!$D$57:$AC$69,$A$36,FALSE)</f>
        <v>17</v>
      </c>
      <c r="AA41" s="5">
        <f>HLOOKUP(AA34,'2018'!$D$57:$AC$69,$A$36,FALSE)</f>
        <v>0</v>
      </c>
      <c r="AB41" s="5">
        <f>HLOOKUP(AB34,'2018'!$D$57:$AC$69,$A$36,FALSE)</f>
        <v>0</v>
      </c>
      <c r="AC41" s="5">
        <f t="shared" si="33"/>
        <v>201</v>
      </c>
    </row>
    <row r="42" spans="1:29" x14ac:dyDescent="0.5">
      <c r="B42" s="14">
        <v>2017</v>
      </c>
      <c r="C42" s="5">
        <f>HLOOKUP(C34,'2017'!$D$57:$AC$69,$A$36,FALSE)</f>
        <v>0</v>
      </c>
      <c r="D42" s="5">
        <f>HLOOKUP(D34,'2017'!$D$57:$AC$69,$A$36,FALSE)</f>
        <v>0</v>
      </c>
      <c r="E42" s="5">
        <f>HLOOKUP(E34,'2017'!$D$57:$AC$69,$A$36,FALSE)</f>
        <v>0</v>
      </c>
      <c r="F42" s="5">
        <f>HLOOKUP(F34,'2017'!$D$57:$AC$69,$A$36,FALSE)</f>
        <v>15</v>
      </c>
      <c r="G42" s="5">
        <f>HLOOKUP(G34,'2017'!$D$57:$AC$69,$A$36,FALSE)</f>
        <v>0</v>
      </c>
      <c r="H42" s="5">
        <f>HLOOKUP(H34,'2017'!$D$57:$AC$69,$A$36,FALSE)</f>
        <v>0</v>
      </c>
      <c r="I42" s="5">
        <f>HLOOKUP(I34,'2017'!$D$57:$AC$69,$A$36,FALSE)</f>
        <v>6</v>
      </c>
      <c r="J42" s="5">
        <f>HLOOKUP(J34,'2017'!$D$57:$AC$69,$A$36,FALSE)</f>
        <v>0</v>
      </c>
      <c r="K42" s="5">
        <f>HLOOKUP(K34,'2017'!$D$57:$AC$69,$A$36,FALSE)</f>
        <v>0</v>
      </c>
      <c r="L42" s="5">
        <f>HLOOKUP(L34,'2017'!$D$57:$AC$69,$A$36,FALSE)</f>
        <v>9</v>
      </c>
      <c r="M42" s="5">
        <f>HLOOKUP(M34,'2017'!$D$57:$AC$69,$A$36,FALSE)</f>
        <v>1</v>
      </c>
      <c r="N42" s="5">
        <f>HLOOKUP(N34,'2017'!$D$57:$AC$69,$A$36,FALSE)</f>
        <v>0</v>
      </c>
      <c r="O42" s="5">
        <f>HLOOKUP(O34,'2017'!$D$57:$AC$69,$A$36,FALSE)</f>
        <v>0</v>
      </c>
      <c r="P42" s="5">
        <f>HLOOKUP(P34,'2017'!$D$57:$AC$69,$A$36,FALSE)</f>
        <v>1</v>
      </c>
      <c r="Q42" s="5">
        <f>HLOOKUP(Q34,'2017'!$D$57:$AC$69,$A$36,FALSE)</f>
        <v>2</v>
      </c>
      <c r="R42" s="5">
        <f>HLOOKUP(R34,'2017'!$D$57:$AC$69,$A$36,FALSE)</f>
        <v>7</v>
      </c>
      <c r="S42" s="5">
        <f>HLOOKUP(S34,'2017'!$D$57:$AC$69,$A$36,FALSE)</f>
        <v>0</v>
      </c>
      <c r="T42" s="5">
        <f>HLOOKUP(T34,'2017'!$D$57:$AC$69,$A$36,FALSE)</f>
        <v>1</v>
      </c>
      <c r="U42" s="5">
        <f>HLOOKUP(U34,'2017'!$D$57:$AC$69,$A$36,FALSE)</f>
        <v>0</v>
      </c>
      <c r="V42" s="5">
        <f>HLOOKUP(V34,'2017'!$D$57:$AC$69,$A$36,FALSE)</f>
        <v>7</v>
      </c>
      <c r="W42" s="5">
        <f>HLOOKUP(W34,'2017'!$D$57:$AC$69,$A$36,FALSE)</f>
        <v>1</v>
      </c>
      <c r="X42" s="5">
        <f>HLOOKUP(X34,'2017'!$D$57:$AC$69,$A$36,FALSE)</f>
        <v>2</v>
      </c>
      <c r="Y42" s="5">
        <f>HLOOKUP(Y34,'2017'!$D$57:$AC$69,$A$36,FALSE)</f>
        <v>1</v>
      </c>
      <c r="Z42" s="5">
        <f>HLOOKUP(Z34,'2017'!$D$57:$AC$69,$A$36,FALSE)</f>
        <v>3</v>
      </c>
      <c r="AA42" s="5">
        <f>HLOOKUP(AA34,'2017'!$D$57:$AC$69,$A$36,FALSE)</f>
        <v>0</v>
      </c>
      <c r="AB42" s="5">
        <f>HLOOKUP(AB34,'2017'!$D$57:$AC$69,$A$36,FALSE)</f>
        <v>0</v>
      </c>
      <c r="AC42" s="5">
        <f t="shared" si="33"/>
        <v>56</v>
      </c>
    </row>
    <row r="50" spans="1:37" x14ac:dyDescent="0.5">
      <c r="A50" s="1"/>
    </row>
    <row r="51" spans="1:37" x14ac:dyDescent="0.5">
      <c r="A51" s="1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f>SUM(C51:AB51)</f>
        <v>0</v>
      </c>
    </row>
    <row r="52" spans="1:37" x14ac:dyDescent="0.5"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f>SUM(C52:AB52)</f>
        <v>0</v>
      </c>
      <c r="AE52" s="5">
        <v>226620.55600000001</v>
      </c>
      <c r="AG52" s="14">
        <f>AE52/AC25</f>
        <v>11.350323349694481</v>
      </c>
    </row>
    <row r="53" spans="1:37" x14ac:dyDescent="0.5"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f t="shared" ref="AC53:AC58" si="34">SUM(C53:AB53)</f>
        <v>0</v>
      </c>
      <c r="AE53" s="5">
        <v>139694.5626</v>
      </c>
      <c r="AG53" s="14">
        <f>AE53/AC26</f>
        <v>10.936707320128397</v>
      </c>
    </row>
    <row r="54" spans="1:37" x14ac:dyDescent="0.5"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f t="shared" si="34"/>
        <v>0</v>
      </c>
      <c r="AE54" s="5">
        <v>91832.520999999004</v>
      </c>
      <c r="AG54" s="14">
        <f>AE54/AC27</f>
        <v>10.01882184158837</v>
      </c>
    </row>
    <row r="55" spans="1:37" x14ac:dyDescent="0.5"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f t="shared" si="34"/>
        <v>0</v>
      </c>
      <c r="AE55" s="5">
        <v>46980.71</v>
      </c>
      <c r="AG55" s="14">
        <f>AE55/AC28</f>
        <v>9.8162787296280811</v>
      </c>
    </row>
    <row r="56" spans="1:37" x14ac:dyDescent="0.5"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f t="shared" si="34"/>
        <v>0</v>
      </c>
      <c r="AE56" s="5">
        <v>24265.078000000001</v>
      </c>
      <c r="AG56" s="14">
        <f>AE56/AC29</f>
        <v>9.4160178502134269</v>
      </c>
    </row>
    <row r="57" spans="1:37" x14ac:dyDescent="0.5"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f t="shared" si="34"/>
        <v>0</v>
      </c>
      <c r="AE57" s="5">
        <v>16757.080000000002</v>
      </c>
      <c r="AG57" s="14">
        <f>AE57/AC30</f>
        <v>9.9507600950118782</v>
      </c>
    </row>
    <row r="58" spans="1:37" x14ac:dyDescent="0.5"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f t="shared" si="34"/>
        <v>0</v>
      </c>
      <c r="AE58" s="5">
        <v>9734.2819999999992</v>
      </c>
      <c r="AG58" s="14">
        <f>AE58/AC31</f>
        <v>27.73299715099715</v>
      </c>
    </row>
    <row r="60" spans="1:37" x14ac:dyDescent="0.5">
      <c r="AE60" s="5"/>
      <c r="AF60" s="5"/>
      <c r="AG60" s="5"/>
      <c r="AH60" s="5"/>
      <c r="AI60" s="5"/>
      <c r="AJ60" s="5"/>
      <c r="AK60" s="5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8042D-1A78-4730-93F0-48749CD5D4BC}">
  <dimension ref="A1:AC71"/>
  <sheetViews>
    <sheetView topLeftCell="A35" zoomScaleNormal="100" workbookViewId="0">
      <selection activeCell="D66" sqref="D66"/>
    </sheetView>
  </sheetViews>
  <sheetFormatPr defaultRowHeight="14.4" x14ac:dyDescent="0.55000000000000004"/>
  <cols>
    <col min="1" max="1" width="35.47265625" bestFit="1" customWidth="1"/>
    <col min="2" max="2" width="4.7890625" bestFit="1" customWidth="1"/>
  </cols>
  <sheetData>
    <row r="1" spans="1:29" x14ac:dyDescent="0.55000000000000004">
      <c r="A1" s="1" t="s">
        <v>37</v>
      </c>
      <c r="B1" s="2"/>
    </row>
    <row r="2" spans="1:29" x14ac:dyDescent="0.55000000000000004">
      <c r="A2" s="1" t="s">
        <v>28</v>
      </c>
      <c r="B2" s="1" t="s">
        <v>40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11</v>
      </c>
      <c r="N2" s="4" t="s">
        <v>12</v>
      </c>
      <c r="O2" s="4" t="s">
        <v>13</v>
      </c>
      <c r="P2" s="4" t="s">
        <v>14</v>
      </c>
      <c r="Q2" s="4" t="s">
        <v>15</v>
      </c>
      <c r="R2" s="4" t="s">
        <v>16</v>
      </c>
      <c r="S2" s="4" t="s">
        <v>17</v>
      </c>
      <c r="T2" s="4" t="s">
        <v>18</v>
      </c>
      <c r="U2" s="4" t="s">
        <v>19</v>
      </c>
      <c r="V2" s="4" t="s">
        <v>20</v>
      </c>
      <c r="W2" s="4" t="s">
        <v>21</v>
      </c>
      <c r="X2" s="4" t="s">
        <v>22</v>
      </c>
      <c r="Y2" s="4" t="s">
        <v>23</v>
      </c>
      <c r="Z2" s="4" t="s">
        <v>24</v>
      </c>
      <c r="AA2" s="4" t="s">
        <v>25</v>
      </c>
      <c r="AB2" s="4" t="s">
        <v>26</v>
      </c>
      <c r="AC2" s="4" t="s">
        <v>27</v>
      </c>
    </row>
    <row r="3" spans="1:29" x14ac:dyDescent="0.55000000000000004">
      <c r="A3" s="2" t="s">
        <v>44</v>
      </c>
      <c r="B3" s="3" t="s">
        <v>55</v>
      </c>
      <c r="C3" s="15">
        <v>138</v>
      </c>
      <c r="D3" s="15">
        <v>0</v>
      </c>
      <c r="E3" s="15">
        <v>0</v>
      </c>
      <c r="F3" s="15">
        <v>4</v>
      </c>
      <c r="G3" s="15">
        <v>1</v>
      </c>
      <c r="H3" s="15">
        <v>5</v>
      </c>
      <c r="I3" s="15">
        <v>2</v>
      </c>
      <c r="J3" s="15">
        <v>0</v>
      </c>
      <c r="K3" s="15">
        <v>7</v>
      </c>
      <c r="L3" s="15">
        <v>0</v>
      </c>
      <c r="M3" s="15">
        <v>9</v>
      </c>
      <c r="N3" s="15">
        <v>6</v>
      </c>
      <c r="O3" s="15">
        <v>0</v>
      </c>
      <c r="P3" s="15">
        <v>9</v>
      </c>
      <c r="Q3" s="15">
        <v>4</v>
      </c>
      <c r="R3" s="15">
        <v>5</v>
      </c>
      <c r="S3" s="15">
        <v>0</v>
      </c>
      <c r="T3" s="15">
        <v>4</v>
      </c>
      <c r="U3" s="15">
        <v>24</v>
      </c>
      <c r="V3" s="15">
        <v>14</v>
      </c>
      <c r="W3" s="15">
        <v>10</v>
      </c>
      <c r="X3" s="15">
        <v>14</v>
      </c>
      <c r="Y3" s="15">
        <v>11</v>
      </c>
      <c r="Z3" s="15">
        <v>5</v>
      </c>
      <c r="AA3" s="15">
        <v>0</v>
      </c>
      <c r="AB3" s="15">
        <v>0</v>
      </c>
      <c r="AC3" s="15">
        <v>4</v>
      </c>
    </row>
    <row r="4" spans="1:29" x14ac:dyDescent="0.55000000000000004">
      <c r="A4" s="2" t="s">
        <v>30</v>
      </c>
      <c r="B4" s="3" t="s">
        <v>55</v>
      </c>
      <c r="C4" s="15">
        <v>406</v>
      </c>
      <c r="D4" s="15">
        <v>0</v>
      </c>
      <c r="E4" s="15">
        <v>126</v>
      </c>
      <c r="F4" s="15">
        <v>8</v>
      </c>
      <c r="G4" s="15">
        <v>1</v>
      </c>
      <c r="H4" s="15">
        <v>0</v>
      </c>
      <c r="I4" s="15">
        <v>0</v>
      </c>
      <c r="J4" s="15">
        <v>0</v>
      </c>
      <c r="K4" s="15">
        <v>4</v>
      </c>
      <c r="L4" s="15">
        <v>0</v>
      </c>
      <c r="M4" s="15">
        <v>15</v>
      </c>
      <c r="N4" s="15">
        <v>20</v>
      </c>
      <c r="O4" s="15">
        <v>6</v>
      </c>
      <c r="P4" s="15">
        <v>11</v>
      </c>
      <c r="Q4" s="15">
        <v>8</v>
      </c>
      <c r="R4" s="15">
        <v>1</v>
      </c>
      <c r="S4" s="15">
        <v>1</v>
      </c>
      <c r="T4" s="15">
        <v>0</v>
      </c>
      <c r="U4" s="15">
        <v>28</v>
      </c>
      <c r="V4" s="15">
        <v>15</v>
      </c>
      <c r="W4" s="15">
        <v>15</v>
      </c>
      <c r="X4" s="15">
        <v>9</v>
      </c>
      <c r="Y4" s="15">
        <v>70</v>
      </c>
      <c r="Z4" s="15">
        <v>15</v>
      </c>
      <c r="AA4" s="15">
        <v>42</v>
      </c>
      <c r="AB4" s="15">
        <v>0</v>
      </c>
      <c r="AC4" s="15">
        <v>11</v>
      </c>
    </row>
    <row r="5" spans="1:29" x14ac:dyDescent="0.55000000000000004">
      <c r="A5" s="2" t="s">
        <v>31</v>
      </c>
      <c r="B5" s="3" t="s">
        <v>55</v>
      </c>
      <c r="C5" s="15">
        <v>2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1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1</v>
      </c>
      <c r="Z5" s="15">
        <v>0</v>
      </c>
      <c r="AA5" s="15">
        <v>0</v>
      </c>
      <c r="AB5" s="15">
        <v>0</v>
      </c>
      <c r="AC5" s="15">
        <v>0</v>
      </c>
    </row>
    <row r="6" spans="1:29" x14ac:dyDescent="0.55000000000000004">
      <c r="A6" s="2" t="s">
        <v>32</v>
      </c>
      <c r="B6" s="3" t="s">
        <v>55</v>
      </c>
      <c r="C6" s="15">
        <v>13708</v>
      </c>
      <c r="D6" s="15">
        <v>1651</v>
      </c>
      <c r="E6" s="15">
        <v>1780</v>
      </c>
      <c r="F6" s="15">
        <v>403</v>
      </c>
      <c r="G6" s="15">
        <v>14</v>
      </c>
      <c r="H6" s="15">
        <v>168</v>
      </c>
      <c r="I6" s="15">
        <v>8</v>
      </c>
      <c r="J6" s="15">
        <v>23</v>
      </c>
      <c r="K6" s="15">
        <v>135</v>
      </c>
      <c r="L6" s="15">
        <v>64</v>
      </c>
      <c r="M6" s="15">
        <v>629</v>
      </c>
      <c r="N6" s="15">
        <v>698</v>
      </c>
      <c r="O6" s="15">
        <v>176</v>
      </c>
      <c r="P6" s="15">
        <v>898</v>
      </c>
      <c r="Q6" s="15">
        <v>107</v>
      </c>
      <c r="R6" s="15">
        <v>173</v>
      </c>
      <c r="S6" s="15">
        <v>23</v>
      </c>
      <c r="T6" s="15">
        <v>719</v>
      </c>
      <c r="U6" s="15">
        <v>257</v>
      </c>
      <c r="V6" s="15">
        <v>1340</v>
      </c>
      <c r="W6" s="15">
        <v>510</v>
      </c>
      <c r="X6" s="15">
        <v>946</v>
      </c>
      <c r="Y6" s="15">
        <v>1119</v>
      </c>
      <c r="Z6" s="15">
        <v>717</v>
      </c>
      <c r="AA6" s="15">
        <v>387</v>
      </c>
      <c r="AB6" s="15">
        <v>621</v>
      </c>
      <c r="AC6" s="15">
        <v>142</v>
      </c>
    </row>
    <row r="7" spans="1:29" x14ac:dyDescent="0.55000000000000004">
      <c r="A7" s="2" t="s">
        <v>33</v>
      </c>
      <c r="B7" s="3" t="s">
        <v>55</v>
      </c>
      <c r="C7" s="15">
        <v>4045</v>
      </c>
      <c r="D7" s="15">
        <v>1139</v>
      </c>
      <c r="E7" s="15">
        <v>324</v>
      </c>
      <c r="F7" s="15">
        <v>344</v>
      </c>
      <c r="G7" s="15">
        <v>1</v>
      </c>
      <c r="H7" s="15">
        <v>42</v>
      </c>
      <c r="I7" s="15">
        <v>5</v>
      </c>
      <c r="J7" s="15">
        <v>1</v>
      </c>
      <c r="K7" s="15">
        <v>3</v>
      </c>
      <c r="L7" s="15">
        <v>90</v>
      </c>
      <c r="M7" s="15">
        <v>204</v>
      </c>
      <c r="N7" s="15">
        <v>127</v>
      </c>
      <c r="O7" s="15">
        <v>192</v>
      </c>
      <c r="P7" s="15">
        <v>76</v>
      </c>
      <c r="Q7" s="15">
        <v>28</v>
      </c>
      <c r="R7" s="15">
        <v>27</v>
      </c>
      <c r="S7" s="15">
        <v>13</v>
      </c>
      <c r="T7" s="15">
        <v>314</v>
      </c>
      <c r="U7" s="15">
        <v>99</v>
      </c>
      <c r="V7" s="15">
        <v>276</v>
      </c>
      <c r="W7" s="15">
        <v>307</v>
      </c>
      <c r="X7" s="15">
        <v>25</v>
      </c>
      <c r="Y7" s="15">
        <v>357</v>
      </c>
      <c r="Z7" s="15">
        <v>26</v>
      </c>
      <c r="AA7" s="15">
        <v>10</v>
      </c>
      <c r="AB7" s="15">
        <v>10</v>
      </c>
      <c r="AC7" s="15">
        <v>5</v>
      </c>
    </row>
    <row r="8" spans="1:29" x14ac:dyDescent="0.55000000000000004">
      <c r="A8" s="2" t="s">
        <v>34</v>
      </c>
      <c r="B8" s="3" t="s">
        <v>55</v>
      </c>
      <c r="C8" s="15">
        <v>1138</v>
      </c>
      <c r="D8" s="15">
        <v>169</v>
      </c>
      <c r="E8" s="15">
        <v>281</v>
      </c>
      <c r="F8" s="15">
        <v>48</v>
      </c>
      <c r="G8" s="15">
        <v>3</v>
      </c>
      <c r="H8" s="15">
        <v>91</v>
      </c>
      <c r="I8" s="15">
        <v>5</v>
      </c>
      <c r="J8" s="15">
        <v>4</v>
      </c>
      <c r="K8" s="15">
        <v>8</v>
      </c>
      <c r="L8" s="15">
        <v>3</v>
      </c>
      <c r="M8" s="15">
        <v>54</v>
      </c>
      <c r="N8" s="15">
        <v>22</v>
      </c>
      <c r="O8" s="15">
        <v>59</v>
      </c>
      <c r="P8" s="15">
        <v>11</v>
      </c>
      <c r="Q8" s="15">
        <v>66</v>
      </c>
      <c r="R8" s="15">
        <v>15</v>
      </c>
      <c r="S8" s="15">
        <v>2</v>
      </c>
      <c r="T8" s="15">
        <v>5</v>
      </c>
      <c r="U8" s="15">
        <v>26</v>
      </c>
      <c r="V8" s="15">
        <v>34</v>
      </c>
      <c r="W8" s="15">
        <v>68</v>
      </c>
      <c r="X8" s="15">
        <v>48</v>
      </c>
      <c r="Y8" s="15">
        <v>22</v>
      </c>
      <c r="Z8" s="15">
        <v>39</v>
      </c>
      <c r="AA8" s="15">
        <v>54</v>
      </c>
      <c r="AB8" s="15">
        <v>1</v>
      </c>
      <c r="AC8" s="15">
        <v>0</v>
      </c>
    </row>
    <row r="9" spans="1:29" x14ac:dyDescent="0.55000000000000004">
      <c r="A9" s="2" t="s">
        <v>35</v>
      </c>
      <c r="B9" s="3" t="s">
        <v>55</v>
      </c>
      <c r="C9" s="15">
        <v>320</v>
      </c>
      <c r="D9" s="15">
        <v>15</v>
      </c>
      <c r="E9" s="15">
        <v>34</v>
      </c>
      <c r="F9" s="15">
        <v>15</v>
      </c>
      <c r="G9" s="15">
        <v>1</v>
      </c>
      <c r="H9" s="15">
        <v>3</v>
      </c>
      <c r="I9" s="15">
        <v>0</v>
      </c>
      <c r="J9" s="15">
        <v>1</v>
      </c>
      <c r="K9" s="15">
        <v>7</v>
      </c>
      <c r="L9" s="15">
        <v>0</v>
      </c>
      <c r="M9" s="15">
        <v>9</v>
      </c>
      <c r="N9" s="15">
        <v>8</v>
      </c>
      <c r="O9" s="15">
        <v>2</v>
      </c>
      <c r="P9" s="15">
        <v>6</v>
      </c>
      <c r="Q9" s="15">
        <v>1</v>
      </c>
      <c r="R9" s="15">
        <v>3</v>
      </c>
      <c r="S9" s="15">
        <v>1</v>
      </c>
      <c r="T9" s="15">
        <v>0</v>
      </c>
      <c r="U9" s="15">
        <v>15</v>
      </c>
      <c r="V9" s="15">
        <v>13</v>
      </c>
      <c r="W9" s="15">
        <v>15</v>
      </c>
      <c r="X9" s="15">
        <v>13</v>
      </c>
      <c r="Y9" s="15">
        <v>113</v>
      </c>
      <c r="Z9" s="15">
        <v>10</v>
      </c>
      <c r="AA9" s="15">
        <v>10</v>
      </c>
      <c r="AB9" s="15">
        <v>13</v>
      </c>
      <c r="AC9" s="15">
        <v>12</v>
      </c>
    </row>
    <row r="10" spans="1:29" x14ac:dyDescent="0.55000000000000004">
      <c r="A10" s="2" t="s">
        <v>36</v>
      </c>
      <c r="B10" s="3" t="s">
        <v>55</v>
      </c>
      <c r="C10" s="15">
        <v>11</v>
      </c>
      <c r="D10" s="15">
        <v>0</v>
      </c>
      <c r="E10" s="15">
        <v>1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2</v>
      </c>
      <c r="P10" s="15">
        <v>0</v>
      </c>
      <c r="Q10" s="15">
        <v>2</v>
      </c>
      <c r="R10" s="15">
        <v>0</v>
      </c>
      <c r="S10" s="15">
        <v>0</v>
      </c>
      <c r="T10" s="15">
        <v>0</v>
      </c>
      <c r="U10" s="15">
        <v>1</v>
      </c>
      <c r="V10" s="15">
        <v>0</v>
      </c>
      <c r="W10" s="15">
        <v>1</v>
      </c>
      <c r="X10" s="15">
        <v>0</v>
      </c>
      <c r="Y10" s="15">
        <v>4</v>
      </c>
      <c r="Z10" s="15">
        <v>0</v>
      </c>
      <c r="AA10" s="15">
        <v>0</v>
      </c>
      <c r="AB10" s="15">
        <v>0</v>
      </c>
      <c r="AC10" s="15">
        <v>0</v>
      </c>
    </row>
    <row r="11" spans="1:29" x14ac:dyDescent="0.55000000000000004">
      <c r="A11" s="2"/>
      <c r="B11" s="3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2"/>
      <c r="Z11" s="2"/>
      <c r="AA11" s="2"/>
      <c r="AB11" s="2"/>
      <c r="AC11" s="2"/>
    </row>
    <row r="12" spans="1:29" x14ac:dyDescent="0.55000000000000004">
      <c r="A12" s="1" t="s">
        <v>39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x14ac:dyDescent="0.55000000000000004">
      <c r="A13" s="1" t="s">
        <v>28</v>
      </c>
      <c r="B13" s="1" t="s">
        <v>40</v>
      </c>
      <c r="C13" s="4" t="s">
        <v>1</v>
      </c>
      <c r="D13" s="4" t="s">
        <v>2</v>
      </c>
      <c r="E13" s="4" t="s">
        <v>3</v>
      </c>
      <c r="F13" s="4" t="s">
        <v>4</v>
      </c>
      <c r="G13" s="4" t="s">
        <v>5</v>
      </c>
      <c r="H13" s="4" t="s">
        <v>6</v>
      </c>
      <c r="I13" s="4" t="s">
        <v>7</v>
      </c>
      <c r="J13" s="4" t="s">
        <v>8</v>
      </c>
      <c r="K13" s="4" t="s">
        <v>9</v>
      </c>
      <c r="L13" s="4" t="s">
        <v>10</v>
      </c>
      <c r="M13" s="4" t="s">
        <v>11</v>
      </c>
      <c r="N13" s="4" t="s">
        <v>12</v>
      </c>
      <c r="O13" s="4" t="s">
        <v>13</v>
      </c>
      <c r="P13" s="4" t="s">
        <v>14</v>
      </c>
      <c r="Q13" s="4" t="s">
        <v>15</v>
      </c>
      <c r="R13" s="4" t="s">
        <v>16</v>
      </c>
      <c r="S13" s="4" t="s">
        <v>17</v>
      </c>
      <c r="T13" s="4" t="s">
        <v>18</v>
      </c>
      <c r="U13" s="4" t="s">
        <v>19</v>
      </c>
      <c r="V13" s="4" t="s">
        <v>20</v>
      </c>
      <c r="W13" s="4" t="s">
        <v>21</v>
      </c>
      <c r="X13" s="4" t="s">
        <v>22</v>
      </c>
      <c r="Y13" s="4" t="s">
        <v>23</v>
      </c>
      <c r="Z13" s="4" t="s">
        <v>24</v>
      </c>
      <c r="AA13" s="4" t="s">
        <v>25</v>
      </c>
      <c r="AB13" s="4" t="s">
        <v>26</v>
      </c>
      <c r="AC13" s="4" t="s">
        <v>27</v>
      </c>
    </row>
    <row r="14" spans="1:29" x14ac:dyDescent="0.55000000000000004">
      <c r="A14" s="2" t="s">
        <v>44</v>
      </c>
      <c r="B14" s="3" t="s">
        <v>55</v>
      </c>
      <c r="C14" s="15">
        <v>30</v>
      </c>
      <c r="D14" s="15">
        <v>0</v>
      </c>
      <c r="E14" s="15">
        <v>0</v>
      </c>
      <c r="F14" s="15">
        <v>3</v>
      </c>
      <c r="G14" s="15">
        <v>1</v>
      </c>
      <c r="H14" s="15">
        <v>4</v>
      </c>
      <c r="I14" s="15">
        <v>4</v>
      </c>
      <c r="J14" s="15">
        <v>0</v>
      </c>
      <c r="K14" s="15">
        <v>0</v>
      </c>
      <c r="L14" s="15">
        <v>0</v>
      </c>
      <c r="M14" s="15">
        <v>0</v>
      </c>
      <c r="N14" s="15">
        <v>2</v>
      </c>
      <c r="O14" s="15">
        <v>0</v>
      </c>
      <c r="P14" s="15">
        <v>1</v>
      </c>
      <c r="Q14" s="15">
        <v>1</v>
      </c>
      <c r="R14" s="15">
        <v>1</v>
      </c>
      <c r="S14" s="15">
        <v>0</v>
      </c>
      <c r="T14" s="15">
        <v>0</v>
      </c>
      <c r="U14" s="15">
        <v>6</v>
      </c>
      <c r="V14" s="15">
        <v>3</v>
      </c>
      <c r="W14" s="15">
        <v>3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1</v>
      </c>
    </row>
    <row r="15" spans="1:29" x14ac:dyDescent="0.55000000000000004">
      <c r="A15" s="2" t="s">
        <v>30</v>
      </c>
      <c r="B15" s="3" t="s">
        <v>55</v>
      </c>
      <c r="C15" s="15">
        <v>195</v>
      </c>
      <c r="D15" s="15">
        <v>0</v>
      </c>
      <c r="E15" s="15">
        <v>33</v>
      </c>
      <c r="F15" s="15">
        <v>8</v>
      </c>
      <c r="G15" s="15">
        <v>2</v>
      </c>
      <c r="H15" s="15">
        <v>2</v>
      </c>
      <c r="I15" s="15">
        <v>0</v>
      </c>
      <c r="J15" s="15">
        <v>3</v>
      </c>
      <c r="K15" s="15">
        <v>2</v>
      </c>
      <c r="L15" s="15">
        <v>0</v>
      </c>
      <c r="M15" s="15">
        <v>6</v>
      </c>
      <c r="N15" s="15">
        <v>9</v>
      </c>
      <c r="O15" s="15">
        <v>6</v>
      </c>
      <c r="P15" s="15">
        <v>5</v>
      </c>
      <c r="Q15" s="15">
        <v>3</v>
      </c>
      <c r="R15" s="15">
        <v>1</v>
      </c>
      <c r="S15" s="15">
        <v>1</v>
      </c>
      <c r="T15" s="15">
        <v>0</v>
      </c>
      <c r="U15" s="15">
        <v>32</v>
      </c>
      <c r="V15" s="15">
        <v>4</v>
      </c>
      <c r="W15" s="15">
        <v>12</v>
      </c>
      <c r="X15" s="15">
        <v>4</v>
      </c>
      <c r="Y15" s="15">
        <v>31</v>
      </c>
      <c r="Z15" s="15">
        <v>3</v>
      </c>
      <c r="AA15" s="15">
        <v>23</v>
      </c>
      <c r="AB15" s="15">
        <v>0</v>
      </c>
      <c r="AC15" s="15">
        <v>5</v>
      </c>
    </row>
    <row r="16" spans="1:29" x14ac:dyDescent="0.55000000000000004">
      <c r="A16" s="2" t="s">
        <v>31</v>
      </c>
      <c r="B16" s="3" t="s">
        <v>55</v>
      </c>
      <c r="C16" s="15">
        <v>32</v>
      </c>
      <c r="D16" s="15">
        <v>0</v>
      </c>
      <c r="E16" s="15">
        <v>8</v>
      </c>
      <c r="F16" s="15">
        <v>1</v>
      </c>
      <c r="G16" s="15">
        <v>0</v>
      </c>
      <c r="H16" s="15">
        <v>1</v>
      </c>
      <c r="I16" s="15">
        <v>0</v>
      </c>
      <c r="J16" s="15">
        <v>0</v>
      </c>
      <c r="K16" s="15">
        <v>0</v>
      </c>
      <c r="L16" s="15">
        <v>2</v>
      </c>
      <c r="M16" s="15">
        <v>0</v>
      </c>
      <c r="N16" s="15">
        <v>0</v>
      </c>
      <c r="O16" s="15">
        <v>0</v>
      </c>
      <c r="P16" s="15">
        <v>3</v>
      </c>
      <c r="Q16" s="15">
        <v>1</v>
      </c>
      <c r="R16" s="15">
        <v>0</v>
      </c>
      <c r="S16" s="15">
        <v>0</v>
      </c>
      <c r="T16" s="15">
        <v>0</v>
      </c>
      <c r="U16" s="15">
        <v>6</v>
      </c>
      <c r="V16" s="15">
        <v>0</v>
      </c>
      <c r="W16" s="15">
        <v>2</v>
      </c>
      <c r="X16" s="15">
        <v>2</v>
      </c>
      <c r="Y16" s="15">
        <v>2</v>
      </c>
      <c r="Z16" s="15">
        <v>3</v>
      </c>
      <c r="AA16" s="15">
        <v>1</v>
      </c>
      <c r="AB16" s="15">
        <v>0</v>
      </c>
      <c r="AC16" s="15">
        <v>0</v>
      </c>
    </row>
    <row r="17" spans="1:29" x14ac:dyDescent="0.55000000000000004">
      <c r="A17" s="2" t="s">
        <v>32</v>
      </c>
      <c r="B17" s="3" t="s">
        <v>55</v>
      </c>
      <c r="C17" s="15">
        <v>1895</v>
      </c>
      <c r="D17" s="15">
        <v>305</v>
      </c>
      <c r="E17" s="15">
        <v>346</v>
      </c>
      <c r="F17" s="15">
        <v>108</v>
      </c>
      <c r="G17" s="15">
        <v>7</v>
      </c>
      <c r="H17" s="15">
        <v>71</v>
      </c>
      <c r="I17" s="15">
        <v>1</v>
      </c>
      <c r="J17" s="15">
        <v>29</v>
      </c>
      <c r="K17" s="15">
        <v>12</v>
      </c>
      <c r="L17" s="15">
        <v>32</v>
      </c>
      <c r="M17" s="15">
        <v>58</v>
      </c>
      <c r="N17" s="15">
        <v>98</v>
      </c>
      <c r="O17" s="15">
        <v>30</v>
      </c>
      <c r="P17" s="15">
        <v>96</v>
      </c>
      <c r="Q17" s="15">
        <v>17</v>
      </c>
      <c r="R17" s="15">
        <v>26</v>
      </c>
      <c r="S17" s="15">
        <v>1</v>
      </c>
      <c r="T17" s="15">
        <v>26</v>
      </c>
      <c r="U17" s="15">
        <v>102</v>
      </c>
      <c r="V17" s="15">
        <v>159</v>
      </c>
      <c r="W17" s="15">
        <v>58</v>
      </c>
      <c r="X17" s="15">
        <v>70</v>
      </c>
      <c r="Y17" s="15">
        <v>90</v>
      </c>
      <c r="Z17" s="15">
        <v>64</v>
      </c>
      <c r="AA17" s="15">
        <v>46</v>
      </c>
      <c r="AB17" s="15">
        <v>25</v>
      </c>
      <c r="AC17" s="15">
        <v>18</v>
      </c>
    </row>
    <row r="18" spans="1:29" x14ac:dyDescent="0.55000000000000004">
      <c r="A18" s="2" t="s">
        <v>33</v>
      </c>
      <c r="B18" s="3" t="s">
        <v>55</v>
      </c>
      <c r="C18" s="15">
        <v>1584</v>
      </c>
      <c r="D18" s="15">
        <v>509</v>
      </c>
      <c r="E18" s="15">
        <v>124</v>
      </c>
      <c r="F18" s="15">
        <v>230</v>
      </c>
      <c r="G18" s="15">
        <v>5</v>
      </c>
      <c r="H18" s="15">
        <v>27</v>
      </c>
      <c r="I18" s="15">
        <v>3</v>
      </c>
      <c r="J18" s="15">
        <v>15</v>
      </c>
      <c r="K18" s="15">
        <v>6</v>
      </c>
      <c r="L18" s="15">
        <v>109</v>
      </c>
      <c r="M18" s="15">
        <v>43</v>
      </c>
      <c r="N18" s="15">
        <v>34</v>
      </c>
      <c r="O18" s="15">
        <v>22</v>
      </c>
      <c r="P18" s="15">
        <v>30</v>
      </c>
      <c r="Q18" s="15">
        <v>10</v>
      </c>
      <c r="R18" s="15">
        <v>6</v>
      </c>
      <c r="S18" s="15">
        <v>1</v>
      </c>
      <c r="T18" s="15">
        <v>59</v>
      </c>
      <c r="U18" s="15">
        <v>97</v>
      </c>
      <c r="V18" s="15">
        <v>109</v>
      </c>
      <c r="W18" s="15">
        <v>68</v>
      </c>
      <c r="X18" s="15">
        <v>13</v>
      </c>
      <c r="Y18" s="15">
        <v>48</v>
      </c>
      <c r="Z18" s="15">
        <v>13</v>
      </c>
      <c r="AA18" s="15">
        <v>2</v>
      </c>
      <c r="AB18" s="15">
        <v>0</v>
      </c>
      <c r="AC18" s="15">
        <v>1</v>
      </c>
    </row>
    <row r="19" spans="1:29" x14ac:dyDescent="0.55000000000000004">
      <c r="A19" s="2" t="s">
        <v>34</v>
      </c>
      <c r="B19" s="3" t="s">
        <v>55</v>
      </c>
      <c r="C19" s="15">
        <v>1734</v>
      </c>
      <c r="D19" s="15">
        <v>333</v>
      </c>
      <c r="E19" s="15">
        <v>321</v>
      </c>
      <c r="F19" s="15">
        <v>89</v>
      </c>
      <c r="G19" s="15">
        <v>15</v>
      </c>
      <c r="H19" s="15">
        <v>94</v>
      </c>
      <c r="I19" s="15">
        <v>13</v>
      </c>
      <c r="J19" s="15">
        <v>16</v>
      </c>
      <c r="K19" s="15">
        <v>12</v>
      </c>
      <c r="L19" s="15">
        <v>37</v>
      </c>
      <c r="M19" s="15">
        <v>83</v>
      </c>
      <c r="N19" s="15">
        <v>37</v>
      </c>
      <c r="O19" s="15">
        <v>140</v>
      </c>
      <c r="P19" s="15">
        <v>35</v>
      </c>
      <c r="Q19" s="15">
        <v>57</v>
      </c>
      <c r="R19" s="15">
        <v>13</v>
      </c>
      <c r="S19" s="15">
        <v>1</v>
      </c>
      <c r="T19" s="15">
        <v>1</v>
      </c>
      <c r="U19" s="15">
        <v>60</v>
      </c>
      <c r="V19" s="15">
        <v>115</v>
      </c>
      <c r="W19" s="15">
        <v>44</v>
      </c>
      <c r="X19" s="15">
        <v>20</v>
      </c>
      <c r="Y19" s="15">
        <v>76</v>
      </c>
      <c r="Z19" s="15">
        <v>67</v>
      </c>
      <c r="AA19" s="15">
        <v>55</v>
      </c>
      <c r="AB19" s="15">
        <v>0</v>
      </c>
      <c r="AC19" s="15">
        <v>0</v>
      </c>
    </row>
    <row r="20" spans="1:29" x14ac:dyDescent="0.55000000000000004">
      <c r="A20" s="2" t="s">
        <v>35</v>
      </c>
      <c r="B20" s="3" t="s">
        <v>55</v>
      </c>
      <c r="C20" s="15">
        <v>148</v>
      </c>
      <c r="D20" s="15">
        <v>4</v>
      </c>
      <c r="E20" s="15">
        <v>25</v>
      </c>
      <c r="F20" s="15">
        <v>9</v>
      </c>
      <c r="G20" s="15">
        <v>0</v>
      </c>
      <c r="H20" s="15">
        <v>6</v>
      </c>
      <c r="I20" s="15">
        <v>0</v>
      </c>
      <c r="J20" s="15">
        <v>0</v>
      </c>
      <c r="K20" s="15">
        <v>1</v>
      </c>
      <c r="L20" s="15">
        <v>0</v>
      </c>
      <c r="M20" s="15">
        <v>3</v>
      </c>
      <c r="N20" s="15">
        <v>1</v>
      </c>
      <c r="O20" s="15">
        <v>1</v>
      </c>
      <c r="P20" s="15">
        <v>0</v>
      </c>
      <c r="Q20" s="15">
        <v>1</v>
      </c>
      <c r="R20" s="15">
        <v>2</v>
      </c>
      <c r="S20" s="15">
        <v>0</v>
      </c>
      <c r="T20" s="15">
        <v>1</v>
      </c>
      <c r="U20" s="15">
        <v>14</v>
      </c>
      <c r="V20" s="15">
        <v>6</v>
      </c>
      <c r="W20" s="15">
        <v>1</v>
      </c>
      <c r="X20" s="15">
        <v>6</v>
      </c>
      <c r="Y20" s="15">
        <v>40</v>
      </c>
      <c r="Z20" s="15">
        <v>1</v>
      </c>
      <c r="AA20" s="15">
        <v>7</v>
      </c>
      <c r="AB20" s="15">
        <v>16</v>
      </c>
      <c r="AC20" s="15">
        <v>3</v>
      </c>
    </row>
    <row r="21" spans="1:29" x14ac:dyDescent="0.55000000000000004">
      <c r="A21" s="2" t="s">
        <v>36</v>
      </c>
      <c r="B21" s="3" t="s">
        <v>55</v>
      </c>
      <c r="C21" s="15">
        <v>12</v>
      </c>
      <c r="D21" s="15">
        <v>0</v>
      </c>
      <c r="E21" s="15">
        <v>1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1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5</v>
      </c>
      <c r="V21" s="15">
        <v>0</v>
      </c>
      <c r="W21" s="15">
        <v>0</v>
      </c>
      <c r="X21" s="15">
        <v>0</v>
      </c>
      <c r="Y21" s="15">
        <v>2</v>
      </c>
      <c r="Z21" s="15">
        <v>0</v>
      </c>
      <c r="AA21" s="15">
        <v>0</v>
      </c>
      <c r="AB21" s="15">
        <v>3</v>
      </c>
      <c r="AC21" s="15">
        <v>0</v>
      </c>
    </row>
    <row r="22" spans="1:29" x14ac:dyDescent="0.55000000000000004">
      <c r="A22" s="2"/>
      <c r="B22" s="3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2"/>
      <c r="Z22" s="2"/>
      <c r="AA22" s="2"/>
      <c r="AB22" s="2"/>
      <c r="AC22" s="2"/>
    </row>
    <row r="23" spans="1:29" x14ac:dyDescent="0.55000000000000004">
      <c r="A23" s="1" t="s">
        <v>38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x14ac:dyDescent="0.55000000000000004">
      <c r="A24" s="1" t="s">
        <v>28</v>
      </c>
      <c r="B24" s="1" t="s">
        <v>40</v>
      </c>
      <c r="C24" s="4" t="s">
        <v>1</v>
      </c>
      <c r="D24" s="4" t="s">
        <v>2</v>
      </c>
      <c r="E24" s="4" t="s">
        <v>3</v>
      </c>
      <c r="F24" s="4" t="s">
        <v>4</v>
      </c>
      <c r="G24" s="4" t="s">
        <v>5</v>
      </c>
      <c r="H24" s="4" t="s">
        <v>6</v>
      </c>
      <c r="I24" s="4" t="s">
        <v>7</v>
      </c>
      <c r="J24" s="4" t="s">
        <v>8</v>
      </c>
      <c r="K24" s="4" t="s">
        <v>9</v>
      </c>
      <c r="L24" s="4" t="s">
        <v>10</v>
      </c>
      <c r="M24" s="4" t="s">
        <v>11</v>
      </c>
      <c r="N24" s="4" t="s">
        <v>12</v>
      </c>
      <c r="O24" s="4" t="s">
        <v>13</v>
      </c>
      <c r="P24" s="4" t="s">
        <v>14</v>
      </c>
      <c r="Q24" s="4" t="s">
        <v>15</v>
      </c>
      <c r="R24" s="4" t="s">
        <v>16</v>
      </c>
      <c r="S24" s="4" t="s">
        <v>17</v>
      </c>
      <c r="T24" s="4" t="s">
        <v>18</v>
      </c>
      <c r="U24" s="4" t="s">
        <v>19</v>
      </c>
      <c r="V24" s="4" t="s">
        <v>20</v>
      </c>
      <c r="W24" s="4" t="s">
        <v>21</v>
      </c>
      <c r="X24" s="4" t="s">
        <v>22</v>
      </c>
      <c r="Y24" s="4" t="s">
        <v>23</v>
      </c>
      <c r="Z24" s="4" t="s">
        <v>24</v>
      </c>
      <c r="AA24" s="4" t="s">
        <v>25</v>
      </c>
      <c r="AB24" s="4" t="s">
        <v>26</v>
      </c>
      <c r="AC24" s="4" t="s">
        <v>27</v>
      </c>
    </row>
    <row r="25" spans="1:29" x14ac:dyDescent="0.55000000000000004">
      <c r="A25" s="2" t="s">
        <v>44</v>
      </c>
      <c r="B25" s="3" t="s">
        <v>55</v>
      </c>
      <c r="C25" s="15">
        <v>4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1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1</v>
      </c>
      <c r="V25" s="15">
        <v>0</v>
      </c>
      <c r="W25" s="15">
        <v>1</v>
      </c>
      <c r="X25" s="15">
        <v>1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</row>
    <row r="26" spans="1:29" x14ac:dyDescent="0.55000000000000004">
      <c r="A26" s="2" t="s">
        <v>30</v>
      </c>
      <c r="B26" s="3" t="s">
        <v>55</v>
      </c>
      <c r="C26" s="15">
        <v>33</v>
      </c>
      <c r="D26" s="15">
        <v>0</v>
      </c>
      <c r="E26" s="15">
        <v>8</v>
      </c>
      <c r="F26" s="15">
        <v>1</v>
      </c>
      <c r="G26" s="15">
        <v>0</v>
      </c>
      <c r="H26" s="15">
        <v>0</v>
      </c>
      <c r="I26" s="15">
        <v>0</v>
      </c>
      <c r="J26" s="15">
        <v>1</v>
      </c>
      <c r="K26" s="15">
        <v>1</v>
      </c>
      <c r="L26" s="15">
        <v>0</v>
      </c>
      <c r="M26" s="15">
        <v>2</v>
      </c>
      <c r="N26" s="15">
        <v>4</v>
      </c>
      <c r="O26" s="15">
        <v>0</v>
      </c>
      <c r="P26" s="15">
        <v>2</v>
      </c>
      <c r="Q26" s="15">
        <v>0</v>
      </c>
      <c r="R26" s="15">
        <v>2</v>
      </c>
      <c r="S26" s="15">
        <v>0</v>
      </c>
      <c r="T26" s="15">
        <v>0</v>
      </c>
      <c r="U26" s="15">
        <v>3</v>
      </c>
      <c r="V26" s="15">
        <v>1</v>
      </c>
      <c r="W26" s="15">
        <v>3</v>
      </c>
      <c r="X26" s="15">
        <v>0</v>
      </c>
      <c r="Y26" s="15">
        <v>2</v>
      </c>
      <c r="Z26" s="15">
        <v>2</v>
      </c>
      <c r="AA26" s="15">
        <v>1</v>
      </c>
      <c r="AB26" s="15">
        <v>0</v>
      </c>
      <c r="AC26" s="15">
        <v>0</v>
      </c>
    </row>
    <row r="27" spans="1:29" x14ac:dyDescent="0.55000000000000004">
      <c r="A27" s="2" t="s">
        <v>31</v>
      </c>
      <c r="B27" s="3" t="s">
        <v>55</v>
      </c>
      <c r="C27" s="15">
        <v>13</v>
      </c>
      <c r="D27" s="15">
        <v>0</v>
      </c>
      <c r="E27" s="15">
        <v>2</v>
      </c>
      <c r="F27" s="15">
        <v>2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1</v>
      </c>
      <c r="N27" s="15">
        <v>0</v>
      </c>
      <c r="O27" s="15">
        <v>0</v>
      </c>
      <c r="P27" s="15">
        <v>1</v>
      </c>
      <c r="Q27" s="15">
        <v>0</v>
      </c>
      <c r="R27" s="15">
        <v>0</v>
      </c>
      <c r="S27" s="15">
        <v>0</v>
      </c>
      <c r="T27" s="15">
        <v>1</v>
      </c>
      <c r="U27" s="15">
        <v>1</v>
      </c>
      <c r="V27" s="15">
        <v>0</v>
      </c>
      <c r="W27" s="15">
        <v>2</v>
      </c>
      <c r="X27" s="15">
        <v>0</v>
      </c>
      <c r="Y27" s="15">
        <v>1</v>
      </c>
      <c r="Z27" s="15">
        <v>2</v>
      </c>
      <c r="AA27" s="15">
        <v>0</v>
      </c>
      <c r="AB27" s="15">
        <v>0</v>
      </c>
      <c r="AC27" s="15">
        <v>0</v>
      </c>
    </row>
    <row r="28" spans="1:29" x14ac:dyDescent="0.55000000000000004">
      <c r="A28" s="2" t="s">
        <v>32</v>
      </c>
      <c r="B28" s="3" t="s">
        <v>55</v>
      </c>
      <c r="C28" s="15">
        <v>241</v>
      </c>
      <c r="D28" s="15">
        <v>34</v>
      </c>
      <c r="E28" s="15">
        <v>30</v>
      </c>
      <c r="F28" s="15">
        <v>10</v>
      </c>
      <c r="G28" s="15">
        <v>2</v>
      </c>
      <c r="H28" s="15">
        <v>5</v>
      </c>
      <c r="I28" s="15">
        <v>0</v>
      </c>
      <c r="J28" s="15">
        <v>1</v>
      </c>
      <c r="K28" s="15">
        <v>2</v>
      </c>
      <c r="L28" s="15">
        <v>4</v>
      </c>
      <c r="M28" s="15">
        <v>4</v>
      </c>
      <c r="N28" s="15">
        <v>14</v>
      </c>
      <c r="O28" s="15">
        <v>1</v>
      </c>
      <c r="P28" s="15">
        <v>14</v>
      </c>
      <c r="Q28" s="15">
        <v>8</v>
      </c>
      <c r="R28" s="15">
        <v>1</v>
      </c>
      <c r="S28" s="15">
        <v>1</v>
      </c>
      <c r="T28" s="15">
        <v>4</v>
      </c>
      <c r="U28" s="15">
        <v>7</v>
      </c>
      <c r="V28" s="15">
        <v>26</v>
      </c>
      <c r="W28" s="15">
        <v>22</v>
      </c>
      <c r="X28" s="15">
        <v>15</v>
      </c>
      <c r="Y28" s="15">
        <v>9</v>
      </c>
      <c r="Z28" s="15">
        <v>10</v>
      </c>
      <c r="AA28" s="15">
        <v>4</v>
      </c>
      <c r="AB28" s="15">
        <v>3</v>
      </c>
      <c r="AC28" s="15">
        <v>10</v>
      </c>
    </row>
    <row r="29" spans="1:29" x14ac:dyDescent="0.55000000000000004">
      <c r="A29" s="2" t="s">
        <v>33</v>
      </c>
      <c r="B29" s="3" t="s">
        <v>55</v>
      </c>
      <c r="C29" s="15">
        <v>123</v>
      </c>
      <c r="D29" s="15">
        <v>18</v>
      </c>
      <c r="E29" s="15">
        <v>8</v>
      </c>
      <c r="F29" s="15">
        <v>12</v>
      </c>
      <c r="G29" s="15">
        <v>0</v>
      </c>
      <c r="H29" s="15">
        <v>5</v>
      </c>
      <c r="I29" s="15">
        <v>0</v>
      </c>
      <c r="J29" s="15">
        <v>1</v>
      </c>
      <c r="K29" s="15">
        <v>1</v>
      </c>
      <c r="L29" s="15">
        <v>0</v>
      </c>
      <c r="M29" s="15">
        <v>1</v>
      </c>
      <c r="N29" s="15">
        <v>7</v>
      </c>
      <c r="O29" s="15">
        <v>1</v>
      </c>
      <c r="P29" s="15">
        <v>1</v>
      </c>
      <c r="Q29" s="15">
        <v>2</v>
      </c>
      <c r="R29" s="15">
        <v>1</v>
      </c>
      <c r="S29" s="15">
        <v>1</v>
      </c>
      <c r="T29" s="15">
        <v>10</v>
      </c>
      <c r="U29" s="15">
        <v>4</v>
      </c>
      <c r="V29" s="15">
        <v>9</v>
      </c>
      <c r="W29" s="15">
        <v>23</v>
      </c>
      <c r="X29" s="15">
        <v>6</v>
      </c>
      <c r="Y29" s="15">
        <v>7</v>
      </c>
      <c r="Z29" s="15">
        <v>3</v>
      </c>
      <c r="AA29" s="15">
        <v>0</v>
      </c>
      <c r="AB29" s="15">
        <v>2</v>
      </c>
      <c r="AC29" s="15">
        <v>0</v>
      </c>
    </row>
    <row r="30" spans="1:29" x14ac:dyDescent="0.55000000000000004">
      <c r="A30" s="2" t="s">
        <v>34</v>
      </c>
      <c r="B30" s="3" t="s">
        <v>55</v>
      </c>
      <c r="C30" s="15">
        <v>312</v>
      </c>
      <c r="D30" s="15">
        <v>37</v>
      </c>
      <c r="E30" s="15">
        <v>47</v>
      </c>
      <c r="F30" s="15">
        <v>19</v>
      </c>
      <c r="G30" s="15">
        <v>2</v>
      </c>
      <c r="H30" s="15">
        <v>24</v>
      </c>
      <c r="I30" s="15">
        <v>0</v>
      </c>
      <c r="J30" s="15">
        <v>4</v>
      </c>
      <c r="K30" s="15">
        <v>8</v>
      </c>
      <c r="L30" s="15">
        <v>15</v>
      </c>
      <c r="M30" s="15">
        <v>16</v>
      </c>
      <c r="N30" s="15">
        <v>10</v>
      </c>
      <c r="O30" s="15">
        <v>12</v>
      </c>
      <c r="P30" s="15">
        <v>8</v>
      </c>
      <c r="Q30" s="15">
        <v>20</v>
      </c>
      <c r="R30" s="15">
        <v>0</v>
      </c>
      <c r="S30" s="15">
        <v>0</v>
      </c>
      <c r="T30" s="15">
        <v>0</v>
      </c>
      <c r="U30" s="15">
        <v>9</v>
      </c>
      <c r="V30" s="15">
        <v>25</v>
      </c>
      <c r="W30" s="15">
        <v>14</v>
      </c>
      <c r="X30" s="15">
        <v>8</v>
      </c>
      <c r="Y30" s="15">
        <v>16</v>
      </c>
      <c r="Z30" s="15">
        <v>16</v>
      </c>
      <c r="AA30" s="15">
        <v>1</v>
      </c>
      <c r="AB30" s="15">
        <v>1</v>
      </c>
      <c r="AC30" s="15">
        <v>0</v>
      </c>
    </row>
    <row r="31" spans="1:29" x14ac:dyDescent="0.55000000000000004">
      <c r="A31" s="2" t="s">
        <v>35</v>
      </c>
      <c r="B31" s="3" t="s">
        <v>55</v>
      </c>
      <c r="C31" s="15">
        <v>10</v>
      </c>
      <c r="D31" s="15">
        <v>0</v>
      </c>
      <c r="E31" s="15">
        <v>2</v>
      </c>
      <c r="F31" s="15">
        <v>1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1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1</v>
      </c>
      <c r="V31" s="15">
        <v>0</v>
      </c>
      <c r="W31" s="15">
        <v>0</v>
      </c>
      <c r="X31" s="15">
        <v>2</v>
      </c>
      <c r="Y31" s="15">
        <v>1</v>
      </c>
      <c r="Z31" s="15">
        <v>1</v>
      </c>
      <c r="AA31" s="15">
        <v>0</v>
      </c>
      <c r="AB31" s="15">
        <v>1</v>
      </c>
      <c r="AC31" s="15">
        <v>0</v>
      </c>
    </row>
    <row r="32" spans="1:29" x14ac:dyDescent="0.55000000000000004">
      <c r="A32" s="2" t="s">
        <v>36</v>
      </c>
      <c r="B32" s="3" t="s">
        <v>55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</row>
    <row r="34" spans="1:29" x14ac:dyDescent="0.55000000000000004">
      <c r="A34" s="1" t="s">
        <v>37</v>
      </c>
      <c r="B34" s="1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spans="1:29" x14ac:dyDescent="0.55000000000000004">
      <c r="A35" s="1" t="s">
        <v>28</v>
      </c>
      <c r="B35" s="1" t="s">
        <v>41</v>
      </c>
      <c r="D35" s="4" t="s">
        <v>20</v>
      </c>
      <c r="E35" s="4" t="s">
        <v>17</v>
      </c>
      <c r="F35" s="4" t="s">
        <v>16</v>
      </c>
      <c r="G35" s="4" t="s">
        <v>3</v>
      </c>
      <c r="H35" s="4" t="s">
        <v>14</v>
      </c>
      <c r="I35" s="4" t="s">
        <v>13</v>
      </c>
      <c r="J35" s="4" t="s">
        <v>11</v>
      </c>
      <c r="K35" s="4" t="s">
        <v>26</v>
      </c>
      <c r="L35" s="4" t="s">
        <v>9</v>
      </c>
      <c r="M35" s="4" t="s">
        <v>19</v>
      </c>
      <c r="N35" s="4" t="s">
        <v>27</v>
      </c>
      <c r="O35" s="4" t="s">
        <v>4</v>
      </c>
      <c r="P35" s="4" t="s">
        <v>25</v>
      </c>
      <c r="Q35" s="4" t="s">
        <v>8</v>
      </c>
      <c r="R35" s="4" t="s">
        <v>7</v>
      </c>
      <c r="S35" s="4" t="s">
        <v>18</v>
      </c>
      <c r="T35" s="4" t="s">
        <v>15</v>
      </c>
      <c r="U35" s="4" t="s">
        <v>12</v>
      </c>
      <c r="V35" s="4" t="s">
        <v>6</v>
      </c>
      <c r="W35" s="4" t="s">
        <v>21</v>
      </c>
      <c r="X35" s="4" t="s">
        <v>22</v>
      </c>
      <c r="Y35" s="4" t="s">
        <v>5</v>
      </c>
      <c r="Z35" s="4" t="s">
        <v>23</v>
      </c>
      <c r="AA35" s="4" t="s">
        <v>24</v>
      </c>
      <c r="AB35" s="4" t="s">
        <v>10</v>
      </c>
      <c r="AC35" s="4" t="s">
        <v>2</v>
      </c>
    </row>
    <row r="36" spans="1:29" x14ac:dyDescent="0.55000000000000004">
      <c r="A36" s="2" t="s">
        <v>44</v>
      </c>
      <c r="B36">
        <v>2</v>
      </c>
      <c r="D36" s="5">
        <f>HLOOKUP(D$35,$D$2:$AC$10,$B36,FALSE)</f>
        <v>14</v>
      </c>
      <c r="E36" s="5">
        <f t="shared" ref="E36:AC43" si="0">HLOOKUP(E$35,$D$2:$AC$10,$B36,FALSE)</f>
        <v>0</v>
      </c>
      <c r="F36" s="5">
        <f t="shared" si="0"/>
        <v>5</v>
      </c>
      <c r="G36" s="5">
        <f t="shared" si="0"/>
        <v>0</v>
      </c>
      <c r="H36" s="5">
        <f t="shared" si="0"/>
        <v>9</v>
      </c>
      <c r="I36" s="5">
        <f t="shared" si="0"/>
        <v>0</v>
      </c>
      <c r="J36" s="5">
        <f t="shared" si="0"/>
        <v>9</v>
      </c>
      <c r="K36" s="5">
        <f t="shared" si="0"/>
        <v>0</v>
      </c>
      <c r="L36" s="5">
        <f t="shared" si="0"/>
        <v>7</v>
      </c>
      <c r="M36" s="5">
        <f t="shared" si="0"/>
        <v>24</v>
      </c>
      <c r="N36" s="5">
        <f t="shared" si="0"/>
        <v>4</v>
      </c>
      <c r="O36" s="5">
        <f t="shared" si="0"/>
        <v>4</v>
      </c>
      <c r="P36" s="5">
        <f t="shared" si="0"/>
        <v>0</v>
      </c>
      <c r="Q36" s="5">
        <f t="shared" si="0"/>
        <v>0</v>
      </c>
      <c r="R36" s="5">
        <f t="shared" si="0"/>
        <v>2</v>
      </c>
      <c r="S36" s="5">
        <f t="shared" si="0"/>
        <v>4</v>
      </c>
      <c r="T36" s="5">
        <f t="shared" si="0"/>
        <v>4</v>
      </c>
      <c r="U36" s="5">
        <f t="shared" si="0"/>
        <v>6</v>
      </c>
      <c r="V36" s="5">
        <f t="shared" si="0"/>
        <v>5</v>
      </c>
      <c r="W36" s="5">
        <f t="shared" si="0"/>
        <v>10</v>
      </c>
      <c r="X36" s="5">
        <f t="shared" si="0"/>
        <v>14</v>
      </c>
      <c r="Y36" s="5">
        <f t="shared" si="0"/>
        <v>1</v>
      </c>
      <c r="Z36" s="5">
        <f t="shared" si="0"/>
        <v>11</v>
      </c>
      <c r="AA36" s="5">
        <f t="shared" si="0"/>
        <v>5</v>
      </c>
      <c r="AB36" s="5">
        <f t="shared" si="0"/>
        <v>0</v>
      </c>
      <c r="AC36" s="5">
        <f t="shared" si="0"/>
        <v>0</v>
      </c>
    </row>
    <row r="37" spans="1:29" x14ac:dyDescent="0.55000000000000004">
      <c r="A37" s="2" t="s">
        <v>30</v>
      </c>
      <c r="B37">
        <v>3</v>
      </c>
      <c r="D37" s="5">
        <f t="shared" ref="D37:D42" si="1">HLOOKUP(D$35,$D$2:$AC$10,$B37,FALSE)</f>
        <v>15</v>
      </c>
      <c r="E37" s="5">
        <f t="shared" si="0"/>
        <v>1</v>
      </c>
      <c r="F37" s="5">
        <f t="shared" si="0"/>
        <v>1</v>
      </c>
      <c r="G37" s="5">
        <f t="shared" si="0"/>
        <v>126</v>
      </c>
      <c r="H37" s="5">
        <f t="shared" si="0"/>
        <v>11</v>
      </c>
      <c r="I37" s="5">
        <f t="shared" si="0"/>
        <v>6</v>
      </c>
      <c r="J37" s="5">
        <f t="shared" si="0"/>
        <v>15</v>
      </c>
      <c r="K37" s="5">
        <f t="shared" si="0"/>
        <v>0</v>
      </c>
      <c r="L37" s="5">
        <f t="shared" si="0"/>
        <v>4</v>
      </c>
      <c r="M37" s="5">
        <f t="shared" si="0"/>
        <v>28</v>
      </c>
      <c r="N37" s="5">
        <f t="shared" si="0"/>
        <v>11</v>
      </c>
      <c r="O37" s="5">
        <f t="shared" si="0"/>
        <v>8</v>
      </c>
      <c r="P37" s="5">
        <f t="shared" si="0"/>
        <v>42</v>
      </c>
      <c r="Q37" s="5">
        <f t="shared" si="0"/>
        <v>0</v>
      </c>
      <c r="R37" s="5">
        <f t="shared" si="0"/>
        <v>0</v>
      </c>
      <c r="S37" s="5">
        <f t="shared" si="0"/>
        <v>0</v>
      </c>
      <c r="T37" s="5">
        <f t="shared" si="0"/>
        <v>8</v>
      </c>
      <c r="U37" s="5">
        <f t="shared" si="0"/>
        <v>20</v>
      </c>
      <c r="V37" s="5">
        <f t="shared" si="0"/>
        <v>0</v>
      </c>
      <c r="W37" s="5">
        <f t="shared" si="0"/>
        <v>15</v>
      </c>
      <c r="X37" s="5">
        <f t="shared" si="0"/>
        <v>9</v>
      </c>
      <c r="Y37" s="5">
        <f t="shared" si="0"/>
        <v>1</v>
      </c>
      <c r="Z37" s="5">
        <f t="shared" si="0"/>
        <v>70</v>
      </c>
      <c r="AA37" s="5">
        <f t="shared" si="0"/>
        <v>15</v>
      </c>
      <c r="AB37" s="5">
        <f t="shared" si="0"/>
        <v>0</v>
      </c>
      <c r="AC37" s="5">
        <f t="shared" si="0"/>
        <v>0</v>
      </c>
    </row>
    <row r="38" spans="1:29" x14ac:dyDescent="0.55000000000000004">
      <c r="A38" s="2" t="s">
        <v>31</v>
      </c>
      <c r="B38">
        <v>4</v>
      </c>
      <c r="D38" s="5">
        <f t="shared" si="1"/>
        <v>0</v>
      </c>
      <c r="E38" s="5">
        <f t="shared" si="0"/>
        <v>0</v>
      </c>
      <c r="F38" s="5">
        <f t="shared" si="0"/>
        <v>0</v>
      </c>
      <c r="G38" s="5">
        <f t="shared" si="0"/>
        <v>0</v>
      </c>
      <c r="H38" s="5">
        <f t="shared" si="0"/>
        <v>1</v>
      </c>
      <c r="I38" s="5">
        <f t="shared" si="0"/>
        <v>0</v>
      </c>
      <c r="J38" s="5">
        <f t="shared" si="0"/>
        <v>0</v>
      </c>
      <c r="K38" s="5">
        <f t="shared" si="0"/>
        <v>0</v>
      </c>
      <c r="L38" s="5">
        <f t="shared" si="0"/>
        <v>0</v>
      </c>
      <c r="M38" s="5">
        <f t="shared" si="0"/>
        <v>0</v>
      </c>
      <c r="N38" s="5">
        <f t="shared" si="0"/>
        <v>0</v>
      </c>
      <c r="O38" s="5">
        <f t="shared" si="0"/>
        <v>0</v>
      </c>
      <c r="P38" s="5">
        <f t="shared" si="0"/>
        <v>0</v>
      </c>
      <c r="Q38" s="5">
        <f t="shared" si="0"/>
        <v>0</v>
      </c>
      <c r="R38" s="5">
        <f t="shared" si="0"/>
        <v>0</v>
      </c>
      <c r="S38" s="5">
        <f t="shared" si="0"/>
        <v>0</v>
      </c>
      <c r="T38" s="5">
        <f t="shared" si="0"/>
        <v>0</v>
      </c>
      <c r="U38" s="5">
        <f t="shared" si="0"/>
        <v>0</v>
      </c>
      <c r="V38" s="5">
        <f t="shared" si="0"/>
        <v>0</v>
      </c>
      <c r="W38" s="5">
        <f t="shared" si="0"/>
        <v>0</v>
      </c>
      <c r="X38" s="5">
        <f t="shared" si="0"/>
        <v>0</v>
      </c>
      <c r="Y38" s="5">
        <f t="shared" si="0"/>
        <v>0</v>
      </c>
      <c r="Z38" s="5">
        <f t="shared" si="0"/>
        <v>1</v>
      </c>
      <c r="AA38" s="5">
        <f t="shared" si="0"/>
        <v>0</v>
      </c>
      <c r="AB38" s="5">
        <f t="shared" si="0"/>
        <v>0</v>
      </c>
      <c r="AC38" s="5">
        <f t="shared" si="0"/>
        <v>0</v>
      </c>
    </row>
    <row r="39" spans="1:29" x14ac:dyDescent="0.55000000000000004">
      <c r="A39" s="2" t="s">
        <v>32</v>
      </c>
      <c r="B39">
        <v>5</v>
      </c>
      <c r="D39" s="5">
        <f t="shared" si="1"/>
        <v>1340</v>
      </c>
      <c r="E39" s="5">
        <f t="shared" si="0"/>
        <v>23</v>
      </c>
      <c r="F39" s="5">
        <f t="shared" si="0"/>
        <v>173</v>
      </c>
      <c r="G39" s="5">
        <f t="shared" si="0"/>
        <v>1780</v>
      </c>
      <c r="H39" s="5">
        <f t="shared" si="0"/>
        <v>898</v>
      </c>
      <c r="I39" s="5">
        <f t="shared" si="0"/>
        <v>176</v>
      </c>
      <c r="J39" s="5">
        <f t="shared" si="0"/>
        <v>629</v>
      </c>
      <c r="K39" s="5">
        <f t="shared" si="0"/>
        <v>621</v>
      </c>
      <c r="L39" s="5">
        <f t="shared" si="0"/>
        <v>135</v>
      </c>
      <c r="M39" s="5">
        <f t="shared" si="0"/>
        <v>257</v>
      </c>
      <c r="N39" s="5">
        <f t="shared" si="0"/>
        <v>142</v>
      </c>
      <c r="O39" s="5">
        <f t="shared" si="0"/>
        <v>403</v>
      </c>
      <c r="P39" s="5">
        <f t="shared" si="0"/>
        <v>387</v>
      </c>
      <c r="Q39" s="5">
        <f t="shared" si="0"/>
        <v>23</v>
      </c>
      <c r="R39" s="5">
        <f t="shared" si="0"/>
        <v>8</v>
      </c>
      <c r="S39" s="5">
        <f t="shared" si="0"/>
        <v>719</v>
      </c>
      <c r="T39" s="5">
        <f t="shared" si="0"/>
        <v>107</v>
      </c>
      <c r="U39" s="5">
        <f t="shared" si="0"/>
        <v>698</v>
      </c>
      <c r="V39" s="5">
        <f t="shared" si="0"/>
        <v>168</v>
      </c>
      <c r="W39" s="5">
        <f t="shared" si="0"/>
        <v>510</v>
      </c>
      <c r="X39" s="5">
        <f t="shared" si="0"/>
        <v>946</v>
      </c>
      <c r="Y39" s="5">
        <f t="shared" si="0"/>
        <v>14</v>
      </c>
      <c r="Z39" s="5">
        <f t="shared" si="0"/>
        <v>1119</v>
      </c>
      <c r="AA39" s="5">
        <f t="shared" si="0"/>
        <v>717</v>
      </c>
      <c r="AB39" s="5">
        <f t="shared" si="0"/>
        <v>64</v>
      </c>
      <c r="AC39" s="5">
        <f t="shared" si="0"/>
        <v>1651</v>
      </c>
    </row>
    <row r="40" spans="1:29" x14ac:dyDescent="0.55000000000000004">
      <c r="A40" s="2" t="s">
        <v>33</v>
      </c>
      <c r="B40">
        <v>6</v>
      </c>
      <c r="D40" s="5">
        <f t="shared" si="1"/>
        <v>276</v>
      </c>
      <c r="E40" s="5">
        <f t="shared" si="0"/>
        <v>13</v>
      </c>
      <c r="F40" s="5">
        <f t="shared" si="0"/>
        <v>27</v>
      </c>
      <c r="G40" s="5">
        <f t="shared" si="0"/>
        <v>324</v>
      </c>
      <c r="H40" s="5">
        <f t="shared" si="0"/>
        <v>76</v>
      </c>
      <c r="I40" s="5">
        <f t="shared" si="0"/>
        <v>192</v>
      </c>
      <c r="J40" s="5">
        <f t="shared" si="0"/>
        <v>204</v>
      </c>
      <c r="K40" s="5">
        <f t="shared" si="0"/>
        <v>10</v>
      </c>
      <c r="L40" s="5">
        <f t="shared" si="0"/>
        <v>3</v>
      </c>
      <c r="M40" s="5">
        <f t="shared" si="0"/>
        <v>99</v>
      </c>
      <c r="N40" s="5">
        <f t="shared" si="0"/>
        <v>5</v>
      </c>
      <c r="O40" s="5">
        <f t="shared" si="0"/>
        <v>344</v>
      </c>
      <c r="P40" s="5">
        <f t="shared" si="0"/>
        <v>10</v>
      </c>
      <c r="Q40" s="5">
        <f t="shared" si="0"/>
        <v>1</v>
      </c>
      <c r="R40" s="5">
        <f t="shared" si="0"/>
        <v>5</v>
      </c>
      <c r="S40" s="5">
        <f t="shared" si="0"/>
        <v>314</v>
      </c>
      <c r="T40" s="5">
        <f t="shared" si="0"/>
        <v>28</v>
      </c>
      <c r="U40" s="5">
        <f t="shared" si="0"/>
        <v>127</v>
      </c>
      <c r="V40" s="5">
        <f t="shared" si="0"/>
        <v>42</v>
      </c>
      <c r="W40" s="5">
        <f t="shared" si="0"/>
        <v>307</v>
      </c>
      <c r="X40" s="5">
        <f t="shared" si="0"/>
        <v>25</v>
      </c>
      <c r="Y40" s="5">
        <f t="shared" si="0"/>
        <v>1</v>
      </c>
      <c r="Z40" s="5">
        <f t="shared" si="0"/>
        <v>357</v>
      </c>
      <c r="AA40" s="5">
        <f t="shared" si="0"/>
        <v>26</v>
      </c>
      <c r="AB40" s="5">
        <f t="shared" si="0"/>
        <v>90</v>
      </c>
      <c r="AC40" s="5">
        <f t="shared" si="0"/>
        <v>1139</v>
      </c>
    </row>
    <row r="41" spans="1:29" x14ac:dyDescent="0.55000000000000004">
      <c r="A41" s="2" t="s">
        <v>34</v>
      </c>
      <c r="B41">
        <v>7</v>
      </c>
      <c r="D41" s="5">
        <f t="shared" si="1"/>
        <v>34</v>
      </c>
      <c r="E41" s="5">
        <f t="shared" si="0"/>
        <v>2</v>
      </c>
      <c r="F41" s="5">
        <f t="shared" si="0"/>
        <v>15</v>
      </c>
      <c r="G41" s="5">
        <f t="shared" si="0"/>
        <v>281</v>
      </c>
      <c r="H41" s="5">
        <f t="shared" si="0"/>
        <v>11</v>
      </c>
      <c r="I41" s="5">
        <f t="shared" si="0"/>
        <v>59</v>
      </c>
      <c r="J41" s="5">
        <f t="shared" si="0"/>
        <v>54</v>
      </c>
      <c r="K41" s="5">
        <f t="shared" si="0"/>
        <v>1</v>
      </c>
      <c r="L41" s="5">
        <f t="shared" si="0"/>
        <v>8</v>
      </c>
      <c r="M41" s="5">
        <f t="shared" si="0"/>
        <v>26</v>
      </c>
      <c r="N41" s="5">
        <f t="shared" si="0"/>
        <v>0</v>
      </c>
      <c r="O41" s="5">
        <f t="shared" si="0"/>
        <v>48</v>
      </c>
      <c r="P41" s="5">
        <f t="shared" si="0"/>
        <v>54</v>
      </c>
      <c r="Q41" s="5">
        <f t="shared" si="0"/>
        <v>4</v>
      </c>
      <c r="R41" s="5">
        <f t="shared" si="0"/>
        <v>5</v>
      </c>
      <c r="S41" s="5">
        <f t="shared" si="0"/>
        <v>5</v>
      </c>
      <c r="T41" s="5">
        <f t="shared" si="0"/>
        <v>66</v>
      </c>
      <c r="U41" s="5">
        <f t="shared" si="0"/>
        <v>22</v>
      </c>
      <c r="V41" s="5">
        <f t="shared" si="0"/>
        <v>91</v>
      </c>
      <c r="W41" s="5">
        <f t="shared" si="0"/>
        <v>68</v>
      </c>
      <c r="X41" s="5">
        <f t="shared" si="0"/>
        <v>48</v>
      </c>
      <c r="Y41" s="5">
        <f t="shared" si="0"/>
        <v>3</v>
      </c>
      <c r="Z41" s="5">
        <f t="shared" si="0"/>
        <v>22</v>
      </c>
      <c r="AA41" s="5">
        <f t="shared" si="0"/>
        <v>39</v>
      </c>
      <c r="AB41" s="5">
        <f t="shared" si="0"/>
        <v>3</v>
      </c>
      <c r="AC41" s="5">
        <f t="shared" si="0"/>
        <v>169</v>
      </c>
    </row>
    <row r="42" spans="1:29" x14ac:dyDescent="0.55000000000000004">
      <c r="A42" s="2" t="s">
        <v>35</v>
      </c>
      <c r="B42">
        <v>8</v>
      </c>
      <c r="D42" s="5">
        <f t="shared" si="1"/>
        <v>13</v>
      </c>
      <c r="E42" s="5">
        <f t="shared" si="0"/>
        <v>1</v>
      </c>
      <c r="F42" s="5">
        <f t="shared" si="0"/>
        <v>3</v>
      </c>
      <c r="G42" s="5">
        <f t="shared" si="0"/>
        <v>34</v>
      </c>
      <c r="H42" s="5">
        <f t="shared" si="0"/>
        <v>6</v>
      </c>
      <c r="I42" s="5">
        <f t="shared" si="0"/>
        <v>2</v>
      </c>
      <c r="J42" s="5">
        <f t="shared" si="0"/>
        <v>9</v>
      </c>
      <c r="K42" s="5">
        <f t="shared" si="0"/>
        <v>13</v>
      </c>
      <c r="L42" s="5">
        <f t="shared" si="0"/>
        <v>7</v>
      </c>
      <c r="M42" s="5">
        <f t="shared" si="0"/>
        <v>15</v>
      </c>
      <c r="N42" s="5">
        <f t="shared" si="0"/>
        <v>12</v>
      </c>
      <c r="O42" s="5">
        <f t="shared" si="0"/>
        <v>15</v>
      </c>
      <c r="P42" s="5">
        <f t="shared" si="0"/>
        <v>10</v>
      </c>
      <c r="Q42" s="5">
        <f t="shared" si="0"/>
        <v>1</v>
      </c>
      <c r="R42" s="5">
        <f t="shared" si="0"/>
        <v>0</v>
      </c>
      <c r="S42" s="5">
        <f t="shared" si="0"/>
        <v>0</v>
      </c>
      <c r="T42" s="5">
        <f t="shared" si="0"/>
        <v>1</v>
      </c>
      <c r="U42" s="5">
        <f t="shared" si="0"/>
        <v>8</v>
      </c>
      <c r="V42" s="5">
        <f t="shared" si="0"/>
        <v>3</v>
      </c>
      <c r="W42" s="5">
        <f t="shared" si="0"/>
        <v>15</v>
      </c>
      <c r="X42" s="5">
        <f t="shared" si="0"/>
        <v>13</v>
      </c>
      <c r="Y42" s="5">
        <f t="shared" si="0"/>
        <v>1</v>
      </c>
      <c r="Z42" s="5">
        <f t="shared" si="0"/>
        <v>113</v>
      </c>
      <c r="AA42" s="5">
        <f t="shared" si="0"/>
        <v>10</v>
      </c>
      <c r="AB42" s="5">
        <f t="shared" si="0"/>
        <v>0</v>
      </c>
      <c r="AC42" s="5">
        <f t="shared" si="0"/>
        <v>15</v>
      </c>
    </row>
    <row r="43" spans="1:29" x14ac:dyDescent="0.55000000000000004">
      <c r="A43" s="2" t="s">
        <v>36</v>
      </c>
      <c r="B43">
        <v>9</v>
      </c>
      <c r="D43" s="5">
        <f>HLOOKUP(D$35,$D$2:$AC$10,$B43,FALSE)</f>
        <v>0</v>
      </c>
      <c r="E43" s="5">
        <f t="shared" si="0"/>
        <v>0</v>
      </c>
      <c r="F43" s="5">
        <f t="shared" si="0"/>
        <v>0</v>
      </c>
      <c r="G43" s="5">
        <f t="shared" si="0"/>
        <v>1</v>
      </c>
      <c r="H43" s="5">
        <f t="shared" si="0"/>
        <v>0</v>
      </c>
      <c r="I43" s="5">
        <f t="shared" si="0"/>
        <v>2</v>
      </c>
      <c r="J43" s="5">
        <f t="shared" si="0"/>
        <v>0</v>
      </c>
      <c r="K43" s="5">
        <f t="shared" si="0"/>
        <v>0</v>
      </c>
      <c r="L43" s="5">
        <f t="shared" si="0"/>
        <v>0</v>
      </c>
      <c r="M43" s="5">
        <f t="shared" si="0"/>
        <v>1</v>
      </c>
      <c r="N43" s="5">
        <f t="shared" si="0"/>
        <v>0</v>
      </c>
      <c r="O43" s="5">
        <f t="shared" si="0"/>
        <v>0</v>
      </c>
      <c r="P43" s="5">
        <f t="shared" si="0"/>
        <v>0</v>
      </c>
      <c r="Q43" s="5">
        <f t="shared" si="0"/>
        <v>0</v>
      </c>
      <c r="R43" s="5">
        <f t="shared" si="0"/>
        <v>0</v>
      </c>
      <c r="S43" s="5">
        <f t="shared" si="0"/>
        <v>0</v>
      </c>
      <c r="T43" s="5">
        <f t="shared" si="0"/>
        <v>2</v>
      </c>
      <c r="U43" s="5">
        <f t="shared" si="0"/>
        <v>0</v>
      </c>
      <c r="V43" s="5">
        <f t="shared" si="0"/>
        <v>0</v>
      </c>
      <c r="W43" s="5">
        <f t="shared" si="0"/>
        <v>1</v>
      </c>
      <c r="X43" s="5">
        <f t="shared" si="0"/>
        <v>0</v>
      </c>
      <c r="Y43" s="5">
        <f t="shared" si="0"/>
        <v>0</v>
      </c>
      <c r="Z43" s="5">
        <f t="shared" si="0"/>
        <v>4</v>
      </c>
      <c r="AA43" s="5">
        <f t="shared" si="0"/>
        <v>0</v>
      </c>
      <c r="AB43" s="5">
        <f t="shared" si="0"/>
        <v>0</v>
      </c>
      <c r="AC43" s="5">
        <f t="shared" si="0"/>
        <v>0</v>
      </c>
    </row>
    <row r="44" spans="1:29" x14ac:dyDescent="0.55000000000000004">
      <c r="A44" s="2"/>
    </row>
    <row r="45" spans="1:29" x14ac:dyDescent="0.55000000000000004">
      <c r="A45" s="1" t="s">
        <v>39</v>
      </c>
      <c r="B45" s="1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spans="1:29" x14ac:dyDescent="0.55000000000000004">
      <c r="A46" s="1" t="s">
        <v>28</v>
      </c>
      <c r="B46" s="1" t="s">
        <v>41</v>
      </c>
      <c r="D46" s="4" t="s">
        <v>20</v>
      </c>
      <c r="E46" s="4" t="s">
        <v>17</v>
      </c>
      <c r="F46" s="4" t="s">
        <v>16</v>
      </c>
      <c r="G46" s="4" t="s">
        <v>3</v>
      </c>
      <c r="H46" s="4" t="s">
        <v>14</v>
      </c>
      <c r="I46" s="4" t="s">
        <v>13</v>
      </c>
      <c r="J46" s="4" t="s">
        <v>11</v>
      </c>
      <c r="K46" s="4" t="s">
        <v>26</v>
      </c>
      <c r="L46" s="4" t="s">
        <v>9</v>
      </c>
      <c r="M46" s="4" t="s">
        <v>19</v>
      </c>
      <c r="N46" s="4" t="s">
        <v>27</v>
      </c>
      <c r="O46" s="4" t="s">
        <v>4</v>
      </c>
      <c r="P46" s="4" t="s">
        <v>25</v>
      </c>
      <c r="Q46" s="4" t="s">
        <v>8</v>
      </c>
      <c r="R46" s="4" t="s">
        <v>7</v>
      </c>
      <c r="S46" s="4" t="s">
        <v>18</v>
      </c>
      <c r="T46" s="4" t="s">
        <v>15</v>
      </c>
      <c r="U46" s="4" t="s">
        <v>12</v>
      </c>
      <c r="V46" s="4" t="s">
        <v>6</v>
      </c>
      <c r="W46" s="4" t="s">
        <v>21</v>
      </c>
      <c r="X46" s="4" t="s">
        <v>22</v>
      </c>
      <c r="Y46" s="4" t="s">
        <v>5</v>
      </c>
      <c r="Z46" s="4" t="s">
        <v>23</v>
      </c>
      <c r="AA46" s="4" t="s">
        <v>24</v>
      </c>
      <c r="AB46" s="4" t="s">
        <v>10</v>
      </c>
      <c r="AC46" s="4" t="s">
        <v>2</v>
      </c>
    </row>
    <row r="47" spans="1:29" x14ac:dyDescent="0.55000000000000004">
      <c r="A47" s="2" t="s">
        <v>44</v>
      </c>
      <c r="B47">
        <v>2</v>
      </c>
      <c r="D47" s="5">
        <f>HLOOKUP(D$46,$D$13:$AC$21,$B47,FALSE)</f>
        <v>3</v>
      </c>
      <c r="E47" s="5">
        <f t="shared" ref="E47:AC54" si="2">HLOOKUP(E$46,$D$13:$AC$21,$B47,FALSE)</f>
        <v>0</v>
      </c>
      <c r="F47" s="5">
        <f t="shared" si="2"/>
        <v>1</v>
      </c>
      <c r="G47" s="5">
        <f t="shared" si="2"/>
        <v>0</v>
      </c>
      <c r="H47" s="5">
        <f t="shared" si="2"/>
        <v>1</v>
      </c>
      <c r="I47" s="5">
        <f t="shared" si="2"/>
        <v>0</v>
      </c>
      <c r="J47" s="5">
        <f t="shared" si="2"/>
        <v>0</v>
      </c>
      <c r="K47" s="5">
        <f t="shared" si="2"/>
        <v>0</v>
      </c>
      <c r="L47" s="5">
        <f t="shared" si="2"/>
        <v>0</v>
      </c>
      <c r="M47" s="5">
        <f t="shared" si="2"/>
        <v>6</v>
      </c>
      <c r="N47" s="5">
        <f t="shared" si="2"/>
        <v>1</v>
      </c>
      <c r="O47" s="5">
        <f t="shared" si="2"/>
        <v>3</v>
      </c>
      <c r="P47" s="5">
        <f t="shared" si="2"/>
        <v>0</v>
      </c>
      <c r="Q47" s="5">
        <f t="shared" si="2"/>
        <v>0</v>
      </c>
      <c r="R47" s="5">
        <f t="shared" si="2"/>
        <v>4</v>
      </c>
      <c r="S47" s="5">
        <f t="shared" si="2"/>
        <v>0</v>
      </c>
      <c r="T47" s="5">
        <f t="shared" si="2"/>
        <v>1</v>
      </c>
      <c r="U47" s="5">
        <f t="shared" si="2"/>
        <v>2</v>
      </c>
      <c r="V47" s="5">
        <f t="shared" si="2"/>
        <v>4</v>
      </c>
      <c r="W47" s="5">
        <f t="shared" si="2"/>
        <v>3</v>
      </c>
      <c r="X47" s="5">
        <f t="shared" si="2"/>
        <v>0</v>
      </c>
      <c r="Y47" s="5">
        <f t="shared" si="2"/>
        <v>1</v>
      </c>
      <c r="Z47" s="5">
        <f t="shared" si="2"/>
        <v>0</v>
      </c>
      <c r="AA47" s="5">
        <f t="shared" si="2"/>
        <v>0</v>
      </c>
      <c r="AB47" s="5">
        <f t="shared" si="2"/>
        <v>0</v>
      </c>
      <c r="AC47" s="5">
        <f t="shared" si="2"/>
        <v>0</v>
      </c>
    </row>
    <row r="48" spans="1:29" x14ac:dyDescent="0.55000000000000004">
      <c r="A48" s="2" t="s">
        <v>30</v>
      </c>
      <c r="B48">
        <v>3</v>
      </c>
      <c r="D48" s="5">
        <f t="shared" ref="D48:S54" si="3">HLOOKUP(D$46,$D$13:$AC$21,$B48,FALSE)</f>
        <v>4</v>
      </c>
      <c r="E48" s="5">
        <f t="shared" si="3"/>
        <v>1</v>
      </c>
      <c r="F48" s="5">
        <f t="shared" si="3"/>
        <v>1</v>
      </c>
      <c r="G48" s="5">
        <f t="shared" si="3"/>
        <v>33</v>
      </c>
      <c r="H48" s="5">
        <f t="shared" si="3"/>
        <v>5</v>
      </c>
      <c r="I48" s="5">
        <f t="shared" si="3"/>
        <v>6</v>
      </c>
      <c r="J48" s="5">
        <f t="shared" si="3"/>
        <v>6</v>
      </c>
      <c r="K48" s="5">
        <f t="shared" si="3"/>
        <v>0</v>
      </c>
      <c r="L48" s="5">
        <f t="shared" si="3"/>
        <v>2</v>
      </c>
      <c r="M48" s="5">
        <f t="shared" si="3"/>
        <v>32</v>
      </c>
      <c r="N48" s="5">
        <f t="shared" si="3"/>
        <v>5</v>
      </c>
      <c r="O48" s="5">
        <f t="shared" si="3"/>
        <v>8</v>
      </c>
      <c r="P48" s="5">
        <f t="shared" si="3"/>
        <v>23</v>
      </c>
      <c r="Q48" s="5">
        <f t="shared" si="3"/>
        <v>3</v>
      </c>
      <c r="R48" s="5">
        <f t="shared" si="3"/>
        <v>0</v>
      </c>
      <c r="S48" s="5">
        <f t="shared" si="3"/>
        <v>0</v>
      </c>
      <c r="T48" s="5">
        <f t="shared" si="2"/>
        <v>3</v>
      </c>
      <c r="U48" s="5">
        <f t="shared" si="2"/>
        <v>9</v>
      </c>
      <c r="V48" s="5">
        <f t="shared" si="2"/>
        <v>2</v>
      </c>
      <c r="W48" s="5">
        <f t="shared" si="2"/>
        <v>12</v>
      </c>
      <c r="X48" s="5">
        <f t="shared" si="2"/>
        <v>4</v>
      </c>
      <c r="Y48" s="5">
        <f t="shared" si="2"/>
        <v>2</v>
      </c>
      <c r="Z48" s="5">
        <f t="shared" si="2"/>
        <v>31</v>
      </c>
      <c r="AA48" s="5">
        <f t="shared" si="2"/>
        <v>3</v>
      </c>
      <c r="AB48" s="5">
        <f t="shared" si="2"/>
        <v>0</v>
      </c>
      <c r="AC48" s="5">
        <f t="shared" si="2"/>
        <v>0</v>
      </c>
    </row>
    <row r="49" spans="1:29" x14ac:dyDescent="0.55000000000000004">
      <c r="A49" s="2" t="s">
        <v>31</v>
      </c>
      <c r="B49">
        <v>4</v>
      </c>
      <c r="D49" s="5">
        <f t="shared" si="3"/>
        <v>0</v>
      </c>
      <c r="E49" s="5">
        <f t="shared" si="2"/>
        <v>0</v>
      </c>
      <c r="F49" s="5">
        <f t="shared" si="2"/>
        <v>0</v>
      </c>
      <c r="G49" s="5">
        <f t="shared" si="2"/>
        <v>8</v>
      </c>
      <c r="H49" s="5">
        <f t="shared" si="2"/>
        <v>3</v>
      </c>
      <c r="I49" s="5">
        <f t="shared" si="2"/>
        <v>0</v>
      </c>
      <c r="J49" s="5">
        <f t="shared" si="2"/>
        <v>0</v>
      </c>
      <c r="K49" s="5">
        <f t="shared" si="2"/>
        <v>0</v>
      </c>
      <c r="L49" s="5">
        <f t="shared" si="2"/>
        <v>0</v>
      </c>
      <c r="M49" s="5">
        <f t="shared" si="2"/>
        <v>6</v>
      </c>
      <c r="N49" s="5">
        <f t="shared" si="2"/>
        <v>0</v>
      </c>
      <c r="O49" s="5">
        <f t="shared" si="2"/>
        <v>1</v>
      </c>
      <c r="P49" s="5">
        <f t="shared" si="2"/>
        <v>1</v>
      </c>
      <c r="Q49" s="5">
        <f t="shared" si="2"/>
        <v>0</v>
      </c>
      <c r="R49" s="5">
        <f t="shared" si="2"/>
        <v>0</v>
      </c>
      <c r="S49" s="5">
        <f t="shared" si="2"/>
        <v>0</v>
      </c>
      <c r="T49" s="5">
        <f t="shared" si="2"/>
        <v>1</v>
      </c>
      <c r="U49" s="5">
        <f t="shared" si="2"/>
        <v>0</v>
      </c>
      <c r="V49" s="5">
        <f t="shared" si="2"/>
        <v>1</v>
      </c>
      <c r="W49" s="5">
        <f t="shared" si="2"/>
        <v>2</v>
      </c>
      <c r="X49" s="5">
        <f t="shared" si="2"/>
        <v>2</v>
      </c>
      <c r="Y49" s="5">
        <f t="shared" si="2"/>
        <v>0</v>
      </c>
      <c r="Z49" s="5">
        <f t="shared" si="2"/>
        <v>2</v>
      </c>
      <c r="AA49" s="5">
        <f t="shared" si="2"/>
        <v>3</v>
      </c>
      <c r="AB49" s="5">
        <f t="shared" si="2"/>
        <v>2</v>
      </c>
      <c r="AC49" s="5">
        <f t="shared" si="2"/>
        <v>0</v>
      </c>
    </row>
    <row r="50" spans="1:29" x14ac:dyDescent="0.55000000000000004">
      <c r="A50" s="2" t="s">
        <v>32</v>
      </c>
      <c r="B50">
        <v>5</v>
      </c>
      <c r="D50" s="5">
        <f t="shared" si="3"/>
        <v>159</v>
      </c>
      <c r="E50" s="5">
        <f t="shared" si="2"/>
        <v>1</v>
      </c>
      <c r="F50" s="5">
        <f t="shared" si="2"/>
        <v>26</v>
      </c>
      <c r="G50" s="5">
        <f t="shared" si="2"/>
        <v>346</v>
      </c>
      <c r="H50" s="5">
        <f t="shared" si="2"/>
        <v>96</v>
      </c>
      <c r="I50" s="5">
        <f t="shared" si="2"/>
        <v>30</v>
      </c>
      <c r="J50" s="5">
        <f t="shared" si="2"/>
        <v>58</v>
      </c>
      <c r="K50" s="5">
        <f t="shared" si="2"/>
        <v>25</v>
      </c>
      <c r="L50" s="5">
        <f t="shared" si="2"/>
        <v>12</v>
      </c>
      <c r="M50" s="5">
        <f t="shared" si="2"/>
        <v>102</v>
      </c>
      <c r="N50" s="5">
        <f t="shared" si="2"/>
        <v>18</v>
      </c>
      <c r="O50" s="5">
        <f t="shared" si="2"/>
        <v>108</v>
      </c>
      <c r="P50" s="5">
        <f t="shared" si="2"/>
        <v>46</v>
      </c>
      <c r="Q50" s="5">
        <f t="shared" si="2"/>
        <v>29</v>
      </c>
      <c r="R50" s="5">
        <f t="shared" si="2"/>
        <v>1</v>
      </c>
      <c r="S50" s="5">
        <f t="shared" si="2"/>
        <v>26</v>
      </c>
      <c r="T50" s="5">
        <f t="shared" si="2"/>
        <v>17</v>
      </c>
      <c r="U50" s="5">
        <f t="shared" si="2"/>
        <v>98</v>
      </c>
      <c r="V50" s="5">
        <f t="shared" si="2"/>
        <v>71</v>
      </c>
      <c r="W50" s="5">
        <f t="shared" si="2"/>
        <v>58</v>
      </c>
      <c r="X50" s="5">
        <f t="shared" si="2"/>
        <v>70</v>
      </c>
      <c r="Y50" s="5">
        <f t="shared" si="2"/>
        <v>7</v>
      </c>
      <c r="Z50" s="5">
        <f t="shared" si="2"/>
        <v>90</v>
      </c>
      <c r="AA50" s="5">
        <f t="shared" si="2"/>
        <v>64</v>
      </c>
      <c r="AB50" s="5">
        <f t="shared" si="2"/>
        <v>32</v>
      </c>
      <c r="AC50" s="5">
        <f t="shared" si="2"/>
        <v>305</v>
      </c>
    </row>
    <row r="51" spans="1:29" x14ac:dyDescent="0.55000000000000004">
      <c r="A51" s="2" t="s">
        <v>33</v>
      </c>
      <c r="B51">
        <v>6</v>
      </c>
      <c r="D51" s="5">
        <f t="shared" si="3"/>
        <v>109</v>
      </c>
      <c r="E51" s="5">
        <f t="shared" si="2"/>
        <v>1</v>
      </c>
      <c r="F51" s="5">
        <f t="shared" si="2"/>
        <v>6</v>
      </c>
      <c r="G51" s="5">
        <f t="shared" si="2"/>
        <v>124</v>
      </c>
      <c r="H51" s="5">
        <f t="shared" si="2"/>
        <v>30</v>
      </c>
      <c r="I51" s="5">
        <f t="shared" si="2"/>
        <v>22</v>
      </c>
      <c r="J51" s="5">
        <f t="shared" si="2"/>
        <v>43</v>
      </c>
      <c r="K51" s="5">
        <f t="shared" si="2"/>
        <v>0</v>
      </c>
      <c r="L51" s="5">
        <f t="shared" si="2"/>
        <v>6</v>
      </c>
      <c r="M51" s="5">
        <f t="shared" si="2"/>
        <v>97</v>
      </c>
      <c r="N51" s="5">
        <f t="shared" si="2"/>
        <v>1</v>
      </c>
      <c r="O51" s="5">
        <f t="shared" si="2"/>
        <v>230</v>
      </c>
      <c r="P51" s="5">
        <f t="shared" si="2"/>
        <v>2</v>
      </c>
      <c r="Q51" s="5">
        <f t="shared" si="2"/>
        <v>15</v>
      </c>
      <c r="R51" s="5">
        <f t="shared" si="2"/>
        <v>3</v>
      </c>
      <c r="S51" s="5">
        <f t="shared" si="2"/>
        <v>59</v>
      </c>
      <c r="T51" s="5">
        <f t="shared" si="2"/>
        <v>10</v>
      </c>
      <c r="U51" s="5">
        <f t="shared" si="2"/>
        <v>34</v>
      </c>
      <c r="V51" s="5">
        <f t="shared" si="2"/>
        <v>27</v>
      </c>
      <c r="W51" s="5">
        <f t="shared" si="2"/>
        <v>68</v>
      </c>
      <c r="X51" s="5">
        <f t="shared" si="2"/>
        <v>13</v>
      </c>
      <c r="Y51" s="5">
        <f t="shared" si="2"/>
        <v>5</v>
      </c>
      <c r="Z51" s="5">
        <f t="shared" si="2"/>
        <v>48</v>
      </c>
      <c r="AA51" s="5">
        <f t="shared" si="2"/>
        <v>13</v>
      </c>
      <c r="AB51" s="5">
        <f t="shared" si="2"/>
        <v>109</v>
      </c>
      <c r="AC51" s="5">
        <f t="shared" si="2"/>
        <v>509</v>
      </c>
    </row>
    <row r="52" spans="1:29" x14ac:dyDescent="0.55000000000000004">
      <c r="A52" s="2" t="s">
        <v>34</v>
      </c>
      <c r="B52">
        <v>7</v>
      </c>
      <c r="D52" s="5">
        <f t="shared" si="3"/>
        <v>115</v>
      </c>
      <c r="E52" s="5">
        <f t="shared" si="2"/>
        <v>1</v>
      </c>
      <c r="F52" s="5">
        <f t="shared" si="2"/>
        <v>13</v>
      </c>
      <c r="G52" s="5">
        <f t="shared" si="2"/>
        <v>321</v>
      </c>
      <c r="H52" s="5">
        <f t="shared" si="2"/>
        <v>35</v>
      </c>
      <c r="I52" s="5">
        <f t="shared" si="2"/>
        <v>140</v>
      </c>
      <c r="J52" s="5">
        <f t="shared" si="2"/>
        <v>83</v>
      </c>
      <c r="K52" s="5">
        <f t="shared" si="2"/>
        <v>0</v>
      </c>
      <c r="L52" s="5">
        <f t="shared" si="2"/>
        <v>12</v>
      </c>
      <c r="M52" s="5">
        <f t="shared" si="2"/>
        <v>60</v>
      </c>
      <c r="N52" s="5">
        <f t="shared" si="2"/>
        <v>0</v>
      </c>
      <c r="O52" s="5">
        <f t="shared" si="2"/>
        <v>89</v>
      </c>
      <c r="P52" s="5">
        <f t="shared" si="2"/>
        <v>55</v>
      </c>
      <c r="Q52" s="5">
        <f t="shared" si="2"/>
        <v>16</v>
      </c>
      <c r="R52" s="5">
        <f t="shared" si="2"/>
        <v>13</v>
      </c>
      <c r="S52" s="5">
        <f t="shared" si="2"/>
        <v>1</v>
      </c>
      <c r="T52" s="5">
        <f t="shared" si="2"/>
        <v>57</v>
      </c>
      <c r="U52" s="5">
        <f t="shared" si="2"/>
        <v>37</v>
      </c>
      <c r="V52" s="5">
        <f t="shared" si="2"/>
        <v>94</v>
      </c>
      <c r="W52" s="5">
        <f t="shared" si="2"/>
        <v>44</v>
      </c>
      <c r="X52" s="5">
        <f t="shared" si="2"/>
        <v>20</v>
      </c>
      <c r="Y52" s="5">
        <f t="shared" si="2"/>
        <v>15</v>
      </c>
      <c r="Z52" s="5">
        <f t="shared" si="2"/>
        <v>76</v>
      </c>
      <c r="AA52" s="5">
        <f t="shared" si="2"/>
        <v>67</v>
      </c>
      <c r="AB52" s="5">
        <f t="shared" si="2"/>
        <v>37</v>
      </c>
      <c r="AC52" s="5">
        <f t="shared" si="2"/>
        <v>333</v>
      </c>
    </row>
    <row r="53" spans="1:29" x14ac:dyDescent="0.55000000000000004">
      <c r="A53" s="2" t="s">
        <v>35</v>
      </c>
      <c r="B53">
        <v>8</v>
      </c>
      <c r="D53" s="5">
        <f t="shared" si="3"/>
        <v>6</v>
      </c>
      <c r="E53" s="5">
        <f t="shared" si="2"/>
        <v>0</v>
      </c>
      <c r="F53" s="5">
        <f t="shared" si="2"/>
        <v>2</v>
      </c>
      <c r="G53" s="5">
        <f t="shared" si="2"/>
        <v>25</v>
      </c>
      <c r="H53" s="5">
        <f t="shared" si="2"/>
        <v>0</v>
      </c>
      <c r="I53" s="5">
        <f t="shared" si="2"/>
        <v>1</v>
      </c>
      <c r="J53" s="5">
        <f t="shared" si="2"/>
        <v>3</v>
      </c>
      <c r="K53" s="5">
        <f t="shared" si="2"/>
        <v>16</v>
      </c>
      <c r="L53" s="5">
        <f t="shared" si="2"/>
        <v>1</v>
      </c>
      <c r="M53" s="5">
        <f t="shared" si="2"/>
        <v>14</v>
      </c>
      <c r="N53" s="5">
        <f t="shared" si="2"/>
        <v>3</v>
      </c>
      <c r="O53" s="5">
        <f t="shared" si="2"/>
        <v>9</v>
      </c>
      <c r="P53" s="5">
        <f t="shared" si="2"/>
        <v>7</v>
      </c>
      <c r="Q53" s="5">
        <f t="shared" si="2"/>
        <v>0</v>
      </c>
      <c r="R53" s="5">
        <f t="shared" si="2"/>
        <v>0</v>
      </c>
      <c r="S53" s="5">
        <f t="shared" si="2"/>
        <v>1</v>
      </c>
      <c r="T53" s="5">
        <f t="shared" si="2"/>
        <v>1</v>
      </c>
      <c r="U53" s="5">
        <f t="shared" si="2"/>
        <v>1</v>
      </c>
      <c r="V53" s="5">
        <f t="shared" si="2"/>
        <v>6</v>
      </c>
      <c r="W53" s="5">
        <f t="shared" si="2"/>
        <v>1</v>
      </c>
      <c r="X53" s="5">
        <f t="shared" si="2"/>
        <v>6</v>
      </c>
      <c r="Y53" s="5">
        <f t="shared" si="2"/>
        <v>0</v>
      </c>
      <c r="Z53" s="5">
        <f t="shared" si="2"/>
        <v>40</v>
      </c>
      <c r="AA53" s="5">
        <f t="shared" si="2"/>
        <v>1</v>
      </c>
      <c r="AB53" s="5">
        <f t="shared" si="2"/>
        <v>0</v>
      </c>
      <c r="AC53" s="5">
        <f t="shared" si="2"/>
        <v>4</v>
      </c>
    </row>
    <row r="54" spans="1:29" x14ac:dyDescent="0.55000000000000004">
      <c r="A54" s="2" t="s">
        <v>36</v>
      </c>
      <c r="B54">
        <v>9</v>
      </c>
      <c r="D54" s="5">
        <f t="shared" si="3"/>
        <v>0</v>
      </c>
      <c r="E54" s="5">
        <f t="shared" si="2"/>
        <v>0</v>
      </c>
      <c r="F54" s="5">
        <f t="shared" si="2"/>
        <v>0</v>
      </c>
      <c r="G54" s="5">
        <f t="shared" si="2"/>
        <v>1</v>
      </c>
      <c r="H54" s="5">
        <f t="shared" si="2"/>
        <v>0</v>
      </c>
      <c r="I54" s="5">
        <f t="shared" si="2"/>
        <v>1</v>
      </c>
      <c r="J54" s="5">
        <f t="shared" si="2"/>
        <v>0</v>
      </c>
      <c r="K54" s="5">
        <f t="shared" si="2"/>
        <v>3</v>
      </c>
      <c r="L54" s="5">
        <f t="shared" si="2"/>
        <v>0</v>
      </c>
      <c r="M54" s="5">
        <f t="shared" si="2"/>
        <v>5</v>
      </c>
      <c r="N54" s="5">
        <f t="shared" si="2"/>
        <v>0</v>
      </c>
      <c r="O54" s="5">
        <f t="shared" si="2"/>
        <v>0</v>
      </c>
      <c r="P54" s="5">
        <f t="shared" si="2"/>
        <v>0</v>
      </c>
      <c r="Q54" s="5">
        <f t="shared" si="2"/>
        <v>0</v>
      </c>
      <c r="R54" s="5">
        <f t="shared" si="2"/>
        <v>0</v>
      </c>
      <c r="S54" s="5">
        <f t="shared" si="2"/>
        <v>0</v>
      </c>
      <c r="T54" s="5">
        <f t="shared" si="2"/>
        <v>0</v>
      </c>
      <c r="U54" s="5">
        <f t="shared" si="2"/>
        <v>0</v>
      </c>
      <c r="V54" s="5">
        <f t="shared" si="2"/>
        <v>0</v>
      </c>
      <c r="W54" s="5">
        <f t="shared" si="2"/>
        <v>0</v>
      </c>
      <c r="X54" s="5">
        <f t="shared" si="2"/>
        <v>0</v>
      </c>
      <c r="Y54" s="5">
        <f t="shared" si="2"/>
        <v>0</v>
      </c>
      <c r="Z54" s="5">
        <f t="shared" si="2"/>
        <v>2</v>
      </c>
      <c r="AA54" s="5">
        <f t="shared" si="2"/>
        <v>0</v>
      </c>
      <c r="AB54" s="5">
        <f t="shared" si="2"/>
        <v>0</v>
      </c>
      <c r="AC54" s="5">
        <f t="shared" si="2"/>
        <v>0</v>
      </c>
    </row>
    <row r="55" spans="1:29" x14ac:dyDescent="0.55000000000000004">
      <c r="A55" s="2"/>
    </row>
    <row r="56" spans="1:29" x14ac:dyDescent="0.55000000000000004">
      <c r="A56" s="1" t="s">
        <v>38</v>
      </c>
      <c r="B56" s="1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spans="1:29" x14ac:dyDescent="0.55000000000000004">
      <c r="A57" s="1" t="s">
        <v>28</v>
      </c>
      <c r="B57" s="1" t="s">
        <v>41</v>
      </c>
      <c r="D57" s="4" t="s">
        <v>20</v>
      </c>
      <c r="E57" s="4" t="s">
        <v>17</v>
      </c>
      <c r="F57" s="4" t="s">
        <v>16</v>
      </c>
      <c r="G57" s="4" t="s">
        <v>3</v>
      </c>
      <c r="H57" s="4" t="s">
        <v>14</v>
      </c>
      <c r="I57" s="4" t="s">
        <v>13</v>
      </c>
      <c r="J57" s="4" t="s">
        <v>11</v>
      </c>
      <c r="K57" s="4" t="s">
        <v>26</v>
      </c>
      <c r="L57" s="4" t="s">
        <v>9</v>
      </c>
      <c r="M57" s="4" t="s">
        <v>19</v>
      </c>
      <c r="N57" s="4" t="s">
        <v>27</v>
      </c>
      <c r="O57" s="4" t="s">
        <v>4</v>
      </c>
      <c r="P57" s="4" t="s">
        <v>25</v>
      </c>
      <c r="Q57" s="4" t="s">
        <v>8</v>
      </c>
      <c r="R57" s="4" t="s">
        <v>7</v>
      </c>
      <c r="S57" s="4" t="s">
        <v>18</v>
      </c>
      <c r="T57" s="4" t="s">
        <v>15</v>
      </c>
      <c r="U57" s="4" t="s">
        <v>12</v>
      </c>
      <c r="V57" s="4" t="s">
        <v>6</v>
      </c>
      <c r="W57" s="4" t="s">
        <v>21</v>
      </c>
      <c r="X57" s="4" t="s">
        <v>22</v>
      </c>
      <c r="Y57" s="4" t="s">
        <v>5</v>
      </c>
      <c r="Z57" s="4" t="s">
        <v>23</v>
      </c>
      <c r="AA57" s="4" t="s">
        <v>24</v>
      </c>
      <c r="AB57" s="4" t="s">
        <v>10</v>
      </c>
      <c r="AC57" s="4" t="s">
        <v>2</v>
      </c>
    </row>
    <row r="58" spans="1:29" x14ac:dyDescent="0.55000000000000004">
      <c r="A58" s="2" t="s">
        <v>44</v>
      </c>
      <c r="B58">
        <v>2</v>
      </c>
      <c r="D58" s="5">
        <f>HLOOKUP(D$57,$D$24:$AC$32,$B58,FALSE)</f>
        <v>0</v>
      </c>
      <c r="E58" s="5">
        <f t="shared" ref="E58:AC65" si="4">HLOOKUP(E$57,$D$24:$AC$32,$B58,FALSE)</f>
        <v>0</v>
      </c>
      <c r="F58" s="5">
        <f t="shared" si="4"/>
        <v>0</v>
      </c>
      <c r="G58" s="5">
        <f t="shared" si="4"/>
        <v>0</v>
      </c>
      <c r="H58" s="5">
        <f t="shared" si="4"/>
        <v>0</v>
      </c>
      <c r="I58" s="5">
        <f t="shared" si="4"/>
        <v>0</v>
      </c>
      <c r="J58" s="5">
        <f t="shared" si="4"/>
        <v>0</v>
      </c>
      <c r="K58" s="5">
        <f t="shared" si="4"/>
        <v>0</v>
      </c>
      <c r="L58" s="5">
        <f t="shared" si="4"/>
        <v>1</v>
      </c>
      <c r="M58" s="5">
        <f t="shared" si="4"/>
        <v>1</v>
      </c>
      <c r="N58" s="5">
        <f t="shared" si="4"/>
        <v>0</v>
      </c>
      <c r="O58" s="5">
        <f t="shared" si="4"/>
        <v>0</v>
      </c>
      <c r="P58" s="5">
        <f t="shared" si="4"/>
        <v>0</v>
      </c>
      <c r="Q58" s="5">
        <f t="shared" si="4"/>
        <v>0</v>
      </c>
      <c r="R58" s="5">
        <f t="shared" si="4"/>
        <v>0</v>
      </c>
      <c r="S58" s="5">
        <f t="shared" si="4"/>
        <v>0</v>
      </c>
      <c r="T58" s="5">
        <f t="shared" si="4"/>
        <v>0</v>
      </c>
      <c r="U58" s="5">
        <f t="shared" si="4"/>
        <v>0</v>
      </c>
      <c r="V58" s="5">
        <f t="shared" si="4"/>
        <v>0</v>
      </c>
      <c r="W58" s="5">
        <f t="shared" si="4"/>
        <v>1</v>
      </c>
      <c r="X58" s="5">
        <f t="shared" si="4"/>
        <v>1</v>
      </c>
      <c r="Y58" s="5">
        <f t="shared" si="4"/>
        <v>0</v>
      </c>
      <c r="Z58" s="5">
        <f t="shared" si="4"/>
        <v>0</v>
      </c>
      <c r="AA58" s="5">
        <f t="shared" si="4"/>
        <v>0</v>
      </c>
      <c r="AB58" s="5">
        <f t="shared" si="4"/>
        <v>0</v>
      </c>
      <c r="AC58" s="5">
        <f t="shared" si="4"/>
        <v>0</v>
      </c>
    </row>
    <row r="59" spans="1:29" x14ac:dyDescent="0.55000000000000004">
      <c r="A59" s="2" t="s">
        <v>30</v>
      </c>
      <c r="B59">
        <v>3</v>
      </c>
      <c r="D59" s="5">
        <f t="shared" ref="D59:S65" si="5">HLOOKUP(D$57,$D$24:$AC$32,$B59,FALSE)</f>
        <v>1</v>
      </c>
      <c r="E59" s="5">
        <f t="shared" si="5"/>
        <v>0</v>
      </c>
      <c r="F59" s="5">
        <f t="shared" si="5"/>
        <v>2</v>
      </c>
      <c r="G59" s="5">
        <f t="shared" si="5"/>
        <v>8</v>
      </c>
      <c r="H59" s="5">
        <f t="shared" si="5"/>
        <v>2</v>
      </c>
      <c r="I59" s="5">
        <f t="shared" si="5"/>
        <v>0</v>
      </c>
      <c r="J59" s="5">
        <f t="shared" si="5"/>
        <v>2</v>
      </c>
      <c r="K59" s="5">
        <f t="shared" si="5"/>
        <v>0</v>
      </c>
      <c r="L59" s="5">
        <f t="shared" si="5"/>
        <v>1</v>
      </c>
      <c r="M59" s="5">
        <f t="shared" si="5"/>
        <v>3</v>
      </c>
      <c r="N59" s="5">
        <f t="shared" si="5"/>
        <v>0</v>
      </c>
      <c r="O59" s="5">
        <f t="shared" si="5"/>
        <v>1</v>
      </c>
      <c r="P59" s="5">
        <f t="shared" si="5"/>
        <v>1</v>
      </c>
      <c r="Q59" s="5">
        <f t="shared" si="5"/>
        <v>1</v>
      </c>
      <c r="R59" s="5">
        <f t="shared" si="5"/>
        <v>0</v>
      </c>
      <c r="S59" s="5">
        <f t="shared" si="5"/>
        <v>0</v>
      </c>
      <c r="T59" s="5">
        <f t="shared" si="4"/>
        <v>0</v>
      </c>
      <c r="U59" s="5">
        <f t="shared" si="4"/>
        <v>4</v>
      </c>
      <c r="V59" s="5">
        <f t="shared" si="4"/>
        <v>0</v>
      </c>
      <c r="W59" s="5">
        <f t="shared" si="4"/>
        <v>3</v>
      </c>
      <c r="X59" s="5">
        <f t="shared" si="4"/>
        <v>0</v>
      </c>
      <c r="Y59" s="5">
        <f t="shared" si="4"/>
        <v>0</v>
      </c>
      <c r="Z59" s="5">
        <f t="shared" si="4"/>
        <v>2</v>
      </c>
      <c r="AA59" s="5">
        <f t="shared" si="4"/>
        <v>2</v>
      </c>
      <c r="AB59" s="5">
        <f t="shared" si="4"/>
        <v>0</v>
      </c>
      <c r="AC59" s="5">
        <f t="shared" si="4"/>
        <v>0</v>
      </c>
    </row>
    <row r="60" spans="1:29" x14ac:dyDescent="0.55000000000000004">
      <c r="A60" s="2" t="s">
        <v>31</v>
      </c>
      <c r="B60">
        <v>4</v>
      </c>
      <c r="D60" s="5">
        <f t="shared" si="5"/>
        <v>0</v>
      </c>
      <c r="E60" s="5">
        <f t="shared" si="4"/>
        <v>0</v>
      </c>
      <c r="F60" s="5">
        <f t="shared" si="4"/>
        <v>0</v>
      </c>
      <c r="G60" s="5">
        <f t="shared" si="4"/>
        <v>2</v>
      </c>
      <c r="H60" s="5">
        <f t="shared" si="4"/>
        <v>1</v>
      </c>
      <c r="I60" s="5">
        <f t="shared" si="4"/>
        <v>0</v>
      </c>
      <c r="J60" s="5">
        <f t="shared" si="4"/>
        <v>1</v>
      </c>
      <c r="K60" s="5">
        <f t="shared" si="4"/>
        <v>0</v>
      </c>
      <c r="L60" s="5">
        <f t="shared" si="4"/>
        <v>0</v>
      </c>
      <c r="M60" s="5">
        <f t="shared" si="4"/>
        <v>1</v>
      </c>
      <c r="N60" s="5">
        <f t="shared" si="4"/>
        <v>0</v>
      </c>
      <c r="O60" s="5">
        <f t="shared" si="4"/>
        <v>2</v>
      </c>
      <c r="P60" s="5">
        <f t="shared" si="4"/>
        <v>0</v>
      </c>
      <c r="Q60" s="5">
        <f t="shared" si="4"/>
        <v>0</v>
      </c>
      <c r="R60" s="5">
        <f t="shared" si="4"/>
        <v>0</v>
      </c>
      <c r="S60" s="5">
        <f t="shared" si="4"/>
        <v>1</v>
      </c>
      <c r="T60" s="5">
        <f t="shared" si="4"/>
        <v>0</v>
      </c>
      <c r="U60" s="5">
        <f t="shared" si="4"/>
        <v>0</v>
      </c>
      <c r="V60" s="5">
        <f t="shared" si="4"/>
        <v>0</v>
      </c>
      <c r="W60" s="5">
        <f t="shared" si="4"/>
        <v>2</v>
      </c>
      <c r="X60" s="5">
        <f t="shared" si="4"/>
        <v>0</v>
      </c>
      <c r="Y60" s="5">
        <f t="shared" si="4"/>
        <v>0</v>
      </c>
      <c r="Z60" s="5">
        <f t="shared" si="4"/>
        <v>1</v>
      </c>
      <c r="AA60" s="5">
        <f t="shared" si="4"/>
        <v>2</v>
      </c>
      <c r="AB60" s="5">
        <f t="shared" si="4"/>
        <v>0</v>
      </c>
      <c r="AC60" s="5">
        <f t="shared" si="4"/>
        <v>0</v>
      </c>
    </row>
    <row r="61" spans="1:29" x14ac:dyDescent="0.55000000000000004">
      <c r="A61" s="2" t="s">
        <v>32</v>
      </c>
      <c r="B61">
        <v>5</v>
      </c>
      <c r="D61" s="5">
        <f t="shared" si="5"/>
        <v>26</v>
      </c>
      <c r="E61" s="5">
        <f t="shared" si="4"/>
        <v>1</v>
      </c>
      <c r="F61" s="5">
        <f t="shared" si="4"/>
        <v>1</v>
      </c>
      <c r="G61" s="5">
        <f t="shared" si="4"/>
        <v>30</v>
      </c>
      <c r="H61" s="5">
        <f t="shared" si="4"/>
        <v>14</v>
      </c>
      <c r="I61" s="5">
        <f t="shared" si="4"/>
        <v>1</v>
      </c>
      <c r="J61" s="5">
        <f t="shared" si="4"/>
        <v>4</v>
      </c>
      <c r="K61" s="5">
        <f t="shared" si="4"/>
        <v>3</v>
      </c>
      <c r="L61" s="5">
        <f t="shared" si="4"/>
        <v>2</v>
      </c>
      <c r="M61" s="5">
        <f t="shared" si="4"/>
        <v>7</v>
      </c>
      <c r="N61" s="5">
        <f t="shared" si="4"/>
        <v>10</v>
      </c>
      <c r="O61" s="5">
        <f t="shared" si="4"/>
        <v>10</v>
      </c>
      <c r="P61" s="5">
        <f t="shared" si="4"/>
        <v>4</v>
      </c>
      <c r="Q61" s="5">
        <f t="shared" si="4"/>
        <v>1</v>
      </c>
      <c r="R61" s="5">
        <f t="shared" si="4"/>
        <v>0</v>
      </c>
      <c r="S61" s="5">
        <f t="shared" si="4"/>
        <v>4</v>
      </c>
      <c r="T61" s="5">
        <f t="shared" si="4"/>
        <v>8</v>
      </c>
      <c r="U61" s="5">
        <f t="shared" si="4"/>
        <v>14</v>
      </c>
      <c r="V61" s="5">
        <f t="shared" si="4"/>
        <v>5</v>
      </c>
      <c r="W61" s="5">
        <f t="shared" si="4"/>
        <v>22</v>
      </c>
      <c r="X61" s="5">
        <f t="shared" si="4"/>
        <v>15</v>
      </c>
      <c r="Y61" s="5">
        <f t="shared" si="4"/>
        <v>2</v>
      </c>
      <c r="Z61" s="5">
        <f t="shared" si="4"/>
        <v>9</v>
      </c>
      <c r="AA61" s="5">
        <f t="shared" si="4"/>
        <v>10</v>
      </c>
      <c r="AB61" s="5">
        <f t="shared" si="4"/>
        <v>4</v>
      </c>
      <c r="AC61" s="5">
        <f t="shared" si="4"/>
        <v>34</v>
      </c>
    </row>
    <row r="62" spans="1:29" x14ac:dyDescent="0.55000000000000004">
      <c r="A62" s="2" t="s">
        <v>33</v>
      </c>
      <c r="B62">
        <v>6</v>
      </c>
      <c r="D62" s="5">
        <f t="shared" si="5"/>
        <v>9</v>
      </c>
      <c r="E62" s="5">
        <f t="shared" si="4"/>
        <v>1</v>
      </c>
      <c r="F62" s="5">
        <f t="shared" si="4"/>
        <v>1</v>
      </c>
      <c r="G62" s="5">
        <f t="shared" si="4"/>
        <v>8</v>
      </c>
      <c r="H62" s="5">
        <f t="shared" si="4"/>
        <v>1</v>
      </c>
      <c r="I62" s="5">
        <f t="shared" si="4"/>
        <v>1</v>
      </c>
      <c r="J62" s="5">
        <f t="shared" si="4"/>
        <v>1</v>
      </c>
      <c r="K62" s="5">
        <f t="shared" si="4"/>
        <v>2</v>
      </c>
      <c r="L62" s="5">
        <f t="shared" si="4"/>
        <v>1</v>
      </c>
      <c r="M62" s="5">
        <f t="shared" si="4"/>
        <v>4</v>
      </c>
      <c r="N62" s="5">
        <f t="shared" si="4"/>
        <v>0</v>
      </c>
      <c r="O62" s="5">
        <f t="shared" si="4"/>
        <v>12</v>
      </c>
      <c r="P62" s="5">
        <f t="shared" si="4"/>
        <v>0</v>
      </c>
      <c r="Q62" s="5">
        <f t="shared" si="4"/>
        <v>1</v>
      </c>
      <c r="R62" s="5">
        <f t="shared" si="4"/>
        <v>0</v>
      </c>
      <c r="S62" s="5">
        <f t="shared" si="4"/>
        <v>10</v>
      </c>
      <c r="T62" s="5">
        <f>HLOOKUP(T$57,$D$24:$AC$32,$B62,FALSE)</f>
        <v>2</v>
      </c>
      <c r="U62" s="5">
        <f t="shared" si="4"/>
        <v>7</v>
      </c>
      <c r="V62" s="5">
        <f t="shared" si="4"/>
        <v>5</v>
      </c>
      <c r="W62" s="5">
        <f t="shared" si="4"/>
        <v>23</v>
      </c>
      <c r="X62" s="5">
        <f t="shared" si="4"/>
        <v>6</v>
      </c>
      <c r="Y62" s="5">
        <f t="shared" si="4"/>
        <v>0</v>
      </c>
      <c r="Z62" s="5">
        <f t="shared" si="4"/>
        <v>7</v>
      </c>
      <c r="AA62" s="5">
        <f t="shared" si="4"/>
        <v>3</v>
      </c>
      <c r="AB62" s="5">
        <f t="shared" si="4"/>
        <v>0</v>
      </c>
      <c r="AC62" s="5">
        <f t="shared" si="4"/>
        <v>18</v>
      </c>
    </row>
    <row r="63" spans="1:29" x14ac:dyDescent="0.55000000000000004">
      <c r="A63" s="2" t="s">
        <v>34</v>
      </c>
      <c r="B63">
        <v>7</v>
      </c>
      <c r="D63" s="5">
        <f t="shared" si="5"/>
        <v>25</v>
      </c>
      <c r="E63" s="5">
        <f t="shared" si="4"/>
        <v>0</v>
      </c>
      <c r="F63" s="5">
        <f t="shared" si="4"/>
        <v>0</v>
      </c>
      <c r="G63" s="5">
        <f t="shared" si="4"/>
        <v>47</v>
      </c>
      <c r="H63" s="5">
        <f t="shared" si="4"/>
        <v>8</v>
      </c>
      <c r="I63" s="5">
        <f t="shared" si="4"/>
        <v>12</v>
      </c>
      <c r="J63" s="5">
        <f t="shared" si="4"/>
        <v>16</v>
      </c>
      <c r="K63" s="5">
        <f t="shared" si="4"/>
        <v>1</v>
      </c>
      <c r="L63" s="5">
        <f t="shared" si="4"/>
        <v>8</v>
      </c>
      <c r="M63" s="5">
        <f t="shared" si="4"/>
        <v>9</v>
      </c>
      <c r="N63" s="5">
        <f t="shared" si="4"/>
        <v>0</v>
      </c>
      <c r="O63" s="5">
        <f t="shared" si="4"/>
        <v>19</v>
      </c>
      <c r="P63" s="5">
        <f t="shared" si="4"/>
        <v>1</v>
      </c>
      <c r="Q63" s="5">
        <f t="shared" si="4"/>
        <v>4</v>
      </c>
      <c r="R63" s="5">
        <f t="shared" si="4"/>
        <v>0</v>
      </c>
      <c r="S63" s="5">
        <f t="shared" si="4"/>
        <v>0</v>
      </c>
      <c r="T63" s="5">
        <f t="shared" si="4"/>
        <v>20</v>
      </c>
      <c r="U63" s="5">
        <f t="shared" si="4"/>
        <v>10</v>
      </c>
      <c r="V63" s="5">
        <f t="shared" si="4"/>
        <v>24</v>
      </c>
      <c r="W63" s="5">
        <f t="shared" si="4"/>
        <v>14</v>
      </c>
      <c r="X63" s="5">
        <f t="shared" si="4"/>
        <v>8</v>
      </c>
      <c r="Y63" s="5">
        <f t="shared" si="4"/>
        <v>2</v>
      </c>
      <c r="Z63" s="5">
        <f t="shared" si="4"/>
        <v>16</v>
      </c>
      <c r="AA63" s="5">
        <f t="shared" si="4"/>
        <v>16</v>
      </c>
      <c r="AB63" s="5">
        <f t="shared" si="4"/>
        <v>15</v>
      </c>
      <c r="AC63" s="5">
        <f t="shared" si="4"/>
        <v>37</v>
      </c>
    </row>
    <row r="64" spans="1:29" x14ac:dyDescent="0.55000000000000004">
      <c r="A64" s="2" t="s">
        <v>35</v>
      </c>
      <c r="B64">
        <v>8</v>
      </c>
      <c r="D64" s="5">
        <f t="shared" si="5"/>
        <v>0</v>
      </c>
      <c r="E64" s="5">
        <f t="shared" si="4"/>
        <v>0</v>
      </c>
      <c r="F64" s="5">
        <f t="shared" si="4"/>
        <v>0</v>
      </c>
      <c r="G64" s="5">
        <f t="shared" si="4"/>
        <v>2</v>
      </c>
      <c r="H64" s="5">
        <f t="shared" si="4"/>
        <v>0</v>
      </c>
      <c r="I64" s="5">
        <f t="shared" si="4"/>
        <v>0</v>
      </c>
      <c r="J64" s="5">
        <f t="shared" si="4"/>
        <v>1</v>
      </c>
      <c r="K64" s="5">
        <f t="shared" si="4"/>
        <v>1</v>
      </c>
      <c r="L64" s="5">
        <f t="shared" si="4"/>
        <v>0</v>
      </c>
      <c r="M64" s="5">
        <f t="shared" si="4"/>
        <v>1</v>
      </c>
      <c r="N64" s="5">
        <f t="shared" si="4"/>
        <v>0</v>
      </c>
      <c r="O64" s="5">
        <f t="shared" si="4"/>
        <v>1</v>
      </c>
      <c r="P64" s="5">
        <f t="shared" si="4"/>
        <v>0</v>
      </c>
      <c r="Q64" s="5">
        <f t="shared" si="4"/>
        <v>0</v>
      </c>
      <c r="R64" s="5">
        <f t="shared" si="4"/>
        <v>0</v>
      </c>
      <c r="S64" s="5">
        <f t="shared" si="4"/>
        <v>0</v>
      </c>
      <c r="T64" s="5">
        <f t="shared" si="4"/>
        <v>0</v>
      </c>
      <c r="U64" s="5">
        <f t="shared" si="4"/>
        <v>0</v>
      </c>
      <c r="V64" s="5">
        <f t="shared" si="4"/>
        <v>0</v>
      </c>
      <c r="W64" s="5">
        <f t="shared" si="4"/>
        <v>0</v>
      </c>
      <c r="X64" s="5">
        <f t="shared" si="4"/>
        <v>2</v>
      </c>
      <c r="Y64" s="5">
        <f t="shared" si="4"/>
        <v>0</v>
      </c>
      <c r="Z64" s="5">
        <f t="shared" si="4"/>
        <v>1</v>
      </c>
      <c r="AA64" s="5">
        <f t="shared" si="4"/>
        <v>1</v>
      </c>
      <c r="AB64" s="5">
        <f t="shared" si="4"/>
        <v>0</v>
      </c>
      <c r="AC64" s="5">
        <f t="shared" si="4"/>
        <v>0</v>
      </c>
    </row>
    <row r="65" spans="1:29" x14ac:dyDescent="0.55000000000000004">
      <c r="A65" s="2" t="s">
        <v>36</v>
      </c>
      <c r="B65">
        <v>9</v>
      </c>
      <c r="D65" s="5">
        <f t="shared" si="5"/>
        <v>0</v>
      </c>
      <c r="E65" s="5">
        <f t="shared" si="4"/>
        <v>0</v>
      </c>
      <c r="F65" s="5">
        <f t="shared" si="4"/>
        <v>0</v>
      </c>
      <c r="G65" s="5">
        <f t="shared" si="4"/>
        <v>0</v>
      </c>
      <c r="H65" s="5">
        <f t="shared" si="4"/>
        <v>0</v>
      </c>
      <c r="I65" s="5">
        <f t="shared" si="4"/>
        <v>0</v>
      </c>
      <c r="J65" s="5">
        <f t="shared" si="4"/>
        <v>0</v>
      </c>
      <c r="K65" s="5">
        <f t="shared" si="4"/>
        <v>0</v>
      </c>
      <c r="L65" s="5">
        <f t="shared" si="4"/>
        <v>0</v>
      </c>
      <c r="M65" s="5">
        <f t="shared" si="4"/>
        <v>0</v>
      </c>
      <c r="N65" s="5">
        <f t="shared" si="4"/>
        <v>0</v>
      </c>
      <c r="O65" s="5">
        <f t="shared" si="4"/>
        <v>0</v>
      </c>
      <c r="P65" s="5">
        <f t="shared" si="4"/>
        <v>0</v>
      </c>
      <c r="Q65" s="5">
        <f t="shared" si="4"/>
        <v>0</v>
      </c>
      <c r="R65" s="5">
        <f t="shared" si="4"/>
        <v>0</v>
      </c>
      <c r="S65" s="5">
        <f t="shared" si="4"/>
        <v>0</v>
      </c>
      <c r="T65" s="5">
        <f t="shared" si="4"/>
        <v>0</v>
      </c>
      <c r="U65" s="5">
        <f t="shared" si="4"/>
        <v>0</v>
      </c>
      <c r="V65" s="5">
        <f t="shared" si="4"/>
        <v>0</v>
      </c>
      <c r="W65" s="5">
        <f t="shared" si="4"/>
        <v>0</v>
      </c>
      <c r="X65" s="5">
        <f t="shared" si="4"/>
        <v>0</v>
      </c>
      <c r="Y65" s="5">
        <f t="shared" si="4"/>
        <v>0</v>
      </c>
      <c r="Z65" s="5">
        <f t="shared" si="4"/>
        <v>0</v>
      </c>
      <c r="AA65" s="5">
        <f t="shared" si="4"/>
        <v>0</v>
      </c>
      <c r="AB65" s="5">
        <f t="shared" si="4"/>
        <v>0</v>
      </c>
      <c r="AC65" s="5">
        <f t="shared" si="4"/>
        <v>0</v>
      </c>
    </row>
    <row r="67" spans="1:29" x14ac:dyDescent="0.55000000000000004">
      <c r="C67" t="s">
        <v>56</v>
      </c>
      <c r="D67" s="5">
        <f>SUM(D39:D40)</f>
        <v>1616</v>
      </c>
      <c r="E67" s="5">
        <f t="shared" ref="E67:AC67" si="6">SUM(E39:E40)</f>
        <v>36</v>
      </c>
      <c r="F67" s="5">
        <f t="shared" si="6"/>
        <v>200</v>
      </c>
      <c r="G67" s="5">
        <f t="shared" si="6"/>
        <v>2104</v>
      </c>
      <c r="H67" s="5">
        <f t="shared" si="6"/>
        <v>974</v>
      </c>
      <c r="I67" s="5">
        <f t="shared" si="6"/>
        <v>368</v>
      </c>
      <c r="J67" s="5">
        <f t="shared" si="6"/>
        <v>833</v>
      </c>
      <c r="K67" s="5">
        <f t="shared" si="6"/>
        <v>631</v>
      </c>
      <c r="L67" s="5">
        <f t="shared" si="6"/>
        <v>138</v>
      </c>
      <c r="M67" s="5">
        <f t="shared" si="6"/>
        <v>356</v>
      </c>
      <c r="N67" s="5">
        <f t="shared" si="6"/>
        <v>147</v>
      </c>
      <c r="O67" s="5">
        <f t="shared" si="6"/>
        <v>747</v>
      </c>
      <c r="P67" s="5">
        <f t="shared" si="6"/>
        <v>397</v>
      </c>
      <c r="Q67" s="5">
        <f t="shared" si="6"/>
        <v>24</v>
      </c>
      <c r="R67" s="5">
        <f t="shared" si="6"/>
        <v>13</v>
      </c>
      <c r="S67" s="5">
        <f t="shared" si="6"/>
        <v>1033</v>
      </c>
      <c r="T67" s="5">
        <f t="shared" si="6"/>
        <v>135</v>
      </c>
      <c r="U67" s="5">
        <f t="shared" si="6"/>
        <v>825</v>
      </c>
      <c r="V67" s="5">
        <f t="shared" si="6"/>
        <v>210</v>
      </c>
      <c r="W67" s="5">
        <f t="shared" si="6"/>
        <v>817</v>
      </c>
      <c r="X67" s="5">
        <f t="shared" si="6"/>
        <v>971</v>
      </c>
      <c r="Y67" s="5">
        <f t="shared" si="6"/>
        <v>15</v>
      </c>
      <c r="Z67" s="5">
        <f t="shared" si="6"/>
        <v>1476</v>
      </c>
      <c r="AA67" s="5">
        <f t="shared" si="6"/>
        <v>743</v>
      </c>
      <c r="AB67" s="5">
        <f t="shared" si="6"/>
        <v>154</v>
      </c>
      <c r="AC67" s="5">
        <f t="shared" si="6"/>
        <v>2790</v>
      </c>
    </row>
    <row r="68" spans="1:29" x14ac:dyDescent="0.55000000000000004">
      <c r="C68" t="s">
        <v>58</v>
      </c>
      <c r="D68" s="5">
        <f>SUM(D50:D51)</f>
        <v>268</v>
      </c>
      <c r="E68" s="5">
        <f t="shared" ref="E68:AC68" si="7">SUM(E50:E51)</f>
        <v>2</v>
      </c>
      <c r="F68" s="5">
        <f t="shared" si="7"/>
        <v>32</v>
      </c>
      <c r="G68" s="5">
        <f t="shared" si="7"/>
        <v>470</v>
      </c>
      <c r="H68" s="5">
        <f t="shared" si="7"/>
        <v>126</v>
      </c>
      <c r="I68" s="5">
        <f t="shared" si="7"/>
        <v>52</v>
      </c>
      <c r="J68" s="5">
        <f t="shared" si="7"/>
        <v>101</v>
      </c>
      <c r="K68" s="5">
        <f t="shared" si="7"/>
        <v>25</v>
      </c>
      <c r="L68" s="5">
        <f t="shared" si="7"/>
        <v>18</v>
      </c>
      <c r="M68" s="5">
        <f t="shared" si="7"/>
        <v>199</v>
      </c>
      <c r="N68" s="5">
        <f t="shared" si="7"/>
        <v>19</v>
      </c>
      <c r="O68" s="5">
        <f t="shared" si="7"/>
        <v>338</v>
      </c>
      <c r="P68" s="5">
        <f t="shared" si="7"/>
        <v>48</v>
      </c>
      <c r="Q68" s="5">
        <f t="shared" si="7"/>
        <v>44</v>
      </c>
      <c r="R68" s="5">
        <f t="shared" si="7"/>
        <v>4</v>
      </c>
      <c r="S68" s="5">
        <f t="shared" si="7"/>
        <v>85</v>
      </c>
      <c r="T68" s="5">
        <f t="shared" si="7"/>
        <v>27</v>
      </c>
      <c r="U68" s="5">
        <f t="shared" si="7"/>
        <v>132</v>
      </c>
      <c r="V68" s="5">
        <f t="shared" si="7"/>
        <v>98</v>
      </c>
      <c r="W68" s="5">
        <f t="shared" si="7"/>
        <v>126</v>
      </c>
      <c r="X68" s="5">
        <f t="shared" si="7"/>
        <v>83</v>
      </c>
      <c r="Y68" s="5">
        <f t="shared" si="7"/>
        <v>12</v>
      </c>
      <c r="Z68" s="5">
        <f t="shared" si="7"/>
        <v>138</v>
      </c>
      <c r="AA68" s="5">
        <f t="shared" si="7"/>
        <v>77</v>
      </c>
      <c r="AB68" s="5">
        <f t="shared" si="7"/>
        <v>141</v>
      </c>
      <c r="AC68" s="5">
        <f t="shared" si="7"/>
        <v>814</v>
      </c>
    </row>
    <row r="69" spans="1:29" x14ac:dyDescent="0.55000000000000004">
      <c r="C69" t="s">
        <v>57</v>
      </c>
      <c r="D69" s="5">
        <f>SUM(D61:D62)</f>
        <v>35</v>
      </c>
      <c r="E69" s="5">
        <f t="shared" ref="E69:AC69" si="8">SUM(E61:E62)</f>
        <v>2</v>
      </c>
      <c r="F69" s="5">
        <f t="shared" si="8"/>
        <v>2</v>
      </c>
      <c r="G69" s="5">
        <f t="shared" si="8"/>
        <v>38</v>
      </c>
      <c r="H69" s="5">
        <f t="shared" si="8"/>
        <v>15</v>
      </c>
      <c r="I69" s="5">
        <f t="shared" si="8"/>
        <v>2</v>
      </c>
      <c r="J69" s="5">
        <f t="shared" si="8"/>
        <v>5</v>
      </c>
      <c r="K69" s="5">
        <f t="shared" si="8"/>
        <v>5</v>
      </c>
      <c r="L69" s="5">
        <f t="shared" si="8"/>
        <v>3</v>
      </c>
      <c r="M69" s="5">
        <f t="shared" si="8"/>
        <v>11</v>
      </c>
      <c r="N69" s="5">
        <f t="shared" si="8"/>
        <v>10</v>
      </c>
      <c r="O69" s="5">
        <f t="shared" si="8"/>
        <v>22</v>
      </c>
      <c r="P69" s="5">
        <f t="shared" si="8"/>
        <v>4</v>
      </c>
      <c r="Q69" s="5">
        <f t="shared" si="8"/>
        <v>2</v>
      </c>
      <c r="R69" s="5">
        <f t="shared" si="8"/>
        <v>0</v>
      </c>
      <c r="S69" s="5">
        <f t="shared" si="8"/>
        <v>14</v>
      </c>
      <c r="T69" s="5">
        <f t="shared" si="8"/>
        <v>10</v>
      </c>
      <c r="U69" s="5">
        <f t="shared" si="8"/>
        <v>21</v>
      </c>
      <c r="V69" s="5">
        <f t="shared" si="8"/>
        <v>10</v>
      </c>
      <c r="W69" s="5">
        <f t="shared" si="8"/>
        <v>45</v>
      </c>
      <c r="X69" s="5">
        <f t="shared" si="8"/>
        <v>21</v>
      </c>
      <c r="Y69" s="5">
        <f t="shared" si="8"/>
        <v>2</v>
      </c>
      <c r="Z69" s="5">
        <f t="shared" si="8"/>
        <v>16</v>
      </c>
      <c r="AA69" s="5">
        <f t="shared" si="8"/>
        <v>13</v>
      </c>
      <c r="AB69" s="5">
        <f t="shared" si="8"/>
        <v>4</v>
      </c>
      <c r="AC69" s="5">
        <f t="shared" si="8"/>
        <v>52</v>
      </c>
    </row>
    <row r="70" spans="1:29" x14ac:dyDescent="0.55000000000000004"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 spans="1:29" x14ac:dyDescent="0.55000000000000004">
      <c r="C71" t="s">
        <v>43</v>
      </c>
      <c r="D71" s="5">
        <f>SUM(D36:D43,D47:D54,D58:D65)</f>
        <v>2149</v>
      </c>
      <c r="E71" s="5">
        <f t="shared" ref="E71:AC71" si="9">SUM(E36:E43,E47:E54,E58:E65)</f>
        <v>46</v>
      </c>
      <c r="F71" s="5">
        <f t="shared" si="9"/>
        <v>277</v>
      </c>
      <c r="G71" s="5">
        <f t="shared" si="9"/>
        <v>3501</v>
      </c>
      <c r="H71" s="5">
        <f t="shared" si="9"/>
        <v>1208</v>
      </c>
      <c r="I71" s="5">
        <f t="shared" si="9"/>
        <v>651</v>
      </c>
      <c r="J71" s="5">
        <f t="shared" si="9"/>
        <v>1138</v>
      </c>
      <c r="K71" s="5">
        <f t="shared" si="9"/>
        <v>696</v>
      </c>
      <c r="L71" s="5">
        <f t="shared" si="9"/>
        <v>210</v>
      </c>
      <c r="M71" s="5">
        <f t="shared" si="9"/>
        <v>798</v>
      </c>
      <c r="N71" s="5">
        <f t="shared" si="9"/>
        <v>212</v>
      </c>
      <c r="O71" s="5">
        <f t="shared" si="9"/>
        <v>1315</v>
      </c>
      <c r="P71" s="5">
        <f t="shared" si="9"/>
        <v>643</v>
      </c>
      <c r="Q71" s="5">
        <f t="shared" si="9"/>
        <v>99</v>
      </c>
      <c r="R71" s="5">
        <f t="shared" si="9"/>
        <v>41</v>
      </c>
      <c r="S71" s="5">
        <f t="shared" si="9"/>
        <v>1144</v>
      </c>
      <c r="T71" s="5">
        <f t="shared" si="9"/>
        <v>336</v>
      </c>
      <c r="U71" s="5">
        <f t="shared" si="9"/>
        <v>1097</v>
      </c>
      <c r="V71" s="5">
        <f t="shared" si="9"/>
        <v>548</v>
      </c>
      <c r="W71" s="5">
        <f t="shared" si="9"/>
        <v>1179</v>
      </c>
      <c r="X71" s="5">
        <f t="shared" si="9"/>
        <v>1202</v>
      </c>
      <c r="Y71" s="5">
        <f t="shared" si="9"/>
        <v>55</v>
      </c>
      <c r="Z71" s="5">
        <f t="shared" si="9"/>
        <v>2022</v>
      </c>
      <c r="AA71" s="5">
        <f t="shared" si="9"/>
        <v>997</v>
      </c>
      <c r="AB71" s="5">
        <f t="shared" si="9"/>
        <v>356</v>
      </c>
      <c r="AC71" s="5">
        <f t="shared" si="9"/>
        <v>4214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34BCB-5BFE-4F3B-B819-E4AA76640A5C}">
  <dimension ref="A1:AC112"/>
  <sheetViews>
    <sheetView topLeftCell="B54" zoomScaleNormal="100" workbookViewId="0">
      <selection activeCell="C71" sqref="C71:AC73"/>
    </sheetView>
  </sheetViews>
  <sheetFormatPr defaultRowHeight="14.4" x14ac:dyDescent="0.55000000000000004"/>
  <cols>
    <col min="1" max="1" width="34.41796875" bestFit="1" customWidth="1"/>
    <col min="2" max="2" width="4.7890625" bestFit="1" customWidth="1"/>
    <col min="3" max="3" width="10.83984375" bestFit="1" customWidth="1"/>
  </cols>
  <sheetData>
    <row r="1" spans="1:29" x14ac:dyDescent="0.55000000000000004">
      <c r="A1" s="1" t="s">
        <v>37</v>
      </c>
      <c r="B1" s="2"/>
    </row>
    <row r="2" spans="1:29" x14ac:dyDescent="0.55000000000000004">
      <c r="A2" s="1" t="s">
        <v>28</v>
      </c>
      <c r="B2" s="1" t="s">
        <v>40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11</v>
      </c>
      <c r="N2" s="4" t="s">
        <v>12</v>
      </c>
      <c r="O2" s="4" t="s">
        <v>13</v>
      </c>
      <c r="P2" s="4" t="s">
        <v>14</v>
      </c>
      <c r="Q2" s="4" t="s">
        <v>15</v>
      </c>
      <c r="R2" s="4" t="s">
        <v>16</v>
      </c>
      <c r="S2" s="4" t="s">
        <v>17</v>
      </c>
      <c r="T2" s="4" t="s">
        <v>18</v>
      </c>
      <c r="U2" s="4" t="s">
        <v>19</v>
      </c>
      <c r="V2" s="4" t="s">
        <v>20</v>
      </c>
      <c r="W2" s="4" t="s">
        <v>21</v>
      </c>
      <c r="X2" s="4" t="s">
        <v>22</v>
      </c>
      <c r="Y2" s="4" t="s">
        <v>23</v>
      </c>
      <c r="Z2" s="4" t="s">
        <v>24</v>
      </c>
      <c r="AA2" s="4" t="s">
        <v>25</v>
      </c>
      <c r="AB2" s="4" t="s">
        <v>26</v>
      </c>
      <c r="AC2" s="4" t="s">
        <v>27</v>
      </c>
    </row>
    <row r="3" spans="1:29" x14ac:dyDescent="0.55000000000000004">
      <c r="A3" s="2" t="s">
        <v>44</v>
      </c>
      <c r="B3" s="3" t="s">
        <v>0</v>
      </c>
      <c r="C3" s="15">
        <v>997973.5</v>
      </c>
      <c r="D3" s="15">
        <v>0</v>
      </c>
      <c r="E3" s="15">
        <v>0</v>
      </c>
      <c r="F3" s="15">
        <v>29000</v>
      </c>
      <c r="G3" s="15">
        <v>14000</v>
      </c>
      <c r="H3" s="15">
        <v>25000</v>
      </c>
      <c r="I3" s="15">
        <v>12000</v>
      </c>
      <c r="J3" s="15">
        <v>0</v>
      </c>
      <c r="K3" s="15">
        <v>28000</v>
      </c>
      <c r="L3" s="15">
        <v>0</v>
      </c>
      <c r="M3" s="15">
        <v>46000</v>
      </c>
      <c r="N3" s="15">
        <v>18000</v>
      </c>
      <c r="O3" s="15">
        <v>0</v>
      </c>
      <c r="P3" s="15">
        <v>39973.5</v>
      </c>
      <c r="Q3" s="15">
        <v>42000</v>
      </c>
      <c r="R3" s="15">
        <v>36500</v>
      </c>
      <c r="S3" s="15">
        <v>0</v>
      </c>
      <c r="T3" s="15">
        <v>20000</v>
      </c>
      <c r="U3" s="15">
        <v>360000</v>
      </c>
      <c r="V3" s="15">
        <v>42000</v>
      </c>
      <c r="W3" s="15">
        <v>73000</v>
      </c>
      <c r="X3" s="15">
        <v>48500</v>
      </c>
      <c r="Y3" s="15">
        <v>94000</v>
      </c>
      <c r="Z3" s="15">
        <v>55000</v>
      </c>
      <c r="AA3" s="15">
        <v>0</v>
      </c>
      <c r="AB3" s="15">
        <v>0</v>
      </c>
      <c r="AC3" s="15">
        <v>15000</v>
      </c>
    </row>
    <row r="4" spans="1:29" x14ac:dyDescent="0.55000000000000004">
      <c r="A4" s="2" t="s">
        <v>30</v>
      </c>
      <c r="B4" s="3" t="s">
        <v>0</v>
      </c>
      <c r="C4" s="15">
        <v>3606320</v>
      </c>
      <c r="D4" s="15">
        <v>0</v>
      </c>
      <c r="E4" s="15">
        <v>919336</v>
      </c>
      <c r="F4" s="15">
        <v>66860</v>
      </c>
      <c r="G4" s="15">
        <v>6000</v>
      </c>
      <c r="H4" s="15">
        <v>0</v>
      </c>
      <c r="I4" s="15">
        <v>0</v>
      </c>
      <c r="J4" s="15">
        <v>0</v>
      </c>
      <c r="K4" s="15">
        <v>34750</v>
      </c>
      <c r="L4" s="15">
        <v>0</v>
      </c>
      <c r="M4" s="15">
        <v>67444</v>
      </c>
      <c r="N4" s="15">
        <v>176465</v>
      </c>
      <c r="O4" s="15">
        <v>78810</v>
      </c>
      <c r="P4" s="15">
        <v>94265</v>
      </c>
      <c r="Q4" s="15">
        <v>64000</v>
      </c>
      <c r="R4" s="15">
        <v>7500</v>
      </c>
      <c r="S4" s="15">
        <v>4300</v>
      </c>
      <c r="T4" s="15">
        <v>0</v>
      </c>
      <c r="U4" s="15">
        <v>461320</v>
      </c>
      <c r="V4" s="15">
        <v>60779</v>
      </c>
      <c r="W4" s="15">
        <v>104975</v>
      </c>
      <c r="X4" s="15">
        <v>98927</v>
      </c>
      <c r="Y4" s="15">
        <v>825450</v>
      </c>
      <c r="Z4" s="15">
        <v>183974</v>
      </c>
      <c r="AA4" s="15">
        <v>287745</v>
      </c>
      <c r="AB4" s="15">
        <v>0</v>
      </c>
      <c r="AC4" s="15">
        <v>63420</v>
      </c>
    </row>
    <row r="5" spans="1:29" x14ac:dyDescent="0.55000000000000004">
      <c r="A5" s="2" t="s">
        <v>31</v>
      </c>
      <c r="B5" s="3" t="s">
        <v>0</v>
      </c>
      <c r="C5" s="15">
        <v>10471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7200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3271</v>
      </c>
      <c r="Z5" s="15">
        <v>0</v>
      </c>
      <c r="AA5" s="15">
        <v>0</v>
      </c>
      <c r="AB5" s="15">
        <v>0</v>
      </c>
      <c r="AC5" s="15">
        <v>0</v>
      </c>
    </row>
    <row r="6" spans="1:29" x14ac:dyDescent="0.55000000000000004">
      <c r="A6" s="2" t="s">
        <v>32</v>
      </c>
      <c r="B6" s="3" t="s">
        <v>0</v>
      </c>
      <c r="C6" s="15">
        <v>83829105</v>
      </c>
      <c r="D6" s="15">
        <v>7990829</v>
      </c>
      <c r="E6" s="15">
        <v>11426800</v>
      </c>
      <c r="F6" s="15">
        <v>1876678</v>
      </c>
      <c r="G6" s="15">
        <v>210280</v>
      </c>
      <c r="H6" s="15">
        <v>1006332</v>
      </c>
      <c r="I6" s="15">
        <v>33000</v>
      </c>
      <c r="J6" s="15">
        <v>71326</v>
      </c>
      <c r="K6" s="15">
        <v>591260</v>
      </c>
      <c r="L6" s="15">
        <v>544000</v>
      </c>
      <c r="M6" s="15">
        <v>4038898</v>
      </c>
      <c r="N6" s="15">
        <v>3723247</v>
      </c>
      <c r="O6" s="15">
        <v>1821209</v>
      </c>
      <c r="P6" s="15">
        <v>7615960</v>
      </c>
      <c r="Q6" s="15">
        <v>566145</v>
      </c>
      <c r="R6" s="15">
        <v>905432</v>
      </c>
      <c r="S6" s="15">
        <v>56808</v>
      </c>
      <c r="T6" s="15">
        <v>2243735</v>
      </c>
      <c r="U6" s="15">
        <v>2206244</v>
      </c>
      <c r="V6" s="15">
        <v>4781476</v>
      </c>
      <c r="W6" s="15">
        <v>2306880</v>
      </c>
      <c r="X6" s="15">
        <v>9098945</v>
      </c>
      <c r="Y6" s="15">
        <v>6863349</v>
      </c>
      <c r="Z6" s="15">
        <v>6956807</v>
      </c>
      <c r="AA6" s="15">
        <v>1960974</v>
      </c>
      <c r="AB6" s="15">
        <v>4420119</v>
      </c>
      <c r="AC6" s="15">
        <v>512372</v>
      </c>
    </row>
    <row r="7" spans="1:29" x14ac:dyDescent="0.55000000000000004">
      <c r="A7" s="2" t="s">
        <v>33</v>
      </c>
      <c r="B7" s="3" t="s">
        <v>0</v>
      </c>
      <c r="C7" s="15">
        <v>48448164.5</v>
      </c>
      <c r="D7" s="15">
        <v>12422233</v>
      </c>
      <c r="E7" s="15">
        <v>3173100</v>
      </c>
      <c r="F7" s="15">
        <v>3050182</v>
      </c>
      <c r="G7" s="15">
        <v>8000</v>
      </c>
      <c r="H7" s="15">
        <v>422619</v>
      </c>
      <c r="I7" s="15">
        <v>36000</v>
      </c>
      <c r="J7" s="15">
        <v>5488</v>
      </c>
      <c r="K7" s="15">
        <v>28750</v>
      </c>
      <c r="L7" s="15">
        <v>2558731</v>
      </c>
      <c r="M7" s="15">
        <v>1993815</v>
      </c>
      <c r="N7" s="15">
        <v>1260166.5</v>
      </c>
      <c r="O7" s="15">
        <v>5749851</v>
      </c>
      <c r="P7" s="15">
        <v>928259</v>
      </c>
      <c r="Q7" s="15">
        <v>311800</v>
      </c>
      <c r="R7" s="15">
        <v>271953</v>
      </c>
      <c r="S7" s="15">
        <v>54546</v>
      </c>
      <c r="T7" s="15">
        <v>2006490</v>
      </c>
      <c r="U7" s="15">
        <v>1766185</v>
      </c>
      <c r="V7" s="15">
        <v>2147142</v>
      </c>
      <c r="W7" s="15">
        <v>3196345</v>
      </c>
      <c r="X7" s="15">
        <v>273046</v>
      </c>
      <c r="Y7" s="15">
        <v>6208118</v>
      </c>
      <c r="Z7" s="15">
        <v>374148</v>
      </c>
      <c r="AA7" s="15">
        <v>78324</v>
      </c>
      <c r="AB7" s="15">
        <v>96948</v>
      </c>
      <c r="AC7" s="15">
        <v>25925</v>
      </c>
    </row>
    <row r="8" spans="1:29" x14ac:dyDescent="0.55000000000000004">
      <c r="A8" s="2" t="s">
        <v>34</v>
      </c>
      <c r="B8" s="3" t="s">
        <v>0</v>
      </c>
      <c r="C8" s="15">
        <v>7818812</v>
      </c>
      <c r="D8" s="15">
        <v>1364054</v>
      </c>
      <c r="E8" s="15">
        <v>1518897</v>
      </c>
      <c r="F8" s="15">
        <v>439749</v>
      </c>
      <c r="G8" s="15">
        <v>12540</v>
      </c>
      <c r="H8" s="15">
        <v>528852</v>
      </c>
      <c r="I8" s="15">
        <v>26000</v>
      </c>
      <c r="J8" s="15">
        <v>30875</v>
      </c>
      <c r="K8" s="15">
        <v>49438</v>
      </c>
      <c r="L8" s="15">
        <v>17400</v>
      </c>
      <c r="M8" s="15">
        <v>367992</v>
      </c>
      <c r="N8" s="15">
        <v>180430</v>
      </c>
      <c r="O8" s="15">
        <v>391539</v>
      </c>
      <c r="P8" s="15">
        <v>91090</v>
      </c>
      <c r="Q8" s="15">
        <v>603755</v>
      </c>
      <c r="R8" s="15">
        <v>101370</v>
      </c>
      <c r="S8" s="15">
        <v>8198</v>
      </c>
      <c r="T8" s="15">
        <v>30000</v>
      </c>
      <c r="U8" s="15">
        <v>310813</v>
      </c>
      <c r="V8" s="15">
        <v>210131</v>
      </c>
      <c r="W8" s="15">
        <v>534238</v>
      </c>
      <c r="X8" s="15">
        <v>359900</v>
      </c>
      <c r="Y8" s="15">
        <v>150538</v>
      </c>
      <c r="Z8" s="15">
        <v>245686</v>
      </c>
      <c r="AA8" s="15">
        <v>241180</v>
      </c>
      <c r="AB8" s="15">
        <v>4147</v>
      </c>
      <c r="AC8" s="15">
        <v>0</v>
      </c>
    </row>
    <row r="9" spans="1:29" x14ac:dyDescent="0.55000000000000004">
      <c r="A9" s="2" t="s">
        <v>35</v>
      </c>
      <c r="B9" s="3" t="s">
        <v>0</v>
      </c>
      <c r="C9" s="15">
        <v>1888543.9</v>
      </c>
      <c r="D9" s="15">
        <v>52365</v>
      </c>
      <c r="E9" s="15">
        <v>157800</v>
      </c>
      <c r="F9" s="15">
        <v>115770.9</v>
      </c>
      <c r="G9" s="15">
        <v>11600</v>
      </c>
      <c r="H9" s="15">
        <v>13996</v>
      </c>
      <c r="I9" s="15">
        <v>0</v>
      </c>
      <c r="J9" s="15">
        <v>5645</v>
      </c>
      <c r="K9" s="15">
        <v>43605</v>
      </c>
      <c r="L9" s="15">
        <v>0</v>
      </c>
      <c r="M9" s="15">
        <v>37510</v>
      </c>
      <c r="N9" s="15">
        <v>51141</v>
      </c>
      <c r="O9" s="15">
        <v>9112</v>
      </c>
      <c r="P9" s="15">
        <v>31982</v>
      </c>
      <c r="Q9" s="15">
        <v>5052</v>
      </c>
      <c r="R9" s="15">
        <v>15090</v>
      </c>
      <c r="S9" s="15">
        <v>3783</v>
      </c>
      <c r="T9" s="15">
        <v>0</v>
      </c>
      <c r="U9" s="15">
        <v>124822</v>
      </c>
      <c r="V9" s="15">
        <v>44086</v>
      </c>
      <c r="W9" s="15">
        <v>57725</v>
      </c>
      <c r="X9" s="15">
        <v>66572</v>
      </c>
      <c r="Y9" s="15">
        <v>864038</v>
      </c>
      <c r="Z9" s="15">
        <v>46096</v>
      </c>
      <c r="AA9" s="15">
        <v>38153</v>
      </c>
      <c r="AB9" s="15">
        <v>44233</v>
      </c>
      <c r="AC9" s="15">
        <v>48367</v>
      </c>
    </row>
    <row r="10" spans="1:29" x14ac:dyDescent="0.55000000000000004">
      <c r="A10" s="2" t="s">
        <v>36</v>
      </c>
      <c r="B10" s="3" t="s">
        <v>0</v>
      </c>
      <c r="C10" s="15">
        <v>40300</v>
      </c>
      <c r="D10" s="15">
        <v>0</v>
      </c>
      <c r="E10" s="15">
        <v>3000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4800</v>
      </c>
      <c r="P10" s="15">
        <v>0</v>
      </c>
      <c r="Q10" s="15">
        <v>7000</v>
      </c>
      <c r="R10" s="15">
        <v>0</v>
      </c>
      <c r="S10" s="15">
        <v>0</v>
      </c>
      <c r="T10" s="15">
        <v>0</v>
      </c>
      <c r="U10" s="15">
        <v>10000</v>
      </c>
      <c r="V10" s="15">
        <v>0</v>
      </c>
      <c r="W10" s="15">
        <v>3500</v>
      </c>
      <c r="X10" s="15">
        <v>0</v>
      </c>
      <c r="Y10" s="15">
        <v>12000</v>
      </c>
      <c r="Z10" s="15">
        <v>0</v>
      </c>
      <c r="AA10" s="15">
        <v>0</v>
      </c>
      <c r="AB10" s="15">
        <v>0</v>
      </c>
      <c r="AC10" s="15">
        <v>0</v>
      </c>
    </row>
    <row r="11" spans="1:29" x14ac:dyDescent="0.55000000000000004">
      <c r="A11" s="2"/>
      <c r="B11" s="3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2"/>
      <c r="Z11" s="2"/>
      <c r="AA11" s="2"/>
      <c r="AB11" s="2"/>
      <c r="AC11" s="2"/>
    </row>
    <row r="12" spans="1:29" x14ac:dyDescent="0.55000000000000004">
      <c r="A12" s="1" t="s">
        <v>39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x14ac:dyDescent="0.55000000000000004">
      <c r="A13" s="1" t="s">
        <v>28</v>
      </c>
      <c r="B13" s="1" t="s">
        <v>40</v>
      </c>
      <c r="C13" s="4" t="s">
        <v>1</v>
      </c>
      <c r="D13" s="4" t="s">
        <v>2</v>
      </c>
      <c r="E13" s="4" t="s">
        <v>3</v>
      </c>
      <c r="F13" s="4" t="s">
        <v>4</v>
      </c>
      <c r="G13" s="4" t="s">
        <v>5</v>
      </c>
      <c r="H13" s="4" t="s">
        <v>6</v>
      </c>
      <c r="I13" s="4" t="s">
        <v>7</v>
      </c>
      <c r="J13" s="4" t="s">
        <v>8</v>
      </c>
      <c r="K13" s="4" t="s">
        <v>9</v>
      </c>
      <c r="L13" s="4" t="s">
        <v>10</v>
      </c>
      <c r="M13" s="4" t="s">
        <v>11</v>
      </c>
      <c r="N13" s="4" t="s">
        <v>12</v>
      </c>
      <c r="O13" s="4" t="s">
        <v>13</v>
      </c>
      <c r="P13" s="4" t="s">
        <v>14</v>
      </c>
      <c r="Q13" s="4" t="s">
        <v>15</v>
      </c>
      <c r="R13" s="4" t="s">
        <v>16</v>
      </c>
      <c r="S13" s="4" t="s">
        <v>17</v>
      </c>
      <c r="T13" s="4" t="s">
        <v>18</v>
      </c>
      <c r="U13" s="4" t="s">
        <v>19</v>
      </c>
      <c r="V13" s="4" t="s">
        <v>20</v>
      </c>
      <c r="W13" s="4" t="s">
        <v>21</v>
      </c>
      <c r="X13" s="4" t="s">
        <v>22</v>
      </c>
      <c r="Y13" s="4" t="s">
        <v>23</v>
      </c>
      <c r="Z13" s="4" t="s">
        <v>24</v>
      </c>
      <c r="AA13" s="4" t="s">
        <v>25</v>
      </c>
      <c r="AB13" s="4" t="s">
        <v>26</v>
      </c>
      <c r="AC13" s="4" t="s">
        <v>27</v>
      </c>
    </row>
    <row r="14" spans="1:29" x14ac:dyDescent="0.55000000000000004">
      <c r="A14" s="2" t="s">
        <v>44</v>
      </c>
      <c r="B14" s="3" t="s">
        <v>0</v>
      </c>
      <c r="C14" s="15">
        <v>238968</v>
      </c>
      <c r="D14" s="15">
        <v>0</v>
      </c>
      <c r="E14" s="15">
        <v>0</v>
      </c>
      <c r="F14" s="15">
        <v>15000</v>
      </c>
      <c r="G14" s="15">
        <v>4000</v>
      </c>
      <c r="H14" s="15">
        <v>20000</v>
      </c>
      <c r="I14" s="15">
        <v>27000</v>
      </c>
      <c r="J14" s="15">
        <v>0</v>
      </c>
      <c r="K14" s="15">
        <v>0</v>
      </c>
      <c r="L14" s="15">
        <v>0</v>
      </c>
      <c r="M14" s="15">
        <v>0</v>
      </c>
      <c r="N14" s="15">
        <v>6000</v>
      </c>
      <c r="O14" s="15">
        <v>0</v>
      </c>
      <c r="P14" s="15">
        <v>5968</v>
      </c>
      <c r="Q14" s="15">
        <v>14000</v>
      </c>
      <c r="R14" s="15">
        <v>5500</v>
      </c>
      <c r="S14" s="15">
        <v>0</v>
      </c>
      <c r="T14" s="15">
        <v>0</v>
      </c>
      <c r="U14" s="15">
        <v>90000</v>
      </c>
      <c r="V14" s="15">
        <v>9000</v>
      </c>
      <c r="W14" s="15">
        <v>37500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5000</v>
      </c>
    </row>
    <row r="15" spans="1:29" x14ac:dyDescent="0.55000000000000004">
      <c r="A15" s="2" t="s">
        <v>30</v>
      </c>
      <c r="B15" s="3" t="s">
        <v>0</v>
      </c>
      <c r="C15" s="15">
        <v>2430560</v>
      </c>
      <c r="D15" s="15">
        <v>0</v>
      </c>
      <c r="E15" s="15">
        <v>243138</v>
      </c>
      <c r="F15" s="15">
        <v>90570</v>
      </c>
      <c r="G15" s="15">
        <v>14300</v>
      </c>
      <c r="H15" s="15">
        <v>13350</v>
      </c>
      <c r="I15" s="15">
        <v>0</v>
      </c>
      <c r="J15" s="15">
        <v>13830</v>
      </c>
      <c r="K15" s="15">
        <v>25710</v>
      </c>
      <c r="L15" s="15">
        <v>0</v>
      </c>
      <c r="M15" s="15">
        <v>33483</v>
      </c>
      <c r="N15" s="15">
        <v>88383</v>
      </c>
      <c r="O15" s="15">
        <v>100200</v>
      </c>
      <c r="P15" s="15">
        <v>49690</v>
      </c>
      <c r="Q15" s="15">
        <v>44880</v>
      </c>
      <c r="R15" s="15">
        <v>13271</v>
      </c>
      <c r="S15" s="15">
        <v>5000</v>
      </c>
      <c r="T15" s="15">
        <v>0</v>
      </c>
      <c r="U15" s="15">
        <v>831640</v>
      </c>
      <c r="V15" s="15">
        <v>17095</v>
      </c>
      <c r="W15" s="15">
        <v>146900</v>
      </c>
      <c r="X15" s="15">
        <v>35900</v>
      </c>
      <c r="Y15" s="15">
        <v>335530</v>
      </c>
      <c r="Z15" s="15">
        <v>59230</v>
      </c>
      <c r="AA15" s="15">
        <v>222530</v>
      </c>
      <c r="AB15" s="15">
        <v>0</v>
      </c>
      <c r="AC15" s="15">
        <v>45930</v>
      </c>
    </row>
    <row r="16" spans="1:29" x14ac:dyDescent="0.55000000000000004">
      <c r="A16" s="2" t="s">
        <v>31</v>
      </c>
      <c r="B16" s="3" t="s">
        <v>0</v>
      </c>
      <c r="C16" s="15">
        <v>1256385</v>
      </c>
      <c r="D16" s="15">
        <v>0</v>
      </c>
      <c r="E16" s="15">
        <v>64620</v>
      </c>
      <c r="F16" s="15">
        <v>24000</v>
      </c>
      <c r="G16" s="15">
        <v>0</v>
      </c>
      <c r="H16" s="15">
        <v>33000</v>
      </c>
      <c r="I16" s="15">
        <v>0</v>
      </c>
      <c r="J16" s="15">
        <v>0</v>
      </c>
      <c r="K16" s="15">
        <v>0</v>
      </c>
      <c r="L16" s="15">
        <v>102000</v>
      </c>
      <c r="M16" s="15">
        <v>0</v>
      </c>
      <c r="N16" s="15">
        <v>0</v>
      </c>
      <c r="O16" s="15">
        <v>0</v>
      </c>
      <c r="P16" s="15">
        <v>76755</v>
      </c>
      <c r="Q16" s="15">
        <v>25750</v>
      </c>
      <c r="R16" s="15">
        <v>0</v>
      </c>
      <c r="S16" s="15">
        <v>0</v>
      </c>
      <c r="T16" s="15">
        <v>0</v>
      </c>
      <c r="U16" s="15">
        <v>567251</v>
      </c>
      <c r="V16" s="15">
        <v>0</v>
      </c>
      <c r="W16" s="15">
        <v>71500</v>
      </c>
      <c r="X16" s="15">
        <v>38200</v>
      </c>
      <c r="Y16" s="15">
        <v>28640</v>
      </c>
      <c r="Z16" s="15">
        <v>187499</v>
      </c>
      <c r="AA16" s="15">
        <v>37170</v>
      </c>
      <c r="AB16" s="15">
        <v>0</v>
      </c>
      <c r="AC16" s="15">
        <v>0</v>
      </c>
    </row>
    <row r="17" spans="1:29" x14ac:dyDescent="0.55000000000000004">
      <c r="A17" s="2" t="s">
        <v>32</v>
      </c>
      <c r="B17" s="3" t="s">
        <v>0</v>
      </c>
      <c r="C17" s="15">
        <v>14742693</v>
      </c>
      <c r="D17" s="15">
        <v>1614685</v>
      </c>
      <c r="E17" s="15">
        <v>2324550</v>
      </c>
      <c r="F17" s="15">
        <v>518608</v>
      </c>
      <c r="G17" s="15">
        <v>37400</v>
      </c>
      <c r="H17" s="15">
        <v>538374</v>
      </c>
      <c r="I17" s="15">
        <v>3000</v>
      </c>
      <c r="J17" s="15">
        <v>108559</v>
      </c>
      <c r="K17" s="15">
        <v>50950</v>
      </c>
      <c r="L17" s="15">
        <v>278420</v>
      </c>
      <c r="M17" s="15">
        <v>480954</v>
      </c>
      <c r="N17" s="15">
        <v>670106</v>
      </c>
      <c r="O17" s="15">
        <v>401325</v>
      </c>
      <c r="P17" s="15">
        <v>955301</v>
      </c>
      <c r="Q17" s="15">
        <v>155507</v>
      </c>
      <c r="R17" s="15">
        <v>143854</v>
      </c>
      <c r="S17" s="15">
        <v>2296</v>
      </c>
      <c r="T17" s="15">
        <v>94314</v>
      </c>
      <c r="U17" s="15">
        <v>1659344</v>
      </c>
      <c r="V17" s="15">
        <v>659172</v>
      </c>
      <c r="W17" s="15">
        <v>522248</v>
      </c>
      <c r="X17" s="15">
        <v>851959</v>
      </c>
      <c r="Y17" s="15">
        <v>563245</v>
      </c>
      <c r="Z17" s="15">
        <v>1318659</v>
      </c>
      <c r="AA17" s="15">
        <v>294557</v>
      </c>
      <c r="AB17" s="15">
        <v>402520</v>
      </c>
      <c r="AC17" s="15">
        <v>92786</v>
      </c>
    </row>
    <row r="18" spans="1:29" x14ac:dyDescent="0.55000000000000004">
      <c r="A18" s="2" t="s">
        <v>33</v>
      </c>
      <c r="B18" s="3" t="s">
        <v>0</v>
      </c>
      <c r="C18" s="15">
        <v>28567307.5</v>
      </c>
      <c r="D18" s="15">
        <v>7300670</v>
      </c>
      <c r="E18" s="15">
        <v>1366260</v>
      </c>
      <c r="F18" s="15">
        <v>2993933</v>
      </c>
      <c r="G18" s="15">
        <v>78440</v>
      </c>
      <c r="H18" s="15">
        <v>399560</v>
      </c>
      <c r="I18" s="15">
        <v>22860</v>
      </c>
      <c r="J18" s="15">
        <v>166913</v>
      </c>
      <c r="K18" s="15">
        <v>71363</v>
      </c>
      <c r="L18" s="15">
        <v>4091400</v>
      </c>
      <c r="M18" s="15">
        <v>713644</v>
      </c>
      <c r="N18" s="15">
        <v>660489.5</v>
      </c>
      <c r="O18" s="15">
        <v>780665</v>
      </c>
      <c r="P18" s="15">
        <v>512930</v>
      </c>
      <c r="Q18" s="15">
        <v>228958</v>
      </c>
      <c r="R18" s="15">
        <v>72798</v>
      </c>
      <c r="S18" s="15">
        <v>9690</v>
      </c>
      <c r="T18" s="15">
        <v>586546</v>
      </c>
      <c r="U18" s="15">
        <v>3796380</v>
      </c>
      <c r="V18" s="15">
        <v>1225994</v>
      </c>
      <c r="W18" s="15">
        <v>1552165</v>
      </c>
      <c r="X18" s="15">
        <v>212386</v>
      </c>
      <c r="Y18" s="15">
        <v>1010870</v>
      </c>
      <c r="Z18" s="15">
        <v>688858</v>
      </c>
      <c r="AA18" s="15">
        <v>17865</v>
      </c>
      <c r="AB18" s="15">
        <v>0</v>
      </c>
      <c r="AC18" s="15">
        <v>5670</v>
      </c>
    </row>
    <row r="19" spans="1:29" x14ac:dyDescent="0.55000000000000004">
      <c r="A19" s="2" t="s">
        <v>34</v>
      </c>
      <c r="B19" s="3" t="s">
        <v>0</v>
      </c>
      <c r="C19" s="15">
        <v>19904716</v>
      </c>
      <c r="D19" s="15">
        <v>2931412</v>
      </c>
      <c r="E19" s="15">
        <v>2114179</v>
      </c>
      <c r="F19" s="15">
        <v>1078916</v>
      </c>
      <c r="G19" s="15">
        <v>97180</v>
      </c>
      <c r="H19" s="15">
        <v>1173130</v>
      </c>
      <c r="I19" s="15">
        <v>72500</v>
      </c>
      <c r="J19" s="15">
        <v>336355</v>
      </c>
      <c r="K19" s="15">
        <v>91486</v>
      </c>
      <c r="L19" s="15">
        <v>956110</v>
      </c>
      <c r="M19" s="15">
        <v>774264</v>
      </c>
      <c r="N19" s="15">
        <v>374951</v>
      </c>
      <c r="O19" s="15">
        <v>2518509</v>
      </c>
      <c r="P19" s="15">
        <v>387440</v>
      </c>
      <c r="Q19" s="15">
        <v>933614</v>
      </c>
      <c r="R19" s="15">
        <v>93066</v>
      </c>
      <c r="S19" s="15">
        <v>4250</v>
      </c>
      <c r="T19" s="15">
        <v>15000</v>
      </c>
      <c r="U19" s="15">
        <v>2018133</v>
      </c>
      <c r="V19" s="15">
        <v>769703</v>
      </c>
      <c r="W19" s="15">
        <v>645860</v>
      </c>
      <c r="X19" s="15">
        <v>184000</v>
      </c>
      <c r="Y19" s="15">
        <v>946109</v>
      </c>
      <c r="Z19" s="15">
        <v>1131546</v>
      </c>
      <c r="AA19" s="15">
        <v>257003</v>
      </c>
      <c r="AB19" s="15">
        <v>0</v>
      </c>
      <c r="AC19" s="15">
        <v>0</v>
      </c>
    </row>
    <row r="20" spans="1:29" x14ac:dyDescent="0.55000000000000004">
      <c r="A20" s="2" t="s">
        <v>35</v>
      </c>
      <c r="B20" s="3" t="s">
        <v>0</v>
      </c>
      <c r="C20" s="15">
        <v>1243237.1000000001</v>
      </c>
      <c r="D20" s="15">
        <v>28948</v>
      </c>
      <c r="E20" s="15">
        <v>158820</v>
      </c>
      <c r="F20" s="15">
        <v>109236.1</v>
      </c>
      <c r="G20" s="15">
        <v>0</v>
      </c>
      <c r="H20" s="15">
        <v>35406</v>
      </c>
      <c r="I20" s="15">
        <v>0</v>
      </c>
      <c r="J20" s="15">
        <v>0</v>
      </c>
      <c r="K20" s="15">
        <v>9322</v>
      </c>
      <c r="L20" s="15">
        <v>0</v>
      </c>
      <c r="M20" s="15">
        <v>19783</v>
      </c>
      <c r="N20" s="15">
        <v>5478</v>
      </c>
      <c r="O20" s="15">
        <v>6612</v>
      </c>
      <c r="P20" s="15">
        <v>0</v>
      </c>
      <c r="Q20" s="15">
        <v>11646</v>
      </c>
      <c r="R20" s="15">
        <v>15185</v>
      </c>
      <c r="S20" s="15">
        <v>0</v>
      </c>
      <c r="T20" s="15">
        <v>20000</v>
      </c>
      <c r="U20" s="15">
        <v>144827</v>
      </c>
      <c r="V20" s="15">
        <v>59945</v>
      </c>
      <c r="W20" s="15">
        <v>5604</v>
      </c>
      <c r="X20" s="15">
        <v>39097</v>
      </c>
      <c r="Y20" s="15">
        <v>370594</v>
      </c>
      <c r="Z20" s="15">
        <v>4886</v>
      </c>
      <c r="AA20" s="15">
        <v>38584</v>
      </c>
      <c r="AB20" s="15">
        <v>136437</v>
      </c>
      <c r="AC20" s="15">
        <v>22827</v>
      </c>
    </row>
    <row r="21" spans="1:29" x14ac:dyDescent="0.55000000000000004">
      <c r="A21" s="2" t="s">
        <v>36</v>
      </c>
      <c r="B21" s="3" t="s">
        <v>0</v>
      </c>
      <c r="C21" s="15">
        <v>750150</v>
      </c>
      <c r="D21" s="15">
        <v>0</v>
      </c>
      <c r="E21" s="15">
        <v>334000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9600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80000</v>
      </c>
      <c r="V21" s="15">
        <v>0</v>
      </c>
      <c r="W21" s="15">
        <v>0</v>
      </c>
      <c r="X21" s="15">
        <v>0</v>
      </c>
      <c r="Y21" s="15">
        <v>69600</v>
      </c>
      <c r="Z21" s="15">
        <v>0</v>
      </c>
      <c r="AA21" s="15">
        <v>0</v>
      </c>
      <c r="AB21" s="15">
        <v>256950</v>
      </c>
      <c r="AC21" s="15">
        <v>0</v>
      </c>
    </row>
    <row r="22" spans="1:29" x14ac:dyDescent="0.55000000000000004">
      <c r="A22" s="2"/>
      <c r="B22" s="3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2"/>
      <c r="Z22" s="2"/>
      <c r="AA22" s="2"/>
      <c r="AB22" s="2"/>
      <c r="AC22" s="2"/>
    </row>
    <row r="23" spans="1:29" x14ac:dyDescent="0.55000000000000004">
      <c r="A23" s="1" t="s">
        <v>38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x14ac:dyDescent="0.55000000000000004">
      <c r="A24" s="1" t="s">
        <v>28</v>
      </c>
      <c r="B24" s="1" t="s">
        <v>40</v>
      </c>
      <c r="C24" s="4" t="s">
        <v>1</v>
      </c>
      <c r="D24" s="4" t="s">
        <v>2</v>
      </c>
      <c r="E24" s="4" t="s">
        <v>3</v>
      </c>
      <c r="F24" s="4" t="s">
        <v>4</v>
      </c>
      <c r="G24" s="4" t="s">
        <v>5</v>
      </c>
      <c r="H24" s="4" t="s">
        <v>6</v>
      </c>
      <c r="I24" s="4" t="s">
        <v>7</v>
      </c>
      <c r="J24" s="4" t="s">
        <v>8</v>
      </c>
      <c r="K24" s="4" t="s">
        <v>9</v>
      </c>
      <c r="L24" s="4" t="s">
        <v>10</v>
      </c>
      <c r="M24" s="4" t="s">
        <v>11</v>
      </c>
      <c r="N24" s="4" t="s">
        <v>12</v>
      </c>
      <c r="O24" s="4" t="s">
        <v>13</v>
      </c>
      <c r="P24" s="4" t="s">
        <v>14</v>
      </c>
      <c r="Q24" s="4" t="s">
        <v>15</v>
      </c>
      <c r="R24" s="4" t="s">
        <v>16</v>
      </c>
      <c r="S24" s="4" t="s">
        <v>17</v>
      </c>
      <c r="T24" s="4" t="s">
        <v>18</v>
      </c>
      <c r="U24" s="4" t="s">
        <v>19</v>
      </c>
      <c r="V24" s="4" t="s">
        <v>20</v>
      </c>
      <c r="W24" s="4" t="s">
        <v>21</v>
      </c>
      <c r="X24" s="4" t="s">
        <v>22</v>
      </c>
      <c r="Y24" s="4" t="s">
        <v>23</v>
      </c>
      <c r="Z24" s="4" t="s">
        <v>24</v>
      </c>
      <c r="AA24" s="4" t="s">
        <v>25</v>
      </c>
      <c r="AB24" s="4" t="s">
        <v>26</v>
      </c>
      <c r="AC24" s="4" t="s">
        <v>27</v>
      </c>
    </row>
    <row r="25" spans="1:29" x14ac:dyDescent="0.55000000000000004">
      <c r="A25" s="2" t="s">
        <v>44</v>
      </c>
      <c r="B25" s="3" t="s">
        <v>0</v>
      </c>
      <c r="C25" s="15">
        <v>35000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6000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20000</v>
      </c>
      <c r="V25" s="15">
        <v>0</v>
      </c>
      <c r="W25" s="15">
        <v>6000</v>
      </c>
      <c r="X25" s="15">
        <v>3000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</row>
    <row r="26" spans="1:29" x14ac:dyDescent="0.55000000000000004">
      <c r="A26" s="2" t="s">
        <v>30</v>
      </c>
      <c r="B26" s="3" t="s">
        <v>0</v>
      </c>
      <c r="C26" s="15">
        <v>430317</v>
      </c>
      <c r="D26" s="15">
        <v>0</v>
      </c>
      <c r="E26" s="15">
        <v>63120</v>
      </c>
      <c r="F26" s="15">
        <v>8000</v>
      </c>
      <c r="G26" s="15">
        <v>0</v>
      </c>
      <c r="H26" s="15">
        <v>0</v>
      </c>
      <c r="I26" s="15">
        <v>0</v>
      </c>
      <c r="J26" s="15">
        <v>5600</v>
      </c>
      <c r="K26" s="15">
        <v>7300</v>
      </c>
      <c r="L26" s="15">
        <v>0</v>
      </c>
      <c r="M26" s="15">
        <v>10923</v>
      </c>
      <c r="N26" s="15">
        <v>51776</v>
      </c>
      <c r="O26" s="15">
        <v>0</v>
      </c>
      <c r="P26" s="15">
        <v>17900</v>
      </c>
      <c r="Q26" s="15">
        <v>0</v>
      </c>
      <c r="R26" s="15">
        <v>24683</v>
      </c>
      <c r="S26" s="15">
        <v>0</v>
      </c>
      <c r="T26" s="15">
        <v>0</v>
      </c>
      <c r="U26" s="15">
        <v>80940</v>
      </c>
      <c r="V26" s="15">
        <v>4600</v>
      </c>
      <c r="W26" s="15">
        <v>50600</v>
      </c>
      <c r="X26" s="15">
        <v>0</v>
      </c>
      <c r="Y26" s="15">
        <v>18170</v>
      </c>
      <c r="Z26" s="15">
        <v>77505</v>
      </c>
      <c r="AA26" s="15">
        <v>9200</v>
      </c>
      <c r="AB26" s="15">
        <v>0</v>
      </c>
      <c r="AC26" s="15">
        <v>0</v>
      </c>
    </row>
    <row r="27" spans="1:29" x14ac:dyDescent="0.55000000000000004">
      <c r="A27" s="2" t="s">
        <v>31</v>
      </c>
      <c r="B27" s="3" t="s">
        <v>0</v>
      </c>
      <c r="C27" s="15">
        <v>613432</v>
      </c>
      <c r="D27" s="15">
        <v>0</v>
      </c>
      <c r="E27" s="15">
        <v>35100</v>
      </c>
      <c r="F27" s="15">
        <v>55395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14500</v>
      </c>
      <c r="N27" s="15">
        <v>0</v>
      </c>
      <c r="O27" s="15">
        <v>0</v>
      </c>
      <c r="P27" s="15">
        <v>29700</v>
      </c>
      <c r="Q27" s="15">
        <v>0</v>
      </c>
      <c r="R27" s="15">
        <v>0</v>
      </c>
      <c r="S27" s="15">
        <v>0</v>
      </c>
      <c r="T27" s="15">
        <v>5940</v>
      </c>
      <c r="U27" s="15">
        <v>75120</v>
      </c>
      <c r="V27" s="15">
        <v>0</v>
      </c>
      <c r="W27" s="15">
        <v>77500</v>
      </c>
      <c r="X27" s="15">
        <v>0</v>
      </c>
      <c r="Y27" s="15">
        <v>36000</v>
      </c>
      <c r="Z27" s="15">
        <v>284177</v>
      </c>
      <c r="AA27" s="15">
        <v>0</v>
      </c>
      <c r="AB27" s="15">
        <v>0</v>
      </c>
      <c r="AC27" s="15">
        <v>0</v>
      </c>
    </row>
    <row r="28" spans="1:29" x14ac:dyDescent="0.55000000000000004">
      <c r="A28" s="2" t="s">
        <v>32</v>
      </c>
      <c r="B28" s="3" t="s">
        <v>0</v>
      </c>
      <c r="C28" s="15">
        <v>2631668</v>
      </c>
      <c r="D28" s="15">
        <v>221109</v>
      </c>
      <c r="E28" s="15">
        <v>193000</v>
      </c>
      <c r="F28" s="15">
        <v>52820</v>
      </c>
      <c r="G28" s="15">
        <v>23000</v>
      </c>
      <c r="H28" s="15">
        <v>44358</v>
      </c>
      <c r="I28" s="15">
        <v>0</v>
      </c>
      <c r="J28" s="15">
        <v>5750</v>
      </c>
      <c r="K28" s="15">
        <v>10750</v>
      </c>
      <c r="L28" s="15">
        <v>59500</v>
      </c>
      <c r="M28" s="15">
        <v>42275</v>
      </c>
      <c r="N28" s="15">
        <v>115313</v>
      </c>
      <c r="O28" s="15">
        <v>14125</v>
      </c>
      <c r="P28" s="15">
        <v>127754</v>
      </c>
      <c r="Q28" s="15">
        <v>94640</v>
      </c>
      <c r="R28" s="15">
        <v>9350</v>
      </c>
      <c r="S28" s="15">
        <v>4996</v>
      </c>
      <c r="T28" s="15">
        <v>11620</v>
      </c>
      <c r="U28" s="15">
        <v>364965</v>
      </c>
      <c r="V28" s="15">
        <v>225524</v>
      </c>
      <c r="W28" s="15">
        <v>326443</v>
      </c>
      <c r="X28" s="15">
        <v>292479</v>
      </c>
      <c r="Y28" s="15">
        <v>69876</v>
      </c>
      <c r="Z28" s="15">
        <v>212260</v>
      </c>
      <c r="AA28" s="15">
        <v>21707</v>
      </c>
      <c r="AB28" s="15">
        <v>37596</v>
      </c>
      <c r="AC28" s="15">
        <v>50458</v>
      </c>
    </row>
    <row r="29" spans="1:29" x14ac:dyDescent="0.55000000000000004">
      <c r="A29" s="2" t="s">
        <v>33</v>
      </c>
      <c r="B29" s="3" t="s">
        <v>0</v>
      </c>
      <c r="C29" s="15">
        <v>3480161</v>
      </c>
      <c r="D29" s="15">
        <v>385884</v>
      </c>
      <c r="E29" s="15">
        <v>142220</v>
      </c>
      <c r="F29" s="15">
        <v>209454</v>
      </c>
      <c r="G29" s="15">
        <v>0</v>
      </c>
      <c r="H29" s="15">
        <v>104870</v>
      </c>
      <c r="I29" s="15">
        <v>0</v>
      </c>
      <c r="J29" s="15">
        <v>19788</v>
      </c>
      <c r="K29" s="15">
        <v>10175</v>
      </c>
      <c r="L29" s="15">
        <v>0</v>
      </c>
      <c r="M29" s="15">
        <v>18180</v>
      </c>
      <c r="N29" s="15">
        <v>258743</v>
      </c>
      <c r="O29" s="15">
        <v>36525</v>
      </c>
      <c r="P29" s="15">
        <v>25820</v>
      </c>
      <c r="Q29" s="15">
        <v>125931</v>
      </c>
      <c r="R29" s="15">
        <v>14014</v>
      </c>
      <c r="S29" s="15">
        <v>6900</v>
      </c>
      <c r="T29" s="15">
        <v>87680</v>
      </c>
      <c r="U29" s="15">
        <v>328130</v>
      </c>
      <c r="V29" s="15">
        <v>149491</v>
      </c>
      <c r="W29" s="15">
        <v>696825</v>
      </c>
      <c r="X29" s="15">
        <v>207288</v>
      </c>
      <c r="Y29" s="15">
        <v>173010</v>
      </c>
      <c r="Z29" s="15">
        <v>332433</v>
      </c>
      <c r="AA29" s="15">
        <v>0</v>
      </c>
      <c r="AB29" s="15">
        <v>146800</v>
      </c>
      <c r="AC29" s="15">
        <v>0</v>
      </c>
    </row>
    <row r="30" spans="1:29" x14ac:dyDescent="0.55000000000000004">
      <c r="A30" s="2" t="s">
        <v>34</v>
      </c>
      <c r="B30" s="3" t="s">
        <v>0</v>
      </c>
      <c r="C30" s="15">
        <v>4571918</v>
      </c>
      <c r="D30" s="15">
        <v>354787</v>
      </c>
      <c r="E30" s="15">
        <v>412735</v>
      </c>
      <c r="F30" s="15">
        <v>257124</v>
      </c>
      <c r="G30" s="15">
        <v>35440</v>
      </c>
      <c r="H30" s="15">
        <v>468105</v>
      </c>
      <c r="I30" s="15">
        <v>0</v>
      </c>
      <c r="J30" s="15">
        <v>52838</v>
      </c>
      <c r="K30" s="15">
        <v>70039</v>
      </c>
      <c r="L30" s="15">
        <v>400206</v>
      </c>
      <c r="M30" s="15">
        <v>116486</v>
      </c>
      <c r="N30" s="15">
        <v>95298</v>
      </c>
      <c r="O30" s="15">
        <v>403886</v>
      </c>
      <c r="P30" s="15">
        <v>160785</v>
      </c>
      <c r="Q30" s="15">
        <v>337517</v>
      </c>
      <c r="R30" s="15">
        <v>0</v>
      </c>
      <c r="S30" s="15">
        <v>0</v>
      </c>
      <c r="T30" s="15">
        <v>0</v>
      </c>
      <c r="U30" s="15">
        <v>281897</v>
      </c>
      <c r="V30" s="15">
        <v>194920</v>
      </c>
      <c r="W30" s="15">
        <v>288356</v>
      </c>
      <c r="X30" s="15">
        <v>107750</v>
      </c>
      <c r="Y30" s="15">
        <v>227343</v>
      </c>
      <c r="Z30" s="15">
        <v>273806</v>
      </c>
      <c r="AA30" s="15">
        <v>4600</v>
      </c>
      <c r="AB30" s="15">
        <v>28000</v>
      </c>
      <c r="AC30" s="15">
        <v>0</v>
      </c>
    </row>
    <row r="31" spans="1:29" x14ac:dyDescent="0.55000000000000004">
      <c r="A31" s="2" t="s">
        <v>35</v>
      </c>
      <c r="B31" s="3" t="s">
        <v>0</v>
      </c>
      <c r="C31" s="15">
        <v>220824</v>
      </c>
      <c r="D31" s="15">
        <v>0</v>
      </c>
      <c r="E31" s="15">
        <v>38900</v>
      </c>
      <c r="F31" s="15">
        <v>78970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3850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6703</v>
      </c>
      <c r="V31" s="15">
        <v>0</v>
      </c>
      <c r="W31" s="15">
        <v>0</v>
      </c>
      <c r="X31" s="15">
        <v>11417</v>
      </c>
      <c r="Y31" s="15">
        <v>5630</v>
      </c>
      <c r="Z31" s="15">
        <v>6764</v>
      </c>
      <c r="AA31" s="15">
        <v>0</v>
      </c>
      <c r="AB31" s="15">
        <v>68590</v>
      </c>
      <c r="AC31" s="15">
        <v>0</v>
      </c>
    </row>
    <row r="32" spans="1:29" x14ac:dyDescent="0.55000000000000004">
      <c r="A32" s="2" t="s">
        <v>36</v>
      </c>
      <c r="B32" s="3" t="s">
        <v>0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</row>
    <row r="34" spans="1:29" x14ac:dyDescent="0.55000000000000004">
      <c r="A34" s="1" t="s">
        <v>37</v>
      </c>
      <c r="B34" s="1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spans="1:29" x14ac:dyDescent="0.55000000000000004">
      <c r="A35" s="1" t="s">
        <v>28</v>
      </c>
      <c r="B35" s="1" t="s">
        <v>41</v>
      </c>
      <c r="D35" s="4" t="s">
        <v>20</v>
      </c>
      <c r="E35" s="4" t="s">
        <v>17</v>
      </c>
      <c r="F35" s="4" t="s">
        <v>16</v>
      </c>
      <c r="G35" s="4" t="s">
        <v>3</v>
      </c>
      <c r="H35" s="4" t="s">
        <v>14</v>
      </c>
      <c r="I35" s="4" t="s">
        <v>13</v>
      </c>
      <c r="J35" s="4" t="s">
        <v>11</v>
      </c>
      <c r="K35" s="4" t="s">
        <v>26</v>
      </c>
      <c r="L35" s="4" t="s">
        <v>9</v>
      </c>
      <c r="M35" s="4" t="s">
        <v>19</v>
      </c>
      <c r="N35" s="4" t="s">
        <v>27</v>
      </c>
      <c r="O35" s="4" t="s">
        <v>4</v>
      </c>
      <c r="P35" s="4" t="s">
        <v>25</v>
      </c>
      <c r="Q35" s="4" t="s">
        <v>8</v>
      </c>
      <c r="R35" s="4" t="s">
        <v>7</v>
      </c>
      <c r="S35" s="4" t="s">
        <v>18</v>
      </c>
      <c r="T35" s="4" t="s">
        <v>15</v>
      </c>
      <c r="U35" s="4" t="s">
        <v>12</v>
      </c>
      <c r="V35" s="4" t="s">
        <v>6</v>
      </c>
      <c r="W35" s="4" t="s">
        <v>21</v>
      </c>
      <c r="X35" s="4" t="s">
        <v>22</v>
      </c>
      <c r="Y35" s="4" t="s">
        <v>5</v>
      </c>
      <c r="Z35" s="4" t="s">
        <v>23</v>
      </c>
      <c r="AA35" s="4" t="s">
        <v>24</v>
      </c>
      <c r="AB35" s="4" t="s">
        <v>10</v>
      </c>
      <c r="AC35" s="4" t="s">
        <v>2</v>
      </c>
    </row>
    <row r="36" spans="1:29" x14ac:dyDescent="0.55000000000000004">
      <c r="A36" s="2" t="s">
        <v>44</v>
      </c>
      <c r="B36">
        <v>2</v>
      </c>
      <c r="D36" s="5">
        <f>HLOOKUP(D$35,$D$2:$AC$10,$B36,FALSE)</f>
        <v>42000</v>
      </c>
      <c r="E36" s="5">
        <f t="shared" ref="E36:AC43" si="0">HLOOKUP(E$35,$D$2:$AC$10,$B36,FALSE)</f>
        <v>0</v>
      </c>
      <c r="F36" s="5">
        <f t="shared" si="0"/>
        <v>36500</v>
      </c>
      <c r="G36" s="5">
        <f t="shared" si="0"/>
        <v>0</v>
      </c>
      <c r="H36" s="5">
        <f t="shared" si="0"/>
        <v>39973.5</v>
      </c>
      <c r="I36" s="5">
        <f t="shared" si="0"/>
        <v>0</v>
      </c>
      <c r="J36" s="5">
        <f t="shared" si="0"/>
        <v>46000</v>
      </c>
      <c r="K36" s="5">
        <f t="shared" si="0"/>
        <v>0</v>
      </c>
      <c r="L36" s="5">
        <f t="shared" si="0"/>
        <v>28000</v>
      </c>
      <c r="M36" s="5">
        <f t="shared" si="0"/>
        <v>360000</v>
      </c>
      <c r="N36" s="5">
        <f t="shared" si="0"/>
        <v>15000</v>
      </c>
      <c r="O36" s="5">
        <f t="shared" si="0"/>
        <v>29000</v>
      </c>
      <c r="P36" s="5">
        <f t="shared" si="0"/>
        <v>0</v>
      </c>
      <c r="Q36" s="5">
        <f t="shared" si="0"/>
        <v>0</v>
      </c>
      <c r="R36" s="5">
        <f t="shared" si="0"/>
        <v>12000</v>
      </c>
      <c r="S36" s="5">
        <f t="shared" si="0"/>
        <v>20000</v>
      </c>
      <c r="T36" s="5">
        <f t="shared" si="0"/>
        <v>42000</v>
      </c>
      <c r="U36" s="5">
        <f t="shared" si="0"/>
        <v>18000</v>
      </c>
      <c r="V36" s="5">
        <f t="shared" si="0"/>
        <v>25000</v>
      </c>
      <c r="W36" s="5">
        <f t="shared" si="0"/>
        <v>73000</v>
      </c>
      <c r="X36" s="5">
        <f t="shared" si="0"/>
        <v>48500</v>
      </c>
      <c r="Y36" s="5">
        <f t="shared" si="0"/>
        <v>14000</v>
      </c>
      <c r="Z36" s="5">
        <f t="shared" si="0"/>
        <v>94000</v>
      </c>
      <c r="AA36" s="5">
        <f t="shared" si="0"/>
        <v>55000</v>
      </c>
      <c r="AB36" s="5">
        <f t="shared" si="0"/>
        <v>0</v>
      </c>
      <c r="AC36" s="5">
        <f t="shared" si="0"/>
        <v>0</v>
      </c>
    </row>
    <row r="37" spans="1:29" x14ac:dyDescent="0.55000000000000004">
      <c r="A37" s="2" t="s">
        <v>30</v>
      </c>
      <c r="B37">
        <v>3</v>
      </c>
      <c r="D37" s="5">
        <f t="shared" ref="D37:D42" si="1">HLOOKUP(D$35,$D$2:$AC$10,$B37,FALSE)</f>
        <v>60779</v>
      </c>
      <c r="E37" s="5">
        <f t="shared" si="0"/>
        <v>4300</v>
      </c>
      <c r="F37" s="5">
        <f t="shared" si="0"/>
        <v>7500</v>
      </c>
      <c r="G37" s="5">
        <f t="shared" si="0"/>
        <v>919336</v>
      </c>
      <c r="H37" s="5">
        <f t="shared" si="0"/>
        <v>94265</v>
      </c>
      <c r="I37" s="5">
        <f t="shared" si="0"/>
        <v>78810</v>
      </c>
      <c r="J37" s="5">
        <f t="shared" si="0"/>
        <v>67444</v>
      </c>
      <c r="K37" s="5">
        <f t="shared" si="0"/>
        <v>0</v>
      </c>
      <c r="L37" s="5">
        <f t="shared" si="0"/>
        <v>34750</v>
      </c>
      <c r="M37" s="5">
        <f t="shared" si="0"/>
        <v>461320</v>
      </c>
      <c r="N37" s="5">
        <f t="shared" si="0"/>
        <v>63420</v>
      </c>
      <c r="O37" s="5">
        <f t="shared" si="0"/>
        <v>66860</v>
      </c>
      <c r="P37" s="5">
        <f t="shared" si="0"/>
        <v>287745</v>
      </c>
      <c r="Q37" s="5">
        <f t="shared" si="0"/>
        <v>0</v>
      </c>
      <c r="R37" s="5">
        <f t="shared" si="0"/>
        <v>0</v>
      </c>
      <c r="S37" s="5">
        <f t="shared" si="0"/>
        <v>0</v>
      </c>
      <c r="T37" s="5">
        <f t="shared" si="0"/>
        <v>64000</v>
      </c>
      <c r="U37" s="5">
        <f t="shared" si="0"/>
        <v>176465</v>
      </c>
      <c r="V37" s="5">
        <f t="shared" si="0"/>
        <v>0</v>
      </c>
      <c r="W37" s="5">
        <f t="shared" si="0"/>
        <v>104975</v>
      </c>
      <c r="X37" s="5">
        <f t="shared" si="0"/>
        <v>98927</v>
      </c>
      <c r="Y37" s="5">
        <f t="shared" si="0"/>
        <v>6000</v>
      </c>
      <c r="Z37" s="5">
        <f t="shared" si="0"/>
        <v>825450</v>
      </c>
      <c r="AA37" s="5">
        <f t="shared" si="0"/>
        <v>183974</v>
      </c>
      <c r="AB37" s="5">
        <f t="shared" si="0"/>
        <v>0</v>
      </c>
      <c r="AC37" s="5">
        <f t="shared" si="0"/>
        <v>0</v>
      </c>
    </row>
    <row r="38" spans="1:29" x14ac:dyDescent="0.55000000000000004">
      <c r="A38" s="2" t="s">
        <v>31</v>
      </c>
      <c r="B38">
        <v>4</v>
      </c>
      <c r="D38" s="5">
        <f t="shared" si="1"/>
        <v>0</v>
      </c>
      <c r="E38" s="5">
        <f t="shared" si="0"/>
        <v>0</v>
      </c>
      <c r="F38" s="5">
        <f t="shared" si="0"/>
        <v>0</v>
      </c>
      <c r="G38" s="5">
        <f t="shared" si="0"/>
        <v>0</v>
      </c>
      <c r="H38" s="5">
        <f t="shared" si="0"/>
        <v>7200</v>
      </c>
      <c r="I38" s="5">
        <f t="shared" si="0"/>
        <v>0</v>
      </c>
      <c r="J38" s="5">
        <f t="shared" si="0"/>
        <v>0</v>
      </c>
      <c r="K38" s="5">
        <f t="shared" si="0"/>
        <v>0</v>
      </c>
      <c r="L38" s="5">
        <f t="shared" si="0"/>
        <v>0</v>
      </c>
      <c r="M38" s="5">
        <f t="shared" si="0"/>
        <v>0</v>
      </c>
      <c r="N38" s="5">
        <f t="shared" si="0"/>
        <v>0</v>
      </c>
      <c r="O38" s="5">
        <f t="shared" si="0"/>
        <v>0</v>
      </c>
      <c r="P38" s="5">
        <f t="shared" si="0"/>
        <v>0</v>
      </c>
      <c r="Q38" s="5">
        <f t="shared" si="0"/>
        <v>0</v>
      </c>
      <c r="R38" s="5">
        <f t="shared" si="0"/>
        <v>0</v>
      </c>
      <c r="S38" s="5">
        <f t="shared" si="0"/>
        <v>0</v>
      </c>
      <c r="T38" s="5">
        <f t="shared" si="0"/>
        <v>0</v>
      </c>
      <c r="U38" s="5">
        <f t="shared" si="0"/>
        <v>0</v>
      </c>
      <c r="V38" s="5">
        <f t="shared" si="0"/>
        <v>0</v>
      </c>
      <c r="W38" s="5">
        <f t="shared" si="0"/>
        <v>0</v>
      </c>
      <c r="X38" s="5">
        <f t="shared" si="0"/>
        <v>0</v>
      </c>
      <c r="Y38" s="5">
        <f t="shared" si="0"/>
        <v>0</v>
      </c>
      <c r="Z38" s="5">
        <f t="shared" si="0"/>
        <v>3271</v>
      </c>
      <c r="AA38" s="5">
        <f t="shared" si="0"/>
        <v>0</v>
      </c>
      <c r="AB38" s="5">
        <f t="shared" si="0"/>
        <v>0</v>
      </c>
      <c r="AC38" s="5">
        <f t="shared" si="0"/>
        <v>0</v>
      </c>
    </row>
    <row r="39" spans="1:29" x14ac:dyDescent="0.55000000000000004">
      <c r="A39" s="2" t="s">
        <v>32</v>
      </c>
      <c r="B39">
        <v>5</v>
      </c>
      <c r="D39" s="5">
        <f t="shared" si="1"/>
        <v>4781476</v>
      </c>
      <c r="E39" s="5">
        <f t="shared" si="0"/>
        <v>56808</v>
      </c>
      <c r="F39" s="5">
        <f t="shared" si="0"/>
        <v>905432</v>
      </c>
      <c r="G39" s="5">
        <f t="shared" si="0"/>
        <v>11426800</v>
      </c>
      <c r="H39" s="5">
        <f t="shared" si="0"/>
        <v>7615960</v>
      </c>
      <c r="I39" s="5">
        <f t="shared" si="0"/>
        <v>1821209</v>
      </c>
      <c r="J39" s="5">
        <f t="shared" si="0"/>
        <v>4038898</v>
      </c>
      <c r="K39" s="5">
        <f t="shared" si="0"/>
        <v>4420119</v>
      </c>
      <c r="L39" s="5">
        <f t="shared" si="0"/>
        <v>591260</v>
      </c>
      <c r="M39" s="5">
        <f t="shared" si="0"/>
        <v>2206244</v>
      </c>
      <c r="N39" s="5">
        <f t="shared" si="0"/>
        <v>512372</v>
      </c>
      <c r="O39" s="5">
        <f t="shared" si="0"/>
        <v>1876678</v>
      </c>
      <c r="P39" s="5">
        <f t="shared" si="0"/>
        <v>1960974</v>
      </c>
      <c r="Q39" s="5">
        <f t="shared" si="0"/>
        <v>71326</v>
      </c>
      <c r="R39" s="5">
        <f t="shared" si="0"/>
        <v>33000</v>
      </c>
      <c r="S39" s="5">
        <f t="shared" si="0"/>
        <v>2243735</v>
      </c>
      <c r="T39" s="5">
        <f t="shared" si="0"/>
        <v>566145</v>
      </c>
      <c r="U39" s="5">
        <f t="shared" si="0"/>
        <v>3723247</v>
      </c>
      <c r="V39" s="5">
        <f t="shared" si="0"/>
        <v>1006332</v>
      </c>
      <c r="W39" s="5">
        <f t="shared" si="0"/>
        <v>2306880</v>
      </c>
      <c r="X39" s="5">
        <f t="shared" si="0"/>
        <v>9098945</v>
      </c>
      <c r="Y39" s="5">
        <f t="shared" si="0"/>
        <v>210280</v>
      </c>
      <c r="Z39" s="5">
        <f t="shared" si="0"/>
        <v>6863349</v>
      </c>
      <c r="AA39" s="5">
        <f t="shared" si="0"/>
        <v>6956807</v>
      </c>
      <c r="AB39" s="5">
        <f t="shared" si="0"/>
        <v>544000</v>
      </c>
      <c r="AC39" s="5">
        <f t="shared" si="0"/>
        <v>7990829</v>
      </c>
    </row>
    <row r="40" spans="1:29" x14ac:dyDescent="0.55000000000000004">
      <c r="A40" s="2" t="s">
        <v>33</v>
      </c>
      <c r="B40">
        <v>6</v>
      </c>
      <c r="D40" s="5">
        <f t="shared" si="1"/>
        <v>2147142</v>
      </c>
      <c r="E40" s="5">
        <f t="shared" si="0"/>
        <v>54546</v>
      </c>
      <c r="F40" s="5">
        <f t="shared" si="0"/>
        <v>271953</v>
      </c>
      <c r="G40" s="5">
        <f t="shared" si="0"/>
        <v>3173100</v>
      </c>
      <c r="H40" s="5">
        <f t="shared" si="0"/>
        <v>928259</v>
      </c>
      <c r="I40" s="5">
        <f t="shared" si="0"/>
        <v>5749851</v>
      </c>
      <c r="J40" s="5">
        <f t="shared" si="0"/>
        <v>1993815</v>
      </c>
      <c r="K40" s="5">
        <f t="shared" si="0"/>
        <v>96948</v>
      </c>
      <c r="L40" s="5">
        <f t="shared" si="0"/>
        <v>28750</v>
      </c>
      <c r="M40" s="5">
        <f t="shared" si="0"/>
        <v>1766185</v>
      </c>
      <c r="N40" s="5">
        <f t="shared" si="0"/>
        <v>25925</v>
      </c>
      <c r="O40" s="5">
        <f t="shared" si="0"/>
        <v>3050182</v>
      </c>
      <c r="P40" s="5">
        <f t="shared" si="0"/>
        <v>78324</v>
      </c>
      <c r="Q40" s="5">
        <f t="shared" si="0"/>
        <v>5488</v>
      </c>
      <c r="R40" s="5">
        <f t="shared" si="0"/>
        <v>36000</v>
      </c>
      <c r="S40" s="5">
        <f t="shared" si="0"/>
        <v>2006490</v>
      </c>
      <c r="T40" s="5">
        <f t="shared" si="0"/>
        <v>311800</v>
      </c>
      <c r="U40" s="5">
        <f t="shared" si="0"/>
        <v>1260166.5</v>
      </c>
      <c r="V40" s="5">
        <f t="shared" si="0"/>
        <v>422619</v>
      </c>
      <c r="W40" s="5">
        <f t="shared" si="0"/>
        <v>3196345</v>
      </c>
      <c r="X40" s="5">
        <f t="shared" si="0"/>
        <v>273046</v>
      </c>
      <c r="Y40" s="5">
        <f t="shared" si="0"/>
        <v>8000</v>
      </c>
      <c r="Z40" s="5">
        <f t="shared" si="0"/>
        <v>6208118</v>
      </c>
      <c r="AA40" s="5">
        <f t="shared" si="0"/>
        <v>374148</v>
      </c>
      <c r="AB40" s="5">
        <f t="shared" si="0"/>
        <v>2558731</v>
      </c>
      <c r="AC40" s="5">
        <f t="shared" si="0"/>
        <v>12422233</v>
      </c>
    </row>
    <row r="41" spans="1:29" x14ac:dyDescent="0.55000000000000004">
      <c r="A41" s="2" t="s">
        <v>34</v>
      </c>
      <c r="B41">
        <v>7</v>
      </c>
      <c r="D41" s="5">
        <f t="shared" si="1"/>
        <v>210131</v>
      </c>
      <c r="E41" s="5">
        <f t="shared" si="0"/>
        <v>8198</v>
      </c>
      <c r="F41" s="5">
        <f t="shared" si="0"/>
        <v>101370</v>
      </c>
      <c r="G41" s="5">
        <f t="shared" si="0"/>
        <v>1518897</v>
      </c>
      <c r="H41" s="5">
        <f t="shared" si="0"/>
        <v>91090</v>
      </c>
      <c r="I41" s="5">
        <f t="shared" si="0"/>
        <v>391539</v>
      </c>
      <c r="J41" s="5">
        <f t="shared" si="0"/>
        <v>367992</v>
      </c>
      <c r="K41" s="5">
        <f t="shared" si="0"/>
        <v>4147</v>
      </c>
      <c r="L41" s="5">
        <f t="shared" si="0"/>
        <v>49438</v>
      </c>
      <c r="M41" s="5">
        <f t="shared" si="0"/>
        <v>310813</v>
      </c>
      <c r="N41" s="5">
        <f t="shared" si="0"/>
        <v>0</v>
      </c>
      <c r="O41" s="5">
        <f t="shared" si="0"/>
        <v>439749</v>
      </c>
      <c r="P41" s="5">
        <f t="shared" si="0"/>
        <v>241180</v>
      </c>
      <c r="Q41" s="5">
        <f t="shared" si="0"/>
        <v>30875</v>
      </c>
      <c r="R41" s="5">
        <f t="shared" si="0"/>
        <v>26000</v>
      </c>
      <c r="S41" s="5">
        <f t="shared" si="0"/>
        <v>30000</v>
      </c>
      <c r="T41" s="5">
        <f t="shared" si="0"/>
        <v>603755</v>
      </c>
      <c r="U41" s="5">
        <f t="shared" si="0"/>
        <v>180430</v>
      </c>
      <c r="V41" s="5">
        <f t="shared" si="0"/>
        <v>528852</v>
      </c>
      <c r="W41" s="5">
        <f t="shared" si="0"/>
        <v>534238</v>
      </c>
      <c r="X41" s="5">
        <f t="shared" si="0"/>
        <v>359900</v>
      </c>
      <c r="Y41" s="5">
        <f t="shared" si="0"/>
        <v>12540</v>
      </c>
      <c r="Z41" s="5">
        <f t="shared" si="0"/>
        <v>150538</v>
      </c>
      <c r="AA41" s="5">
        <f t="shared" si="0"/>
        <v>245686</v>
      </c>
      <c r="AB41" s="5">
        <f t="shared" si="0"/>
        <v>17400</v>
      </c>
      <c r="AC41" s="5">
        <f t="shared" si="0"/>
        <v>1364054</v>
      </c>
    </row>
    <row r="42" spans="1:29" x14ac:dyDescent="0.55000000000000004">
      <c r="A42" s="2" t="s">
        <v>35</v>
      </c>
      <c r="B42">
        <v>8</v>
      </c>
      <c r="D42" s="5">
        <f t="shared" si="1"/>
        <v>44086</v>
      </c>
      <c r="E42" s="5">
        <f t="shared" si="0"/>
        <v>3783</v>
      </c>
      <c r="F42" s="5">
        <f t="shared" si="0"/>
        <v>15090</v>
      </c>
      <c r="G42" s="5">
        <f t="shared" si="0"/>
        <v>157800</v>
      </c>
      <c r="H42" s="5">
        <f t="shared" si="0"/>
        <v>31982</v>
      </c>
      <c r="I42" s="5">
        <f t="shared" si="0"/>
        <v>9112</v>
      </c>
      <c r="J42" s="5">
        <f t="shared" si="0"/>
        <v>37510</v>
      </c>
      <c r="K42" s="5">
        <f t="shared" si="0"/>
        <v>44233</v>
      </c>
      <c r="L42" s="5">
        <f t="shared" si="0"/>
        <v>43605</v>
      </c>
      <c r="M42" s="5">
        <f t="shared" si="0"/>
        <v>124822</v>
      </c>
      <c r="N42" s="5">
        <f t="shared" si="0"/>
        <v>48367</v>
      </c>
      <c r="O42" s="5">
        <f t="shared" si="0"/>
        <v>115770.9</v>
      </c>
      <c r="P42" s="5">
        <f t="shared" si="0"/>
        <v>38153</v>
      </c>
      <c r="Q42" s="5">
        <f t="shared" si="0"/>
        <v>5645</v>
      </c>
      <c r="R42" s="5">
        <f t="shared" si="0"/>
        <v>0</v>
      </c>
      <c r="S42" s="5">
        <f t="shared" si="0"/>
        <v>0</v>
      </c>
      <c r="T42" s="5">
        <f t="shared" si="0"/>
        <v>5052</v>
      </c>
      <c r="U42" s="5">
        <f t="shared" si="0"/>
        <v>51141</v>
      </c>
      <c r="V42" s="5">
        <f t="shared" si="0"/>
        <v>13996</v>
      </c>
      <c r="W42" s="5">
        <f t="shared" si="0"/>
        <v>57725</v>
      </c>
      <c r="X42" s="5">
        <f t="shared" si="0"/>
        <v>66572</v>
      </c>
      <c r="Y42" s="5">
        <f t="shared" si="0"/>
        <v>11600</v>
      </c>
      <c r="Z42" s="5">
        <f t="shared" si="0"/>
        <v>864038</v>
      </c>
      <c r="AA42" s="5">
        <f t="shared" si="0"/>
        <v>46096</v>
      </c>
      <c r="AB42" s="5">
        <f t="shared" si="0"/>
        <v>0</v>
      </c>
      <c r="AC42" s="5">
        <f t="shared" si="0"/>
        <v>52365</v>
      </c>
    </row>
    <row r="43" spans="1:29" x14ac:dyDescent="0.55000000000000004">
      <c r="A43" s="2" t="s">
        <v>36</v>
      </c>
      <c r="B43">
        <v>9</v>
      </c>
      <c r="D43" s="5">
        <f>HLOOKUP(D$35,$D$2:$AC$10,$B43,FALSE)</f>
        <v>0</v>
      </c>
      <c r="E43" s="5">
        <f t="shared" si="0"/>
        <v>0</v>
      </c>
      <c r="F43" s="5">
        <f t="shared" si="0"/>
        <v>0</v>
      </c>
      <c r="G43" s="5">
        <f t="shared" si="0"/>
        <v>3000</v>
      </c>
      <c r="H43" s="5">
        <f t="shared" si="0"/>
        <v>0</v>
      </c>
      <c r="I43" s="5">
        <f t="shared" si="0"/>
        <v>4800</v>
      </c>
      <c r="J43" s="5">
        <f t="shared" si="0"/>
        <v>0</v>
      </c>
      <c r="K43" s="5">
        <f t="shared" si="0"/>
        <v>0</v>
      </c>
      <c r="L43" s="5">
        <f t="shared" si="0"/>
        <v>0</v>
      </c>
      <c r="M43" s="5">
        <f t="shared" si="0"/>
        <v>10000</v>
      </c>
      <c r="N43" s="5">
        <f t="shared" si="0"/>
        <v>0</v>
      </c>
      <c r="O43" s="5">
        <f t="shared" si="0"/>
        <v>0</v>
      </c>
      <c r="P43" s="5">
        <f t="shared" si="0"/>
        <v>0</v>
      </c>
      <c r="Q43" s="5">
        <f t="shared" si="0"/>
        <v>0</v>
      </c>
      <c r="R43" s="5">
        <f t="shared" si="0"/>
        <v>0</v>
      </c>
      <c r="S43" s="5">
        <f t="shared" si="0"/>
        <v>0</v>
      </c>
      <c r="T43" s="5">
        <f t="shared" si="0"/>
        <v>7000</v>
      </c>
      <c r="U43" s="5">
        <f t="shared" si="0"/>
        <v>0</v>
      </c>
      <c r="V43" s="5">
        <f t="shared" si="0"/>
        <v>0</v>
      </c>
      <c r="W43" s="5">
        <f t="shared" si="0"/>
        <v>3500</v>
      </c>
      <c r="X43" s="5">
        <f t="shared" si="0"/>
        <v>0</v>
      </c>
      <c r="Y43" s="5">
        <f t="shared" si="0"/>
        <v>0</v>
      </c>
      <c r="Z43" s="5">
        <f t="shared" si="0"/>
        <v>12000</v>
      </c>
      <c r="AA43" s="5">
        <f t="shared" si="0"/>
        <v>0</v>
      </c>
      <c r="AB43" s="5">
        <f t="shared" si="0"/>
        <v>0</v>
      </c>
      <c r="AC43" s="5">
        <f t="shared" si="0"/>
        <v>0</v>
      </c>
    </row>
    <row r="44" spans="1:29" x14ac:dyDescent="0.55000000000000004">
      <c r="A44" s="2"/>
    </row>
    <row r="45" spans="1:29" x14ac:dyDescent="0.55000000000000004">
      <c r="A45" s="1" t="s">
        <v>39</v>
      </c>
      <c r="B45" s="1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spans="1:29" x14ac:dyDescent="0.55000000000000004">
      <c r="A46" s="1" t="s">
        <v>28</v>
      </c>
      <c r="B46" s="1" t="s">
        <v>41</v>
      </c>
      <c r="D46" s="4" t="s">
        <v>20</v>
      </c>
      <c r="E46" s="4" t="s">
        <v>17</v>
      </c>
      <c r="F46" s="4" t="s">
        <v>16</v>
      </c>
      <c r="G46" s="4" t="s">
        <v>3</v>
      </c>
      <c r="H46" s="4" t="s">
        <v>14</v>
      </c>
      <c r="I46" s="4" t="s">
        <v>13</v>
      </c>
      <c r="J46" s="4" t="s">
        <v>11</v>
      </c>
      <c r="K46" s="4" t="s">
        <v>26</v>
      </c>
      <c r="L46" s="4" t="s">
        <v>9</v>
      </c>
      <c r="M46" s="4" t="s">
        <v>19</v>
      </c>
      <c r="N46" s="4" t="s">
        <v>27</v>
      </c>
      <c r="O46" s="4" t="s">
        <v>4</v>
      </c>
      <c r="P46" s="4" t="s">
        <v>25</v>
      </c>
      <c r="Q46" s="4" t="s">
        <v>8</v>
      </c>
      <c r="R46" s="4" t="s">
        <v>7</v>
      </c>
      <c r="S46" s="4" t="s">
        <v>18</v>
      </c>
      <c r="T46" s="4" t="s">
        <v>15</v>
      </c>
      <c r="U46" s="4" t="s">
        <v>12</v>
      </c>
      <c r="V46" s="4" t="s">
        <v>6</v>
      </c>
      <c r="W46" s="4" t="s">
        <v>21</v>
      </c>
      <c r="X46" s="4" t="s">
        <v>22</v>
      </c>
      <c r="Y46" s="4" t="s">
        <v>5</v>
      </c>
      <c r="Z46" s="4" t="s">
        <v>23</v>
      </c>
      <c r="AA46" s="4" t="s">
        <v>24</v>
      </c>
      <c r="AB46" s="4" t="s">
        <v>10</v>
      </c>
      <c r="AC46" s="4" t="s">
        <v>2</v>
      </c>
    </row>
    <row r="47" spans="1:29" x14ac:dyDescent="0.55000000000000004">
      <c r="A47" s="2" t="s">
        <v>44</v>
      </c>
      <c r="B47">
        <v>2</v>
      </c>
      <c r="D47" s="5">
        <f>HLOOKUP(D$46,$D$13:$AC$21,$B47,FALSE)</f>
        <v>9000</v>
      </c>
      <c r="E47" s="5">
        <f t="shared" ref="E47:AC54" si="2">HLOOKUP(E$46,$D$13:$AC$21,$B47,FALSE)</f>
        <v>0</v>
      </c>
      <c r="F47" s="5">
        <f t="shared" si="2"/>
        <v>5500</v>
      </c>
      <c r="G47" s="5">
        <f t="shared" si="2"/>
        <v>0</v>
      </c>
      <c r="H47" s="5">
        <f t="shared" si="2"/>
        <v>5968</v>
      </c>
      <c r="I47" s="5">
        <f t="shared" si="2"/>
        <v>0</v>
      </c>
      <c r="J47" s="5">
        <f t="shared" si="2"/>
        <v>0</v>
      </c>
      <c r="K47" s="5">
        <f t="shared" si="2"/>
        <v>0</v>
      </c>
      <c r="L47" s="5">
        <f t="shared" si="2"/>
        <v>0</v>
      </c>
      <c r="M47" s="5">
        <f t="shared" si="2"/>
        <v>90000</v>
      </c>
      <c r="N47" s="5">
        <f t="shared" si="2"/>
        <v>5000</v>
      </c>
      <c r="O47" s="5">
        <f t="shared" si="2"/>
        <v>15000</v>
      </c>
      <c r="P47" s="5">
        <f t="shared" si="2"/>
        <v>0</v>
      </c>
      <c r="Q47" s="5">
        <f t="shared" si="2"/>
        <v>0</v>
      </c>
      <c r="R47" s="5">
        <f t="shared" si="2"/>
        <v>27000</v>
      </c>
      <c r="S47" s="5">
        <f t="shared" si="2"/>
        <v>0</v>
      </c>
      <c r="T47" s="5">
        <f t="shared" si="2"/>
        <v>14000</v>
      </c>
      <c r="U47" s="5">
        <f t="shared" si="2"/>
        <v>6000</v>
      </c>
      <c r="V47" s="5">
        <f t="shared" si="2"/>
        <v>20000</v>
      </c>
      <c r="W47" s="5">
        <f t="shared" si="2"/>
        <v>37500</v>
      </c>
      <c r="X47" s="5">
        <f t="shared" si="2"/>
        <v>0</v>
      </c>
      <c r="Y47" s="5">
        <f t="shared" si="2"/>
        <v>4000</v>
      </c>
      <c r="Z47" s="5">
        <f t="shared" si="2"/>
        <v>0</v>
      </c>
      <c r="AA47" s="5">
        <f t="shared" si="2"/>
        <v>0</v>
      </c>
      <c r="AB47" s="5">
        <f t="shared" si="2"/>
        <v>0</v>
      </c>
      <c r="AC47" s="5">
        <f t="shared" si="2"/>
        <v>0</v>
      </c>
    </row>
    <row r="48" spans="1:29" x14ac:dyDescent="0.55000000000000004">
      <c r="A48" s="2" t="s">
        <v>30</v>
      </c>
      <c r="B48">
        <v>3</v>
      </c>
      <c r="D48" s="5">
        <f t="shared" ref="D48:S54" si="3">HLOOKUP(D$46,$D$13:$AC$21,$B48,FALSE)</f>
        <v>17095</v>
      </c>
      <c r="E48" s="5">
        <f t="shared" si="3"/>
        <v>5000</v>
      </c>
      <c r="F48" s="5">
        <f t="shared" si="3"/>
        <v>13271</v>
      </c>
      <c r="G48" s="5">
        <f t="shared" si="3"/>
        <v>243138</v>
      </c>
      <c r="H48" s="5">
        <f t="shared" si="3"/>
        <v>49690</v>
      </c>
      <c r="I48" s="5">
        <f t="shared" si="3"/>
        <v>100200</v>
      </c>
      <c r="J48" s="5">
        <f t="shared" si="3"/>
        <v>33483</v>
      </c>
      <c r="K48" s="5">
        <f t="shared" si="3"/>
        <v>0</v>
      </c>
      <c r="L48" s="5">
        <f t="shared" si="3"/>
        <v>25710</v>
      </c>
      <c r="M48" s="5">
        <f t="shared" si="3"/>
        <v>831640</v>
      </c>
      <c r="N48" s="5">
        <f t="shared" si="3"/>
        <v>45930</v>
      </c>
      <c r="O48" s="5">
        <f t="shared" si="3"/>
        <v>90570</v>
      </c>
      <c r="P48" s="5">
        <f t="shared" si="3"/>
        <v>222530</v>
      </c>
      <c r="Q48" s="5">
        <f t="shared" si="3"/>
        <v>13830</v>
      </c>
      <c r="R48" s="5">
        <f t="shared" si="3"/>
        <v>0</v>
      </c>
      <c r="S48" s="5">
        <f t="shared" si="3"/>
        <v>0</v>
      </c>
      <c r="T48" s="5">
        <f t="shared" si="2"/>
        <v>44880</v>
      </c>
      <c r="U48" s="5">
        <f t="shared" si="2"/>
        <v>88383</v>
      </c>
      <c r="V48" s="5">
        <f t="shared" si="2"/>
        <v>13350</v>
      </c>
      <c r="W48" s="5">
        <f t="shared" si="2"/>
        <v>146900</v>
      </c>
      <c r="X48" s="5">
        <f t="shared" si="2"/>
        <v>35900</v>
      </c>
      <c r="Y48" s="5">
        <f t="shared" si="2"/>
        <v>14300</v>
      </c>
      <c r="Z48" s="5">
        <f t="shared" si="2"/>
        <v>335530</v>
      </c>
      <c r="AA48" s="5">
        <f t="shared" si="2"/>
        <v>59230</v>
      </c>
      <c r="AB48" s="5">
        <f t="shared" si="2"/>
        <v>0</v>
      </c>
      <c r="AC48" s="5">
        <f t="shared" si="2"/>
        <v>0</v>
      </c>
    </row>
    <row r="49" spans="1:29" x14ac:dyDescent="0.55000000000000004">
      <c r="A49" s="2" t="s">
        <v>31</v>
      </c>
      <c r="B49">
        <v>4</v>
      </c>
      <c r="D49" s="5">
        <f t="shared" si="3"/>
        <v>0</v>
      </c>
      <c r="E49" s="5">
        <f t="shared" si="2"/>
        <v>0</v>
      </c>
      <c r="F49" s="5">
        <f t="shared" si="2"/>
        <v>0</v>
      </c>
      <c r="G49" s="5">
        <f t="shared" si="2"/>
        <v>64620</v>
      </c>
      <c r="H49" s="5">
        <f t="shared" si="2"/>
        <v>76755</v>
      </c>
      <c r="I49" s="5">
        <f t="shared" si="2"/>
        <v>0</v>
      </c>
      <c r="J49" s="5">
        <f t="shared" si="2"/>
        <v>0</v>
      </c>
      <c r="K49" s="5">
        <f t="shared" si="2"/>
        <v>0</v>
      </c>
      <c r="L49" s="5">
        <f t="shared" si="2"/>
        <v>0</v>
      </c>
      <c r="M49" s="5">
        <f t="shared" si="2"/>
        <v>567251</v>
      </c>
      <c r="N49" s="5">
        <f t="shared" si="2"/>
        <v>0</v>
      </c>
      <c r="O49" s="5">
        <f t="shared" si="2"/>
        <v>24000</v>
      </c>
      <c r="P49" s="5">
        <f t="shared" si="2"/>
        <v>37170</v>
      </c>
      <c r="Q49" s="5">
        <f t="shared" si="2"/>
        <v>0</v>
      </c>
      <c r="R49" s="5">
        <f t="shared" si="2"/>
        <v>0</v>
      </c>
      <c r="S49" s="5">
        <f t="shared" si="2"/>
        <v>0</v>
      </c>
      <c r="T49" s="5">
        <f t="shared" si="2"/>
        <v>25750</v>
      </c>
      <c r="U49" s="5">
        <f t="shared" si="2"/>
        <v>0</v>
      </c>
      <c r="V49" s="5">
        <f t="shared" si="2"/>
        <v>33000</v>
      </c>
      <c r="W49" s="5">
        <f t="shared" si="2"/>
        <v>71500</v>
      </c>
      <c r="X49" s="5">
        <f t="shared" si="2"/>
        <v>38200</v>
      </c>
      <c r="Y49" s="5">
        <f t="shared" si="2"/>
        <v>0</v>
      </c>
      <c r="Z49" s="5">
        <f t="shared" si="2"/>
        <v>28640</v>
      </c>
      <c r="AA49" s="5">
        <f t="shared" si="2"/>
        <v>187499</v>
      </c>
      <c r="AB49" s="5">
        <f t="shared" si="2"/>
        <v>102000</v>
      </c>
      <c r="AC49" s="5">
        <f t="shared" si="2"/>
        <v>0</v>
      </c>
    </row>
    <row r="50" spans="1:29" x14ac:dyDescent="0.55000000000000004">
      <c r="A50" s="2" t="s">
        <v>32</v>
      </c>
      <c r="B50">
        <v>5</v>
      </c>
      <c r="D50" s="5">
        <f t="shared" si="3"/>
        <v>659172</v>
      </c>
      <c r="E50" s="5">
        <f t="shared" si="2"/>
        <v>2296</v>
      </c>
      <c r="F50" s="5">
        <f t="shared" si="2"/>
        <v>143854</v>
      </c>
      <c r="G50" s="5">
        <f t="shared" si="2"/>
        <v>2324550</v>
      </c>
      <c r="H50" s="5">
        <f t="shared" si="2"/>
        <v>955301</v>
      </c>
      <c r="I50" s="5">
        <f t="shared" si="2"/>
        <v>401325</v>
      </c>
      <c r="J50" s="5">
        <f t="shared" si="2"/>
        <v>480954</v>
      </c>
      <c r="K50" s="5">
        <f t="shared" si="2"/>
        <v>402520</v>
      </c>
      <c r="L50" s="5">
        <f t="shared" si="2"/>
        <v>50950</v>
      </c>
      <c r="M50" s="5">
        <f t="shared" si="2"/>
        <v>1659344</v>
      </c>
      <c r="N50" s="5">
        <f t="shared" si="2"/>
        <v>92786</v>
      </c>
      <c r="O50" s="5">
        <f t="shared" si="2"/>
        <v>518608</v>
      </c>
      <c r="P50" s="5">
        <f t="shared" si="2"/>
        <v>294557</v>
      </c>
      <c r="Q50" s="5">
        <f t="shared" si="2"/>
        <v>108559</v>
      </c>
      <c r="R50" s="5">
        <f t="shared" si="2"/>
        <v>3000</v>
      </c>
      <c r="S50" s="5">
        <f t="shared" si="2"/>
        <v>94314</v>
      </c>
      <c r="T50" s="5">
        <f t="shared" si="2"/>
        <v>155507</v>
      </c>
      <c r="U50" s="5">
        <f t="shared" si="2"/>
        <v>670106</v>
      </c>
      <c r="V50" s="5">
        <f t="shared" si="2"/>
        <v>538374</v>
      </c>
      <c r="W50" s="5">
        <f t="shared" si="2"/>
        <v>522248</v>
      </c>
      <c r="X50" s="5">
        <f t="shared" si="2"/>
        <v>851959</v>
      </c>
      <c r="Y50" s="5">
        <f t="shared" si="2"/>
        <v>37400</v>
      </c>
      <c r="Z50" s="5">
        <f t="shared" si="2"/>
        <v>563245</v>
      </c>
      <c r="AA50" s="5">
        <f t="shared" si="2"/>
        <v>1318659</v>
      </c>
      <c r="AB50" s="5">
        <f t="shared" si="2"/>
        <v>278420</v>
      </c>
      <c r="AC50" s="5">
        <f t="shared" si="2"/>
        <v>1614685</v>
      </c>
    </row>
    <row r="51" spans="1:29" x14ac:dyDescent="0.55000000000000004">
      <c r="A51" s="2" t="s">
        <v>33</v>
      </c>
      <c r="B51">
        <v>6</v>
      </c>
      <c r="D51" s="5">
        <f t="shared" si="3"/>
        <v>1225994</v>
      </c>
      <c r="E51" s="5">
        <f t="shared" si="2"/>
        <v>9690</v>
      </c>
      <c r="F51" s="5">
        <f t="shared" si="2"/>
        <v>72798</v>
      </c>
      <c r="G51" s="5">
        <f t="shared" si="2"/>
        <v>1366260</v>
      </c>
      <c r="H51" s="5">
        <f t="shared" si="2"/>
        <v>512930</v>
      </c>
      <c r="I51" s="5">
        <f t="shared" si="2"/>
        <v>780665</v>
      </c>
      <c r="J51" s="5">
        <f t="shared" si="2"/>
        <v>713644</v>
      </c>
      <c r="K51" s="5">
        <f t="shared" si="2"/>
        <v>0</v>
      </c>
      <c r="L51" s="5">
        <f t="shared" si="2"/>
        <v>71363</v>
      </c>
      <c r="M51" s="5">
        <f t="shared" si="2"/>
        <v>3796380</v>
      </c>
      <c r="N51" s="5">
        <f t="shared" si="2"/>
        <v>5670</v>
      </c>
      <c r="O51" s="5">
        <f t="shared" si="2"/>
        <v>2993933</v>
      </c>
      <c r="P51" s="5">
        <f t="shared" si="2"/>
        <v>17865</v>
      </c>
      <c r="Q51" s="5">
        <f t="shared" si="2"/>
        <v>166913</v>
      </c>
      <c r="R51" s="5">
        <f t="shared" si="2"/>
        <v>22860</v>
      </c>
      <c r="S51" s="5">
        <f t="shared" si="2"/>
        <v>586546</v>
      </c>
      <c r="T51" s="5">
        <f t="shared" si="2"/>
        <v>228958</v>
      </c>
      <c r="U51" s="5">
        <f t="shared" si="2"/>
        <v>660489.5</v>
      </c>
      <c r="V51" s="5">
        <f t="shared" si="2"/>
        <v>399560</v>
      </c>
      <c r="W51" s="5">
        <f t="shared" si="2"/>
        <v>1552165</v>
      </c>
      <c r="X51" s="5">
        <f t="shared" si="2"/>
        <v>212386</v>
      </c>
      <c r="Y51" s="5">
        <f t="shared" si="2"/>
        <v>78440</v>
      </c>
      <c r="Z51" s="5">
        <f t="shared" si="2"/>
        <v>1010870</v>
      </c>
      <c r="AA51" s="5">
        <f t="shared" si="2"/>
        <v>688858</v>
      </c>
      <c r="AB51" s="5">
        <f t="shared" si="2"/>
        <v>4091400</v>
      </c>
      <c r="AC51" s="5">
        <f t="shared" si="2"/>
        <v>7300670</v>
      </c>
    </row>
    <row r="52" spans="1:29" x14ac:dyDescent="0.55000000000000004">
      <c r="A52" s="2" t="s">
        <v>34</v>
      </c>
      <c r="B52">
        <v>7</v>
      </c>
      <c r="D52" s="5">
        <f t="shared" si="3"/>
        <v>769703</v>
      </c>
      <c r="E52" s="5">
        <f t="shared" si="2"/>
        <v>4250</v>
      </c>
      <c r="F52" s="5">
        <f t="shared" si="2"/>
        <v>93066</v>
      </c>
      <c r="G52" s="5">
        <f t="shared" si="2"/>
        <v>2114179</v>
      </c>
      <c r="H52" s="5">
        <f t="shared" si="2"/>
        <v>387440</v>
      </c>
      <c r="I52" s="5">
        <f t="shared" si="2"/>
        <v>2518509</v>
      </c>
      <c r="J52" s="5">
        <f t="shared" si="2"/>
        <v>774264</v>
      </c>
      <c r="K52" s="5">
        <f t="shared" si="2"/>
        <v>0</v>
      </c>
      <c r="L52" s="5">
        <f t="shared" si="2"/>
        <v>91486</v>
      </c>
      <c r="M52" s="5">
        <f t="shared" si="2"/>
        <v>2018133</v>
      </c>
      <c r="N52" s="5">
        <f t="shared" si="2"/>
        <v>0</v>
      </c>
      <c r="O52" s="5">
        <f t="shared" si="2"/>
        <v>1078916</v>
      </c>
      <c r="P52" s="5">
        <f t="shared" si="2"/>
        <v>257003</v>
      </c>
      <c r="Q52" s="5">
        <f t="shared" si="2"/>
        <v>336355</v>
      </c>
      <c r="R52" s="5">
        <f t="shared" si="2"/>
        <v>72500</v>
      </c>
      <c r="S52" s="5">
        <f t="shared" si="2"/>
        <v>15000</v>
      </c>
      <c r="T52" s="5">
        <f t="shared" si="2"/>
        <v>933614</v>
      </c>
      <c r="U52" s="5">
        <f t="shared" si="2"/>
        <v>374951</v>
      </c>
      <c r="V52" s="5">
        <f t="shared" si="2"/>
        <v>1173130</v>
      </c>
      <c r="W52" s="5">
        <f t="shared" si="2"/>
        <v>645860</v>
      </c>
      <c r="X52" s="5">
        <f t="shared" si="2"/>
        <v>184000</v>
      </c>
      <c r="Y52" s="5">
        <f t="shared" si="2"/>
        <v>97180</v>
      </c>
      <c r="Z52" s="5">
        <f t="shared" si="2"/>
        <v>946109</v>
      </c>
      <c r="AA52" s="5">
        <f t="shared" si="2"/>
        <v>1131546</v>
      </c>
      <c r="AB52" s="5">
        <f t="shared" si="2"/>
        <v>956110</v>
      </c>
      <c r="AC52" s="5">
        <f t="shared" si="2"/>
        <v>2931412</v>
      </c>
    </row>
    <row r="53" spans="1:29" x14ac:dyDescent="0.55000000000000004">
      <c r="A53" s="2" t="s">
        <v>35</v>
      </c>
      <c r="B53">
        <v>8</v>
      </c>
      <c r="D53" s="5">
        <f t="shared" si="3"/>
        <v>59945</v>
      </c>
      <c r="E53" s="5">
        <f t="shared" si="2"/>
        <v>0</v>
      </c>
      <c r="F53" s="5">
        <f t="shared" si="2"/>
        <v>15185</v>
      </c>
      <c r="G53" s="5">
        <f t="shared" si="2"/>
        <v>158820</v>
      </c>
      <c r="H53" s="5">
        <f t="shared" si="2"/>
        <v>0</v>
      </c>
      <c r="I53" s="5">
        <f t="shared" si="2"/>
        <v>6612</v>
      </c>
      <c r="J53" s="5">
        <f t="shared" si="2"/>
        <v>19783</v>
      </c>
      <c r="K53" s="5">
        <f t="shared" si="2"/>
        <v>136437</v>
      </c>
      <c r="L53" s="5">
        <f t="shared" si="2"/>
        <v>9322</v>
      </c>
      <c r="M53" s="5">
        <f t="shared" si="2"/>
        <v>144827</v>
      </c>
      <c r="N53" s="5">
        <f t="shared" si="2"/>
        <v>22827</v>
      </c>
      <c r="O53" s="5">
        <f t="shared" si="2"/>
        <v>109236.1</v>
      </c>
      <c r="P53" s="5">
        <f t="shared" si="2"/>
        <v>38584</v>
      </c>
      <c r="Q53" s="5">
        <f t="shared" si="2"/>
        <v>0</v>
      </c>
      <c r="R53" s="5">
        <f t="shared" si="2"/>
        <v>0</v>
      </c>
      <c r="S53" s="5">
        <f t="shared" si="2"/>
        <v>20000</v>
      </c>
      <c r="T53" s="5">
        <f t="shared" si="2"/>
        <v>11646</v>
      </c>
      <c r="U53" s="5">
        <f t="shared" si="2"/>
        <v>5478</v>
      </c>
      <c r="V53" s="5">
        <f t="shared" si="2"/>
        <v>35406</v>
      </c>
      <c r="W53" s="5">
        <f t="shared" si="2"/>
        <v>5604</v>
      </c>
      <c r="X53" s="5">
        <f t="shared" si="2"/>
        <v>39097</v>
      </c>
      <c r="Y53" s="5">
        <f t="shared" si="2"/>
        <v>0</v>
      </c>
      <c r="Z53" s="5">
        <f t="shared" si="2"/>
        <v>370594</v>
      </c>
      <c r="AA53" s="5">
        <f t="shared" si="2"/>
        <v>4886</v>
      </c>
      <c r="AB53" s="5">
        <f t="shared" si="2"/>
        <v>0</v>
      </c>
      <c r="AC53" s="5">
        <f t="shared" si="2"/>
        <v>28948</v>
      </c>
    </row>
    <row r="54" spans="1:29" x14ac:dyDescent="0.55000000000000004">
      <c r="A54" s="2" t="s">
        <v>36</v>
      </c>
      <c r="B54">
        <v>9</v>
      </c>
      <c r="D54" s="5">
        <f t="shared" si="3"/>
        <v>0</v>
      </c>
      <c r="E54" s="5">
        <f t="shared" si="2"/>
        <v>0</v>
      </c>
      <c r="F54" s="5">
        <f t="shared" si="2"/>
        <v>0</v>
      </c>
      <c r="G54" s="5">
        <f t="shared" si="2"/>
        <v>334000</v>
      </c>
      <c r="H54" s="5">
        <f t="shared" si="2"/>
        <v>0</v>
      </c>
      <c r="I54" s="5">
        <f t="shared" si="2"/>
        <v>9600</v>
      </c>
      <c r="J54" s="5">
        <f t="shared" si="2"/>
        <v>0</v>
      </c>
      <c r="K54" s="5">
        <f t="shared" si="2"/>
        <v>256950</v>
      </c>
      <c r="L54" s="5">
        <f t="shared" si="2"/>
        <v>0</v>
      </c>
      <c r="M54" s="5">
        <f t="shared" si="2"/>
        <v>80000</v>
      </c>
      <c r="N54" s="5">
        <f t="shared" si="2"/>
        <v>0</v>
      </c>
      <c r="O54" s="5">
        <f t="shared" si="2"/>
        <v>0</v>
      </c>
      <c r="P54" s="5">
        <f t="shared" si="2"/>
        <v>0</v>
      </c>
      <c r="Q54" s="5">
        <f t="shared" si="2"/>
        <v>0</v>
      </c>
      <c r="R54" s="5">
        <f t="shared" si="2"/>
        <v>0</v>
      </c>
      <c r="S54" s="5">
        <f t="shared" si="2"/>
        <v>0</v>
      </c>
      <c r="T54" s="5">
        <f t="shared" si="2"/>
        <v>0</v>
      </c>
      <c r="U54" s="5">
        <f t="shared" si="2"/>
        <v>0</v>
      </c>
      <c r="V54" s="5">
        <f t="shared" si="2"/>
        <v>0</v>
      </c>
      <c r="W54" s="5">
        <f t="shared" si="2"/>
        <v>0</v>
      </c>
      <c r="X54" s="5">
        <f t="shared" si="2"/>
        <v>0</v>
      </c>
      <c r="Y54" s="5">
        <f t="shared" si="2"/>
        <v>0</v>
      </c>
      <c r="Z54" s="5">
        <f t="shared" si="2"/>
        <v>69600</v>
      </c>
      <c r="AA54" s="5">
        <f t="shared" si="2"/>
        <v>0</v>
      </c>
      <c r="AB54" s="5">
        <f t="shared" si="2"/>
        <v>0</v>
      </c>
      <c r="AC54" s="5">
        <f t="shared" si="2"/>
        <v>0</v>
      </c>
    </row>
    <row r="55" spans="1:29" x14ac:dyDescent="0.55000000000000004">
      <c r="A55" s="2"/>
    </row>
    <row r="56" spans="1:29" x14ac:dyDescent="0.55000000000000004">
      <c r="A56" s="1" t="s">
        <v>38</v>
      </c>
      <c r="B56" s="1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spans="1:29" x14ac:dyDescent="0.55000000000000004">
      <c r="A57" s="1" t="s">
        <v>28</v>
      </c>
      <c r="B57" s="1" t="s">
        <v>41</v>
      </c>
      <c r="D57" s="4" t="s">
        <v>20</v>
      </c>
      <c r="E57" s="4" t="s">
        <v>17</v>
      </c>
      <c r="F57" s="4" t="s">
        <v>16</v>
      </c>
      <c r="G57" s="4" t="s">
        <v>3</v>
      </c>
      <c r="H57" s="4" t="s">
        <v>14</v>
      </c>
      <c r="I57" s="4" t="s">
        <v>13</v>
      </c>
      <c r="J57" s="4" t="s">
        <v>11</v>
      </c>
      <c r="K57" s="4" t="s">
        <v>26</v>
      </c>
      <c r="L57" s="4" t="s">
        <v>9</v>
      </c>
      <c r="M57" s="4" t="s">
        <v>19</v>
      </c>
      <c r="N57" s="4" t="s">
        <v>27</v>
      </c>
      <c r="O57" s="4" t="s">
        <v>4</v>
      </c>
      <c r="P57" s="4" t="s">
        <v>25</v>
      </c>
      <c r="Q57" s="4" t="s">
        <v>8</v>
      </c>
      <c r="R57" s="4" t="s">
        <v>7</v>
      </c>
      <c r="S57" s="4" t="s">
        <v>18</v>
      </c>
      <c r="T57" s="4" t="s">
        <v>15</v>
      </c>
      <c r="U57" s="4" t="s">
        <v>12</v>
      </c>
      <c r="V57" s="4" t="s">
        <v>6</v>
      </c>
      <c r="W57" s="4" t="s">
        <v>21</v>
      </c>
      <c r="X57" s="4" t="s">
        <v>22</v>
      </c>
      <c r="Y57" s="4" t="s">
        <v>5</v>
      </c>
      <c r="Z57" s="4" t="s">
        <v>23</v>
      </c>
      <c r="AA57" s="4" t="s">
        <v>24</v>
      </c>
      <c r="AB57" s="4" t="s">
        <v>10</v>
      </c>
      <c r="AC57" s="4" t="s">
        <v>2</v>
      </c>
    </row>
    <row r="58" spans="1:29" x14ac:dyDescent="0.55000000000000004">
      <c r="A58" s="2" t="s">
        <v>44</v>
      </c>
      <c r="B58">
        <v>2</v>
      </c>
      <c r="D58" s="5">
        <f>HLOOKUP(D$57,$D$24:$AC$32,$B58,FALSE)</f>
        <v>0</v>
      </c>
      <c r="E58" s="5">
        <f t="shared" ref="E58:AC65" si="4">HLOOKUP(E$57,$D$24:$AC$32,$B58,FALSE)</f>
        <v>0</v>
      </c>
      <c r="F58" s="5">
        <f t="shared" si="4"/>
        <v>0</v>
      </c>
      <c r="G58" s="5">
        <f t="shared" si="4"/>
        <v>0</v>
      </c>
      <c r="H58" s="5">
        <f t="shared" si="4"/>
        <v>0</v>
      </c>
      <c r="I58" s="5">
        <f t="shared" si="4"/>
        <v>0</v>
      </c>
      <c r="J58" s="5">
        <f t="shared" si="4"/>
        <v>0</v>
      </c>
      <c r="K58" s="5">
        <f t="shared" si="4"/>
        <v>0</v>
      </c>
      <c r="L58" s="5">
        <f t="shared" si="4"/>
        <v>6000</v>
      </c>
      <c r="M58" s="5">
        <f t="shared" si="4"/>
        <v>20000</v>
      </c>
      <c r="N58" s="5">
        <f t="shared" si="4"/>
        <v>0</v>
      </c>
      <c r="O58" s="5">
        <f t="shared" si="4"/>
        <v>0</v>
      </c>
      <c r="P58" s="5">
        <f t="shared" si="4"/>
        <v>0</v>
      </c>
      <c r="Q58" s="5">
        <f t="shared" si="4"/>
        <v>0</v>
      </c>
      <c r="R58" s="5">
        <f t="shared" si="4"/>
        <v>0</v>
      </c>
      <c r="S58" s="5">
        <f t="shared" si="4"/>
        <v>0</v>
      </c>
      <c r="T58" s="5">
        <f t="shared" si="4"/>
        <v>0</v>
      </c>
      <c r="U58" s="5">
        <f t="shared" si="4"/>
        <v>0</v>
      </c>
      <c r="V58" s="5">
        <f t="shared" si="4"/>
        <v>0</v>
      </c>
      <c r="W58" s="5">
        <f t="shared" si="4"/>
        <v>6000</v>
      </c>
      <c r="X58" s="5">
        <f t="shared" si="4"/>
        <v>3000</v>
      </c>
      <c r="Y58" s="5">
        <f t="shared" si="4"/>
        <v>0</v>
      </c>
      <c r="Z58" s="5">
        <f t="shared" si="4"/>
        <v>0</v>
      </c>
      <c r="AA58" s="5">
        <f t="shared" si="4"/>
        <v>0</v>
      </c>
      <c r="AB58" s="5">
        <f t="shared" si="4"/>
        <v>0</v>
      </c>
      <c r="AC58" s="5">
        <f t="shared" si="4"/>
        <v>0</v>
      </c>
    </row>
    <row r="59" spans="1:29" x14ac:dyDescent="0.55000000000000004">
      <c r="A59" s="2" t="s">
        <v>30</v>
      </c>
      <c r="B59">
        <v>3</v>
      </c>
      <c r="D59" s="5">
        <f>HLOOKUP(D$57,$D$24:$AC$32,$B59,FALSE)</f>
        <v>4600</v>
      </c>
      <c r="E59" s="5">
        <f t="shared" si="4"/>
        <v>0</v>
      </c>
      <c r="F59" s="5">
        <f t="shared" si="4"/>
        <v>24683</v>
      </c>
      <c r="G59" s="5">
        <f t="shared" si="4"/>
        <v>63120</v>
      </c>
      <c r="H59" s="5">
        <f t="shared" si="4"/>
        <v>17900</v>
      </c>
      <c r="I59" s="5">
        <f t="shared" si="4"/>
        <v>0</v>
      </c>
      <c r="J59" s="5">
        <f t="shared" si="4"/>
        <v>10923</v>
      </c>
      <c r="K59" s="5">
        <f t="shared" si="4"/>
        <v>0</v>
      </c>
      <c r="L59" s="5">
        <f t="shared" si="4"/>
        <v>7300</v>
      </c>
      <c r="M59" s="5">
        <f t="shared" si="4"/>
        <v>80940</v>
      </c>
      <c r="N59" s="5">
        <f t="shared" si="4"/>
        <v>0</v>
      </c>
      <c r="O59" s="5">
        <f t="shared" si="4"/>
        <v>8000</v>
      </c>
      <c r="P59" s="5">
        <f t="shared" si="4"/>
        <v>9200</v>
      </c>
      <c r="Q59" s="5">
        <f t="shared" si="4"/>
        <v>5600</v>
      </c>
      <c r="R59" s="5">
        <f t="shared" si="4"/>
        <v>0</v>
      </c>
      <c r="S59" s="5">
        <f t="shared" si="4"/>
        <v>0</v>
      </c>
      <c r="T59" s="5">
        <f t="shared" si="4"/>
        <v>0</v>
      </c>
      <c r="U59" s="5">
        <f t="shared" si="4"/>
        <v>51776</v>
      </c>
      <c r="V59" s="5">
        <f t="shared" si="4"/>
        <v>0</v>
      </c>
      <c r="W59" s="5">
        <f t="shared" si="4"/>
        <v>50600</v>
      </c>
      <c r="X59" s="5">
        <f t="shared" si="4"/>
        <v>0</v>
      </c>
      <c r="Y59" s="5">
        <f t="shared" si="4"/>
        <v>0</v>
      </c>
      <c r="Z59" s="5">
        <f t="shared" si="4"/>
        <v>18170</v>
      </c>
      <c r="AA59" s="5">
        <f t="shared" si="4"/>
        <v>77505</v>
      </c>
      <c r="AB59" s="5">
        <f t="shared" si="4"/>
        <v>0</v>
      </c>
      <c r="AC59" s="5">
        <f t="shared" si="4"/>
        <v>0</v>
      </c>
    </row>
    <row r="60" spans="1:29" x14ac:dyDescent="0.55000000000000004">
      <c r="A60" s="2" t="s">
        <v>31</v>
      </c>
      <c r="B60">
        <v>4</v>
      </c>
      <c r="D60" s="5">
        <f>HLOOKUP(D$57,$D$24:$AC$32,$B60,FALSE)</f>
        <v>0</v>
      </c>
      <c r="E60" s="5">
        <f t="shared" si="4"/>
        <v>0</v>
      </c>
      <c r="F60" s="5">
        <f t="shared" si="4"/>
        <v>0</v>
      </c>
      <c r="G60" s="5">
        <f t="shared" si="4"/>
        <v>35100</v>
      </c>
      <c r="H60" s="5">
        <f t="shared" si="4"/>
        <v>29700</v>
      </c>
      <c r="I60" s="5">
        <f t="shared" si="4"/>
        <v>0</v>
      </c>
      <c r="J60" s="5">
        <f t="shared" si="4"/>
        <v>14500</v>
      </c>
      <c r="K60" s="5">
        <f t="shared" si="4"/>
        <v>0</v>
      </c>
      <c r="L60" s="5">
        <f t="shared" si="4"/>
        <v>0</v>
      </c>
      <c r="M60" s="5">
        <f t="shared" si="4"/>
        <v>75120</v>
      </c>
      <c r="N60" s="5">
        <f t="shared" si="4"/>
        <v>0</v>
      </c>
      <c r="O60" s="5">
        <f t="shared" si="4"/>
        <v>55395</v>
      </c>
      <c r="P60" s="5">
        <f t="shared" si="4"/>
        <v>0</v>
      </c>
      <c r="Q60" s="5">
        <f t="shared" si="4"/>
        <v>0</v>
      </c>
      <c r="R60" s="5">
        <f t="shared" si="4"/>
        <v>0</v>
      </c>
      <c r="S60" s="5">
        <f t="shared" si="4"/>
        <v>5940</v>
      </c>
      <c r="T60" s="5">
        <f t="shared" si="4"/>
        <v>0</v>
      </c>
      <c r="U60" s="5">
        <f t="shared" si="4"/>
        <v>0</v>
      </c>
      <c r="V60" s="5">
        <f t="shared" si="4"/>
        <v>0</v>
      </c>
      <c r="W60" s="5">
        <f t="shared" si="4"/>
        <v>77500</v>
      </c>
      <c r="X60" s="5">
        <f t="shared" si="4"/>
        <v>0</v>
      </c>
      <c r="Y60" s="5">
        <f t="shared" si="4"/>
        <v>0</v>
      </c>
      <c r="Z60" s="5">
        <f t="shared" si="4"/>
        <v>36000</v>
      </c>
      <c r="AA60" s="5">
        <f t="shared" si="4"/>
        <v>284177</v>
      </c>
      <c r="AB60" s="5">
        <f t="shared" si="4"/>
        <v>0</v>
      </c>
      <c r="AC60" s="5">
        <f t="shared" si="4"/>
        <v>0</v>
      </c>
    </row>
    <row r="61" spans="1:29" x14ac:dyDescent="0.55000000000000004">
      <c r="A61" s="2" t="s">
        <v>32</v>
      </c>
      <c r="B61">
        <v>5</v>
      </c>
      <c r="D61" s="5">
        <f t="shared" ref="D61:D65" si="5">HLOOKUP(D$57,$D$24:$AC$32,$B61,FALSE)</f>
        <v>225524</v>
      </c>
      <c r="E61" s="5">
        <f t="shared" si="4"/>
        <v>4996</v>
      </c>
      <c r="F61" s="5">
        <f t="shared" si="4"/>
        <v>9350</v>
      </c>
      <c r="G61" s="5">
        <f t="shared" si="4"/>
        <v>193000</v>
      </c>
      <c r="H61" s="5">
        <f t="shared" si="4"/>
        <v>127754</v>
      </c>
      <c r="I61" s="5">
        <f t="shared" si="4"/>
        <v>14125</v>
      </c>
      <c r="J61" s="5">
        <f t="shared" si="4"/>
        <v>42275</v>
      </c>
      <c r="K61" s="5">
        <f t="shared" si="4"/>
        <v>37596</v>
      </c>
      <c r="L61" s="5">
        <f t="shared" si="4"/>
        <v>10750</v>
      </c>
      <c r="M61" s="5">
        <f t="shared" si="4"/>
        <v>364965</v>
      </c>
      <c r="N61" s="5">
        <f t="shared" si="4"/>
        <v>50458</v>
      </c>
      <c r="O61" s="5">
        <f t="shared" si="4"/>
        <v>52820</v>
      </c>
      <c r="P61" s="5">
        <f t="shared" si="4"/>
        <v>21707</v>
      </c>
      <c r="Q61" s="5">
        <f t="shared" si="4"/>
        <v>5750</v>
      </c>
      <c r="R61" s="5">
        <f t="shared" si="4"/>
        <v>0</v>
      </c>
      <c r="S61" s="5">
        <f t="shared" si="4"/>
        <v>11620</v>
      </c>
      <c r="T61" s="5">
        <f t="shared" si="4"/>
        <v>94640</v>
      </c>
      <c r="U61" s="5">
        <f t="shared" si="4"/>
        <v>115313</v>
      </c>
      <c r="V61" s="5">
        <f t="shared" si="4"/>
        <v>44358</v>
      </c>
      <c r="W61" s="5">
        <f t="shared" si="4"/>
        <v>326443</v>
      </c>
      <c r="X61" s="5">
        <f t="shared" si="4"/>
        <v>292479</v>
      </c>
      <c r="Y61" s="5">
        <f t="shared" si="4"/>
        <v>23000</v>
      </c>
      <c r="Z61" s="5">
        <f t="shared" si="4"/>
        <v>69876</v>
      </c>
      <c r="AA61" s="5">
        <f t="shared" si="4"/>
        <v>212260</v>
      </c>
      <c r="AB61" s="5">
        <f t="shared" si="4"/>
        <v>59500</v>
      </c>
      <c r="AC61" s="5">
        <f t="shared" si="4"/>
        <v>221109</v>
      </c>
    </row>
    <row r="62" spans="1:29" x14ac:dyDescent="0.55000000000000004">
      <c r="A62" s="2" t="s">
        <v>33</v>
      </c>
      <c r="B62">
        <v>6</v>
      </c>
      <c r="D62" s="5">
        <f t="shared" si="5"/>
        <v>149491</v>
      </c>
      <c r="E62" s="5">
        <f t="shared" si="4"/>
        <v>6900</v>
      </c>
      <c r="F62" s="5">
        <f t="shared" si="4"/>
        <v>14014</v>
      </c>
      <c r="G62" s="5">
        <f t="shared" si="4"/>
        <v>142220</v>
      </c>
      <c r="H62" s="5">
        <f t="shared" si="4"/>
        <v>25820</v>
      </c>
      <c r="I62" s="5">
        <f t="shared" si="4"/>
        <v>36525</v>
      </c>
      <c r="J62" s="5">
        <f t="shared" si="4"/>
        <v>18180</v>
      </c>
      <c r="K62" s="5">
        <f t="shared" si="4"/>
        <v>146800</v>
      </c>
      <c r="L62" s="5">
        <f t="shared" si="4"/>
        <v>10175</v>
      </c>
      <c r="M62" s="5">
        <f t="shared" si="4"/>
        <v>328130</v>
      </c>
      <c r="N62" s="5">
        <f t="shared" si="4"/>
        <v>0</v>
      </c>
      <c r="O62" s="5">
        <f t="shared" si="4"/>
        <v>209454</v>
      </c>
      <c r="P62" s="5">
        <f t="shared" si="4"/>
        <v>0</v>
      </c>
      <c r="Q62" s="5">
        <f t="shared" si="4"/>
        <v>19788</v>
      </c>
      <c r="R62" s="5">
        <f t="shared" si="4"/>
        <v>0</v>
      </c>
      <c r="S62" s="5">
        <f t="shared" si="4"/>
        <v>87680</v>
      </c>
      <c r="T62" s="5">
        <f>HLOOKUP(T$57,$D$24:$AC$32,$B62,FALSE)</f>
        <v>125931</v>
      </c>
      <c r="U62" s="5">
        <f t="shared" si="4"/>
        <v>258743</v>
      </c>
      <c r="V62" s="5">
        <f t="shared" si="4"/>
        <v>104870</v>
      </c>
      <c r="W62" s="5">
        <f t="shared" si="4"/>
        <v>696825</v>
      </c>
      <c r="X62" s="5">
        <f t="shared" si="4"/>
        <v>207288</v>
      </c>
      <c r="Y62" s="5">
        <f t="shared" si="4"/>
        <v>0</v>
      </c>
      <c r="Z62" s="5">
        <f t="shared" si="4"/>
        <v>173010</v>
      </c>
      <c r="AA62" s="5">
        <f t="shared" si="4"/>
        <v>332433</v>
      </c>
      <c r="AB62" s="5">
        <f t="shared" si="4"/>
        <v>0</v>
      </c>
      <c r="AC62" s="5">
        <f t="shared" si="4"/>
        <v>385884</v>
      </c>
    </row>
    <row r="63" spans="1:29" x14ac:dyDescent="0.55000000000000004">
      <c r="A63" s="2" t="s">
        <v>34</v>
      </c>
      <c r="B63">
        <v>7</v>
      </c>
      <c r="D63" s="5">
        <f t="shared" si="5"/>
        <v>194920</v>
      </c>
      <c r="E63" s="5">
        <f t="shared" si="4"/>
        <v>0</v>
      </c>
      <c r="F63" s="5">
        <f t="shared" si="4"/>
        <v>0</v>
      </c>
      <c r="G63" s="5">
        <f t="shared" si="4"/>
        <v>412735</v>
      </c>
      <c r="H63" s="5">
        <f t="shared" si="4"/>
        <v>160785</v>
      </c>
      <c r="I63" s="5">
        <f t="shared" si="4"/>
        <v>403886</v>
      </c>
      <c r="J63" s="5">
        <f t="shared" si="4"/>
        <v>116486</v>
      </c>
      <c r="K63" s="5">
        <f t="shared" si="4"/>
        <v>28000</v>
      </c>
      <c r="L63" s="5">
        <f t="shared" si="4"/>
        <v>70039</v>
      </c>
      <c r="M63" s="5">
        <f t="shared" si="4"/>
        <v>281897</v>
      </c>
      <c r="N63" s="5">
        <f t="shared" si="4"/>
        <v>0</v>
      </c>
      <c r="O63" s="5">
        <f t="shared" si="4"/>
        <v>257124</v>
      </c>
      <c r="P63" s="5">
        <f t="shared" si="4"/>
        <v>4600</v>
      </c>
      <c r="Q63" s="5">
        <f t="shared" si="4"/>
        <v>52838</v>
      </c>
      <c r="R63" s="5">
        <f t="shared" si="4"/>
        <v>0</v>
      </c>
      <c r="S63" s="5">
        <f t="shared" si="4"/>
        <v>0</v>
      </c>
      <c r="T63" s="5">
        <f t="shared" si="4"/>
        <v>337517</v>
      </c>
      <c r="U63" s="5">
        <f t="shared" si="4"/>
        <v>95298</v>
      </c>
      <c r="V63" s="5">
        <f t="shared" si="4"/>
        <v>468105</v>
      </c>
      <c r="W63" s="5">
        <f t="shared" si="4"/>
        <v>288356</v>
      </c>
      <c r="X63" s="5">
        <f t="shared" si="4"/>
        <v>107750</v>
      </c>
      <c r="Y63" s="5">
        <f t="shared" si="4"/>
        <v>35440</v>
      </c>
      <c r="Z63" s="5">
        <f t="shared" si="4"/>
        <v>227343</v>
      </c>
      <c r="AA63" s="5">
        <f t="shared" si="4"/>
        <v>273806</v>
      </c>
      <c r="AB63" s="5">
        <f t="shared" si="4"/>
        <v>400206</v>
      </c>
      <c r="AC63" s="5">
        <f t="shared" si="4"/>
        <v>354787</v>
      </c>
    </row>
    <row r="64" spans="1:29" x14ac:dyDescent="0.55000000000000004">
      <c r="A64" s="2" t="s">
        <v>35</v>
      </c>
      <c r="B64">
        <v>8</v>
      </c>
      <c r="D64" s="5">
        <f t="shared" si="5"/>
        <v>0</v>
      </c>
      <c r="E64" s="5">
        <f t="shared" si="4"/>
        <v>0</v>
      </c>
      <c r="F64" s="5">
        <f t="shared" si="4"/>
        <v>0</v>
      </c>
      <c r="G64" s="5">
        <f t="shared" si="4"/>
        <v>38900</v>
      </c>
      <c r="H64" s="5">
        <f t="shared" si="4"/>
        <v>0</v>
      </c>
      <c r="I64" s="5">
        <f t="shared" si="4"/>
        <v>0</v>
      </c>
      <c r="J64" s="5">
        <f t="shared" si="4"/>
        <v>3850</v>
      </c>
      <c r="K64" s="5">
        <f t="shared" si="4"/>
        <v>68590</v>
      </c>
      <c r="L64" s="5">
        <f t="shared" si="4"/>
        <v>0</v>
      </c>
      <c r="M64" s="5">
        <f t="shared" si="4"/>
        <v>6703</v>
      </c>
      <c r="N64" s="5">
        <f t="shared" si="4"/>
        <v>0</v>
      </c>
      <c r="O64" s="5">
        <f t="shared" si="4"/>
        <v>78970</v>
      </c>
      <c r="P64" s="5">
        <f t="shared" si="4"/>
        <v>0</v>
      </c>
      <c r="Q64" s="5">
        <f t="shared" si="4"/>
        <v>0</v>
      </c>
      <c r="R64" s="5">
        <f t="shared" si="4"/>
        <v>0</v>
      </c>
      <c r="S64" s="5">
        <f t="shared" si="4"/>
        <v>0</v>
      </c>
      <c r="T64" s="5">
        <f t="shared" si="4"/>
        <v>0</v>
      </c>
      <c r="U64" s="5">
        <f t="shared" si="4"/>
        <v>0</v>
      </c>
      <c r="V64" s="5">
        <f t="shared" si="4"/>
        <v>0</v>
      </c>
      <c r="W64" s="5">
        <f t="shared" si="4"/>
        <v>0</v>
      </c>
      <c r="X64" s="5">
        <f t="shared" si="4"/>
        <v>11417</v>
      </c>
      <c r="Y64" s="5">
        <f t="shared" si="4"/>
        <v>0</v>
      </c>
      <c r="Z64" s="5">
        <f t="shared" si="4"/>
        <v>5630</v>
      </c>
      <c r="AA64" s="5">
        <f t="shared" si="4"/>
        <v>6764</v>
      </c>
      <c r="AB64" s="5">
        <f t="shared" si="4"/>
        <v>0</v>
      </c>
      <c r="AC64" s="5">
        <f t="shared" si="4"/>
        <v>0</v>
      </c>
    </row>
    <row r="65" spans="1:29" x14ac:dyDescent="0.55000000000000004">
      <c r="A65" s="2" t="s">
        <v>36</v>
      </c>
      <c r="B65">
        <v>9</v>
      </c>
      <c r="D65" s="5">
        <f t="shared" si="5"/>
        <v>0</v>
      </c>
      <c r="E65" s="5">
        <f t="shared" si="4"/>
        <v>0</v>
      </c>
      <c r="F65" s="5">
        <f t="shared" si="4"/>
        <v>0</v>
      </c>
      <c r="G65" s="5">
        <f t="shared" si="4"/>
        <v>0</v>
      </c>
      <c r="H65" s="5">
        <f t="shared" si="4"/>
        <v>0</v>
      </c>
      <c r="I65" s="5">
        <f t="shared" si="4"/>
        <v>0</v>
      </c>
      <c r="J65" s="5">
        <f t="shared" si="4"/>
        <v>0</v>
      </c>
      <c r="K65" s="5">
        <f t="shared" si="4"/>
        <v>0</v>
      </c>
      <c r="L65" s="5">
        <f t="shared" si="4"/>
        <v>0</v>
      </c>
      <c r="M65" s="5">
        <f t="shared" si="4"/>
        <v>0</v>
      </c>
      <c r="N65" s="5">
        <f t="shared" si="4"/>
        <v>0</v>
      </c>
      <c r="O65" s="5">
        <f t="shared" si="4"/>
        <v>0</v>
      </c>
      <c r="P65" s="5">
        <f t="shared" si="4"/>
        <v>0</v>
      </c>
      <c r="Q65" s="5">
        <f t="shared" si="4"/>
        <v>0</v>
      </c>
      <c r="R65" s="5">
        <f t="shared" si="4"/>
        <v>0</v>
      </c>
      <c r="S65" s="5">
        <f t="shared" si="4"/>
        <v>0</v>
      </c>
      <c r="T65" s="5">
        <f t="shared" si="4"/>
        <v>0</v>
      </c>
      <c r="U65" s="5">
        <f t="shared" si="4"/>
        <v>0</v>
      </c>
      <c r="V65" s="5">
        <f t="shared" si="4"/>
        <v>0</v>
      </c>
      <c r="W65" s="5">
        <f t="shared" si="4"/>
        <v>0</v>
      </c>
      <c r="X65" s="5">
        <f t="shared" si="4"/>
        <v>0</v>
      </c>
      <c r="Y65" s="5">
        <f t="shared" si="4"/>
        <v>0</v>
      </c>
      <c r="Z65" s="5">
        <f t="shared" si="4"/>
        <v>0</v>
      </c>
      <c r="AA65" s="5">
        <f t="shared" si="4"/>
        <v>0</v>
      </c>
      <c r="AB65" s="5">
        <f t="shared" si="4"/>
        <v>0</v>
      </c>
      <c r="AC65" s="5">
        <f t="shared" si="4"/>
        <v>0</v>
      </c>
    </row>
    <row r="66" spans="1:29" x14ac:dyDescent="0.55000000000000004"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 spans="1:29" x14ac:dyDescent="0.55000000000000004">
      <c r="B67">
        <v>11</v>
      </c>
      <c r="C67" t="s">
        <v>42</v>
      </c>
      <c r="D67" s="5">
        <f>SUM(D39:D40,D50:D51,D61:D62)/1000</f>
        <v>9188.7990000000009</v>
      </c>
      <c r="E67" s="5">
        <f t="shared" ref="E67:AB67" si="6">SUM(E39:E40,E50:E51,E61:E62)/1000</f>
        <v>135.23599999999999</v>
      </c>
      <c r="F67" s="5">
        <f t="shared" si="6"/>
        <v>1417.4010000000001</v>
      </c>
      <c r="G67" s="5">
        <f t="shared" si="6"/>
        <v>18625.93</v>
      </c>
      <c r="H67" s="5">
        <f t="shared" si="6"/>
        <v>10166.023999999999</v>
      </c>
      <c r="I67" s="5">
        <f t="shared" si="6"/>
        <v>8803.7000000000007</v>
      </c>
      <c r="J67" s="5">
        <f t="shared" si="6"/>
        <v>7287.7659999999996</v>
      </c>
      <c r="K67" s="5">
        <f t="shared" si="6"/>
        <v>5103.9830000000002</v>
      </c>
      <c r="L67" s="5">
        <f t="shared" si="6"/>
        <v>763.24800000000005</v>
      </c>
      <c r="M67" s="5">
        <f t="shared" si="6"/>
        <v>10121.248</v>
      </c>
      <c r="N67" s="5">
        <f t="shared" si="6"/>
        <v>687.21100000000001</v>
      </c>
      <c r="O67" s="5">
        <f t="shared" si="6"/>
        <v>8701.6749999999993</v>
      </c>
      <c r="P67" s="5">
        <f t="shared" si="6"/>
        <v>2373.4270000000001</v>
      </c>
      <c r="Q67" s="5">
        <f t="shared" si="6"/>
        <v>377.82400000000001</v>
      </c>
      <c r="R67" s="5">
        <f t="shared" si="6"/>
        <v>94.86</v>
      </c>
      <c r="S67" s="5">
        <f t="shared" si="6"/>
        <v>5030.3850000000002</v>
      </c>
      <c r="T67" s="5">
        <f t="shared" si="6"/>
        <v>1482.981</v>
      </c>
      <c r="U67" s="5">
        <f t="shared" si="6"/>
        <v>6688.0649999999996</v>
      </c>
      <c r="V67" s="5">
        <f t="shared" si="6"/>
        <v>2516.1129999999998</v>
      </c>
      <c r="W67" s="5">
        <f t="shared" si="6"/>
        <v>8600.9060000000009</v>
      </c>
      <c r="X67" s="5">
        <f t="shared" si="6"/>
        <v>10936.102999999999</v>
      </c>
      <c r="Y67" s="5">
        <f t="shared" si="6"/>
        <v>357.12</v>
      </c>
      <c r="Z67" s="5">
        <f t="shared" si="6"/>
        <v>14888.468000000001</v>
      </c>
      <c r="AA67" s="5">
        <f t="shared" si="6"/>
        <v>9883.1650000000009</v>
      </c>
      <c r="AB67" s="5">
        <f t="shared" si="6"/>
        <v>7532.0510000000004</v>
      </c>
      <c r="AC67" s="5">
        <f>SUM(AC39:AC40,AC50:AC51,AC61:AC62)/1000</f>
        <v>29935.41</v>
      </c>
    </row>
    <row r="68" spans="1:29" x14ac:dyDescent="0.55000000000000004">
      <c r="B68">
        <v>12</v>
      </c>
      <c r="C68" t="s">
        <v>45</v>
      </c>
      <c r="D68" s="5">
        <f>SUM(D36:D37,D47:D48,D58:D59)/1000</f>
        <v>133.47399999999999</v>
      </c>
      <c r="E68" s="5">
        <f t="shared" ref="E68:AC68" si="7">SUM(E36:E37,E47:E48,E58:E59)/1000</f>
        <v>9.3000000000000007</v>
      </c>
      <c r="F68" s="5">
        <f t="shared" si="7"/>
        <v>87.453999999999994</v>
      </c>
      <c r="G68" s="5">
        <f t="shared" si="7"/>
        <v>1225.5940000000001</v>
      </c>
      <c r="H68" s="5">
        <f t="shared" si="7"/>
        <v>207.79650000000001</v>
      </c>
      <c r="I68" s="5">
        <f t="shared" si="7"/>
        <v>179.01</v>
      </c>
      <c r="J68" s="5">
        <f t="shared" si="7"/>
        <v>157.85</v>
      </c>
      <c r="K68" s="5">
        <f t="shared" si="7"/>
        <v>0</v>
      </c>
      <c r="L68" s="5">
        <f t="shared" si="7"/>
        <v>101.76</v>
      </c>
      <c r="M68" s="5">
        <f t="shared" si="7"/>
        <v>1843.9</v>
      </c>
      <c r="N68" s="5">
        <f t="shared" si="7"/>
        <v>129.35</v>
      </c>
      <c r="O68" s="5">
        <f t="shared" si="7"/>
        <v>209.43</v>
      </c>
      <c r="P68" s="5">
        <f t="shared" si="7"/>
        <v>519.47500000000002</v>
      </c>
      <c r="Q68" s="5">
        <f t="shared" si="7"/>
        <v>19.43</v>
      </c>
      <c r="R68" s="5">
        <f t="shared" si="7"/>
        <v>39</v>
      </c>
      <c r="S68" s="5">
        <f t="shared" si="7"/>
        <v>20</v>
      </c>
      <c r="T68" s="5">
        <f t="shared" si="7"/>
        <v>164.88</v>
      </c>
      <c r="U68" s="5">
        <f t="shared" si="7"/>
        <v>340.62400000000002</v>
      </c>
      <c r="V68" s="5">
        <f t="shared" si="7"/>
        <v>58.35</v>
      </c>
      <c r="W68" s="5">
        <f t="shared" si="7"/>
        <v>418.97500000000002</v>
      </c>
      <c r="X68" s="5">
        <f t="shared" si="7"/>
        <v>186.327</v>
      </c>
      <c r="Y68" s="5">
        <f t="shared" si="7"/>
        <v>38.299999999999997</v>
      </c>
      <c r="Z68" s="5">
        <f t="shared" si="7"/>
        <v>1273.1500000000001</v>
      </c>
      <c r="AA68" s="5">
        <f t="shared" si="7"/>
        <v>375.709</v>
      </c>
      <c r="AB68" s="5">
        <f t="shared" si="7"/>
        <v>0</v>
      </c>
      <c r="AC68" s="5">
        <f t="shared" si="7"/>
        <v>0</v>
      </c>
    </row>
    <row r="69" spans="1:29" x14ac:dyDescent="0.55000000000000004">
      <c r="B69">
        <v>13</v>
      </c>
      <c r="C69" t="s">
        <v>35</v>
      </c>
      <c r="D69" s="5">
        <f>SUM(D42,D53,D64)/1000</f>
        <v>104.03100000000001</v>
      </c>
      <c r="E69" s="5">
        <f t="shared" ref="E69:AC69" si="8">SUM(E42,E53,E64)/1000</f>
        <v>3.7829999999999999</v>
      </c>
      <c r="F69" s="5">
        <f t="shared" si="8"/>
        <v>30.274999999999999</v>
      </c>
      <c r="G69" s="5">
        <f t="shared" si="8"/>
        <v>355.52</v>
      </c>
      <c r="H69" s="5">
        <f t="shared" si="8"/>
        <v>31.981999999999999</v>
      </c>
      <c r="I69" s="5">
        <f t="shared" si="8"/>
        <v>15.724</v>
      </c>
      <c r="J69" s="5">
        <f t="shared" si="8"/>
        <v>61.143000000000001</v>
      </c>
      <c r="K69" s="5">
        <f t="shared" si="8"/>
        <v>249.26</v>
      </c>
      <c r="L69" s="5">
        <f t="shared" si="8"/>
        <v>52.927</v>
      </c>
      <c r="M69" s="5">
        <f t="shared" si="8"/>
        <v>276.35199999999998</v>
      </c>
      <c r="N69" s="5">
        <f t="shared" si="8"/>
        <v>71.194000000000003</v>
      </c>
      <c r="O69" s="5">
        <f t="shared" si="8"/>
        <v>303.97699999999998</v>
      </c>
      <c r="P69" s="5">
        <f t="shared" si="8"/>
        <v>76.736999999999995</v>
      </c>
      <c r="Q69" s="5">
        <f t="shared" si="8"/>
        <v>5.6449999999999996</v>
      </c>
      <c r="R69" s="5">
        <f t="shared" si="8"/>
        <v>0</v>
      </c>
      <c r="S69" s="5">
        <f t="shared" si="8"/>
        <v>20</v>
      </c>
      <c r="T69" s="5">
        <f t="shared" si="8"/>
        <v>16.698</v>
      </c>
      <c r="U69" s="5">
        <f t="shared" si="8"/>
        <v>56.619</v>
      </c>
      <c r="V69" s="5">
        <f t="shared" si="8"/>
        <v>49.402000000000001</v>
      </c>
      <c r="W69" s="5">
        <f t="shared" si="8"/>
        <v>63.329000000000001</v>
      </c>
      <c r="X69" s="5">
        <f t="shared" si="8"/>
        <v>117.086</v>
      </c>
      <c r="Y69" s="5">
        <f t="shared" si="8"/>
        <v>11.6</v>
      </c>
      <c r="Z69" s="5">
        <f t="shared" si="8"/>
        <v>1240.2619999999999</v>
      </c>
      <c r="AA69" s="5">
        <f t="shared" si="8"/>
        <v>57.746000000000002</v>
      </c>
      <c r="AB69" s="5">
        <f t="shared" si="8"/>
        <v>0</v>
      </c>
      <c r="AC69" s="5">
        <f t="shared" si="8"/>
        <v>81.313000000000002</v>
      </c>
    </row>
    <row r="70" spans="1:29" x14ac:dyDescent="0.55000000000000004"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 spans="1:29" x14ac:dyDescent="0.55000000000000004">
      <c r="B71">
        <v>15</v>
      </c>
      <c r="C71" t="s">
        <v>56</v>
      </c>
      <c r="D71" s="5">
        <f>SUM(D39:D40)/1000</f>
        <v>6928.6180000000004</v>
      </c>
      <c r="E71" s="5">
        <f t="shared" ref="E71:AC71" si="9">SUM(E39:E40)/1000</f>
        <v>111.354</v>
      </c>
      <c r="F71" s="5">
        <f t="shared" si="9"/>
        <v>1177.385</v>
      </c>
      <c r="G71" s="5">
        <f t="shared" si="9"/>
        <v>14599.9</v>
      </c>
      <c r="H71" s="5">
        <f t="shared" si="9"/>
        <v>8544.2189999999991</v>
      </c>
      <c r="I71" s="5">
        <f t="shared" si="9"/>
        <v>7571.06</v>
      </c>
      <c r="J71" s="5">
        <f t="shared" si="9"/>
        <v>6032.7129999999997</v>
      </c>
      <c r="K71" s="5">
        <f t="shared" si="9"/>
        <v>4517.067</v>
      </c>
      <c r="L71" s="5">
        <f t="shared" si="9"/>
        <v>620.01</v>
      </c>
      <c r="M71" s="5">
        <f t="shared" si="9"/>
        <v>3972.4290000000001</v>
      </c>
      <c r="N71" s="5">
        <f t="shared" si="9"/>
        <v>538.29700000000003</v>
      </c>
      <c r="O71" s="5">
        <f t="shared" si="9"/>
        <v>4926.8599999999997</v>
      </c>
      <c r="P71" s="5">
        <f t="shared" si="9"/>
        <v>2039.298</v>
      </c>
      <c r="Q71" s="5">
        <f t="shared" si="9"/>
        <v>76.813999999999993</v>
      </c>
      <c r="R71" s="5">
        <f t="shared" si="9"/>
        <v>69</v>
      </c>
      <c r="S71" s="5">
        <f t="shared" si="9"/>
        <v>4250.2250000000004</v>
      </c>
      <c r="T71" s="5">
        <f t="shared" si="9"/>
        <v>877.94500000000005</v>
      </c>
      <c r="U71" s="5">
        <f t="shared" si="9"/>
        <v>4983.4134999999997</v>
      </c>
      <c r="V71" s="5">
        <f t="shared" si="9"/>
        <v>1428.951</v>
      </c>
      <c r="W71" s="5">
        <f t="shared" si="9"/>
        <v>5503.2250000000004</v>
      </c>
      <c r="X71" s="5">
        <f t="shared" si="9"/>
        <v>9371.991</v>
      </c>
      <c r="Y71" s="5">
        <f t="shared" si="9"/>
        <v>218.28</v>
      </c>
      <c r="Z71" s="5">
        <f t="shared" si="9"/>
        <v>13071.467000000001</v>
      </c>
      <c r="AA71" s="5">
        <f t="shared" si="9"/>
        <v>7330.9549999999999</v>
      </c>
      <c r="AB71" s="5">
        <f t="shared" si="9"/>
        <v>3102.7310000000002</v>
      </c>
      <c r="AC71" s="5">
        <f t="shared" si="9"/>
        <v>20413.062000000002</v>
      </c>
    </row>
    <row r="72" spans="1:29" x14ac:dyDescent="0.55000000000000004">
      <c r="B72">
        <v>16</v>
      </c>
      <c r="C72" t="s">
        <v>58</v>
      </c>
      <c r="D72" s="5">
        <f>SUM(D50:D51)/1000</f>
        <v>1885.1659999999999</v>
      </c>
      <c r="E72" s="5">
        <f t="shared" ref="E72:AC72" si="10">SUM(E50:E51)/1000</f>
        <v>11.986000000000001</v>
      </c>
      <c r="F72" s="5">
        <f t="shared" si="10"/>
        <v>216.65199999999999</v>
      </c>
      <c r="G72" s="5">
        <f t="shared" si="10"/>
        <v>3690.81</v>
      </c>
      <c r="H72" s="5">
        <f t="shared" si="10"/>
        <v>1468.231</v>
      </c>
      <c r="I72" s="5">
        <f t="shared" si="10"/>
        <v>1181.99</v>
      </c>
      <c r="J72" s="5">
        <f t="shared" si="10"/>
        <v>1194.598</v>
      </c>
      <c r="K72" s="5">
        <f t="shared" si="10"/>
        <v>402.52</v>
      </c>
      <c r="L72" s="5">
        <f t="shared" si="10"/>
        <v>122.313</v>
      </c>
      <c r="M72" s="5">
        <f t="shared" si="10"/>
        <v>5455.7240000000002</v>
      </c>
      <c r="N72" s="5">
        <f t="shared" si="10"/>
        <v>98.456000000000003</v>
      </c>
      <c r="O72" s="5">
        <f t="shared" si="10"/>
        <v>3512.5410000000002</v>
      </c>
      <c r="P72" s="5">
        <f t="shared" si="10"/>
        <v>312.42200000000003</v>
      </c>
      <c r="Q72" s="5">
        <f t="shared" si="10"/>
        <v>275.47199999999998</v>
      </c>
      <c r="R72" s="5">
        <f t="shared" si="10"/>
        <v>25.86</v>
      </c>
      <c r="S72" s="5">
        <f t="shared" si="10"/>
        <v>680.86</v>
      </c>
      <c r="T72" s="5">
        <f t="shared" si="10"/>
        <v>384.46499999999997</v>
      </c>
      <c r="U72" s="5">
        <f t="shared" si="10"/>
        <v>1330.5954999999999</v>
      </c>
      <c r="V72" s="5">
        <f t="shared" si="10"/>
        <v>937.93399999999997</v>
      </c>
      <c r="W72" s="5">
        <f t="shared" si="10"/>
        <v>2074.413</v>
      </c>
      <c r="X72" s="5">
        <f t="shared" si="10"/>
        <v>1064.345</v>
      </c>
      <c r="Y72" s="5">
        <f t="shared" si="10"/>
        <v>115.84</v>
      </c>
      <c r="Z72" s="5">
        <f t="shared" si="10"/>
        <v>1574.115</v>
      </c>
      <c r="AA72" s="5">
        <f t="shared" si="10"/>
        <v>2007.5170000000001</v>
      </c>
      <c r="AB72" s="5">
        <f t="shared" si="10"/>
        <v>4369.82</v>
      </c>
      <c r="AC72" s="5">
        <f t="shared" si="10"/>
        <v>8915.3549999999996</v>
      </c>
    </row>
    <row r="73" spans="1:29" x14ac:dyDescent="0.55000000000000004">
      <c r="B73">
        <v>17</v>
      </c>
      <c r="C73" t="s">
        <v>57</v>
      </c>
      <c r="D73" s="5">
        <f>SUM(D61:D62)/1000</f>
        <v>375.01499999999999</v>
      </c>
      <c r="E73" s="5">
        <f t="shared" ref="E73:AC73" si="11">SUM(E61:E62)/1000</f>
        <v>11.896000000000001</v>
      </c>
      <c r="F73" s="5">
        <f t="shared" si="11"/>
        <v>23.364000000000001</v>
      </c>
      <c r="G73" s="5">
        <f t="shared" si="11"/>
        <v>335.22</v>
      </c>
      <c r="H73" s="5">
        <f t="shared" si="11"/>
        <v>153.57400000000001</v>
      </c>
      <c r="I73" s="5">
        <f t="shared" si="11"/>
        <v>50.65</v>
      </c>
      <c r="J73" s="5">
        <f t="shared" si="11"/>
        <v>60.454999999999998</v>
      </c>
      <c r="K73" s="5">
        <f t="shared" si="11"/>
        <v>184.39599999999999</v>
      </c>
      <c r="L73" s="5">
        <f t="shared" si="11"/>
        <v>20.925000000000001</v>
      </c>
      <c r="M73" s="5">
        <f t="shared" si="11"/>
        <v>693.09500000000003</v>
      </c>
      <c r="N73" s="5">
        <f t="shared" si="11"/>
        <v>50.457999999999998</v>
      </c>
      <c r="O73" s="5">
        <f t="shared" si="11"/>
        <v>262.274</v>
      </c>
      <c r="P73" s="5">
        <f t="shared" si="11"/>
        <v>21.707000000000001</v>
      </c>
      <c r="Q73" s="5">
        <f t="shared" si="11"/>
        <v>25.538</v>
      </c>
      <c r="R73" s="5">
        <f t="shared" si="11"/>
        <v>0</v>
      </c>
      <c r="S73" s="5">
        <f t="shared" si="11"/>
        <v>99.3</v>
      </c>
      <c r="T73" s="5">
        <f t="shared" si="11"/>
        <v>220.571</v>
      </c>
      <c r="U73" s="5">
        <f t="shared" si="11"/>
        <v>374.05599999999998</v>
      </c>
      <c r="V73" s="5">
        <f t="shared" si="11"/>
        <v>149.22800000000001</v>
      </c>
      <c r="W73" s="5">
        <f t="shared" si="11"/>
        <v>1023.268</v>
      </c>
      <c r="X73" s="5">
        <f t="shared" si="11"/>
        <v>499.767</v>
      </c>
      <c r="Y73" s="5">
        <f t="shared" si="11"/>
        <v>23</v>
      </c>
      <c r="Z73" s="5">
        <f t="shared" si="11"/>
        <v>242.886</v>
      </c>
      <c r="AA73" s="5">
        <f t="shared" si="11"/>
        <v>544.69299999999998</v>
      </c>
      <c r="AB73" s="5">
        <f t="shared" si="11"/>
        <v>59.5</v>
      </c>
      <c r="AC73" s="5">
        <f t="shared" si="11"/>
        <v>606.99300000000005</v>
      </c>
    </row>
    <row r="74" spans="1:29" x14ac:dyDescent="0.55000000000000004"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 spans="1:29" x14ac:dyDescent="0.55000000000000004">
      <c r="C75" t="s">
        <v>43</v>
      </c>
      <c r="D75" s="5">
        <f>SUM(D36:D43,D47:D54,D58:D65)/1000</f>
        <v>10601.058000000001</v>
      </c>
      <c r="E75" s="5">
        <f t="shared" ref="E75:AC75" si="12">SUM(E36:E43,E47:E54,E58:E65)/1000</f>
        <v>160.767</v>
      </c>
      <c r="F75" s="5">
        <f t="shared" si="12"/>
        <v>1729.566</v>
      </c>
      <c r="G75" s="5">
        <f t="shared" si="12"/>
        <v>24689.575000000001</v>
      </c>
      <c r="H75" s="5">
        <f t="shared" si="12"/>
        <v>11158.772499999999</v>
      </c>
      <c r="I75" s="5">
        <f t="shared" si="12"/>
        <v>12326.768</v>
      </c>
      <c r="J75" s="5">
        <f t="shared" si="12"/>
        <v>8780.0010000000002</v>
      </c>
      <c r="K75" s="5">
        <f t="shared" si="12"/>
        <v>5642.34</v>
      </c>
      <c r="L75" s="5">
        <f t="shared" si="12"/>
        <v>1128.8979999999999</v>
      </c>
      <c r="M75" s="5">
        <f t="shared" si="12"/>
        <v>15584.714</v>
      </c>
      <c r="N75" s="5">
        <f t="shared" si="12"/>
        <v>887.755</v>
      </c>
      <c r="O75" s="5">
        <f t="shared" si="12"/>
        <v>11070.266</v>
      </c>
      <c r="P75" s="5">
        <f t="shared" si="12"/>
        <v>3509.5920000000001</v>
      </c>
      <c r="Q75" s="5">
        <f t="shared" si="12"/>
        <v>822.96699999999998</v>
      </c>
      <c r="R75" s="5">
        <f t="shared" si="12"/>
        <v>232.36</v>
      </c>
      <c r="S75" s="5">
        <f t="shared" si="12"/>
        <v>5121.3249999999998</v>
      </c>
      <c r="T75" s="5">
        <f t="shared" si="12"/>
        <v>3572.1950000000002</v>
      </c>
      <c r="U75" s="5">
        <f t="shared" si="12"/>
        <v>7735.9870000000001</v>
      </c>
      <c r="V75" s="5">
        <f t="shared" si="12"/>
        <v>4826.9520000000002</v>
      </c>
      <c r="W75" s="5">
        <f t="shared" si="12"/>
        <v>10704.164000000001</v>
      </c>
      <c r="X75" s="5">
        <f t="shared" si="12"/>
        <v>11929.366</v>
      </c>
      <c r="Y75" s="5">
        <f t="shared" si="12"/>
        <v>552.17999999999995</v>
      </c>
      <c r="Z75" s="5">
        <f t="shared" si="12"/>
        <v>18875.381000000001</v>
      </c>
      <c r="AA75" s="5">
        <f t="shared" si="12"/>
        <v>12439.334000000001</v>
      </c>
      <c r="AB75" s="5">
        <f t="shared" si="12"/>
        <v>9007.7669999999998</v>
      </c>
      <c r="AC75" s="5">
        <f t="shared" si="12"/>
        <v>34666.976000000002</v>
      </c>
    </row>
    <row r="77" spans="1:29" x14ac:dyDescent="0.55000000000000004">
      <c r="A77" s="9" t="s">
        <v>46</v>
      </c>
      <c r="B77" s="9" t="s">
        <v>47</v>
      </c>
      <c r="C77" s="6" t="s">
        <v>1</v>
      </c>
      <c r="D77" s="6" t="s">
        <v>2</v>
      </c>
      <c r="E77" s="6" t="s">
        <v>3</v>
      </c>
      <c r="F77" s="6" t="s">
        <v>4</v>
      </c>
      <c r="G77" s="6" t="s">
        <v>5</v>
      </c>
      <c r="H77" s="6" t="s">
        <v>6</v>
      </c>
      <c r="I77" s="6" t="s">
        <v>7</v>
      </c>
      <c r="J77" s="6" t="s">
        <v>8</v>
      </c>
      <c r="K77" s="6" t="s">
        <v>9</v>
      </c>
      <c r="L77" s="6" t="s">
        <v>10</v>
      </c>
      <c r="M77" s="6" t="s">
        <v>11</v>
      </c>
      <c r="N77" s="6" t="s">
        <v>12</v>
      </c>
      <c r="O77" s="6" t="s">
        <v>13</v>
      </c>
      <c r="P77" s="6" t="s">
        <v>14</v>
      </c>
      <c r="Q77" s="6" t="s">
        <v>15</v>
      </c>
      <c r="R77" s="6" t="s">
        <v>16</v>
      </c>
      <c r="S77" s="6" t="s">
        <v>17</v>
      </c>
      <c r="T77" s="6" t="s">
        <v>18</v>
      </c>
      <c r="U77" s="6" t="s">
        <v>19</v>
      </c>
      <c r="V77" s="6" t="s">
        <v>20</v>
      </c>
      <c r="W77" s="6" t="s">
        <v>21</v>
      </c>
      <c r="X77" s="6" t="s">
        <v>22</v>
      </c>
      <c r="Y77" s="6" t="s">
        <v>23</v>
      </c>
      <c r="Z77" s="6" t="s">
        <v>24</v>
      </c>
      <c r="AA77" s="6" t="s">
        <v>25</v>
      </c>
      <c r="AB77" s="6" t="s">
        <v>26</v>
      </c>
      <c r="AC77" s="6" t="s">
        <v>27</v>
      </c>
    </row>
    <row r="78" spans="1:29" x14ac:dyDescent="0.55000000000000004">
      <c r="A78" s="2" t="s">
        <v>48</v>
      </c>
      <c r="B78" s="10" t="s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</row>
    <row r="79" spans="1:29" x14ac:dyDescent="0.55000000000000004">
      <c r="A79" s="2" t="s">
        <v>49</v>
      </c>
      <c r="B79" s="10" t="s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</row>
    <row r="80" spans="1:29" x14ac:dyDescent="0.55000000000000004">
      <c r="A80" s="2" t="s">
        <v>50</v>
      </c>
      <c r="B80" s="10" t="s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</row>
    <row r="81" spans="1:29" x14ac:dyDescent="0.55000000000000004">
      <c r="A81" s="2" t="s">
        <v>51</v>
      </c>
      <c r="B81" s="10" t="s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</row>
    <row r="82" spans="1:29" x14ac:dyDescent="0.55000000000000004">
      <c r="A82" s="2" t="s">
        <v>52</v>
      </c>
      <c r="B82" s="10" t="s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</row>
    <row r="83" spans="1:29" x14ac:dyDescent="0.55000000000000004">
      <c r="A83" s="2" t="s">
        <v>53</v>
      </c>
      <c r="B83" s="10" t="s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</row>
    <row r="84" spans="1:29" x14ac:dyDescent="0.55000000000000004">
      <c r="A84" s="2" t="s">
        <v>32</v>
      </c>
      <c r="B84" s="10" t="s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</row>
    <row r="85" spans="1:29" x14ac:dyDescent="0.55000000000000004">
      <c r="A85" s="2" t="s">
        <v>33</v>
      </c>
      <c r="B85" s="10" t="s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</row>
    <row r="86" spans="1:29" x14ac:dyDescent="0.55000000000000004">
      <c r="A86" s="8" t="s">
        <v>35</v>
      </c>
      <c r="B86" s="10" t="s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</row>
    <row r="87" spans="1:29" x14ac:dyDescent="0.55000000000000004">
      <c r="A87" s="8" t="s">
        <v>35</v>
      </c>
      <c r="B87" s="10" t="s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</row>
    <row r="88" spans="1:29" x14ac:dyDescent="0.55000000000000004">
      <c r="A88" s="8" t="s">
        <v>35</v>
      </c>
      <c r="B88" s="10" t="s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</row>
    <row r="89" spans="1:29" x14ac:dyDescent="0.55000000000000004">
      <c r="A89" s="2" t="s">
        <v>36</v>
      </c>
      <c r="B89" s="10" t="s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</row>
    <row r="90" spans="1:29" x14ac:dyDescent="0.55000000000000004">
      <c r="A90" s="8" t="s">
        <v>54</v>
      </c>
      <c r="B90" s="10" t="s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</row>
    <row r="93" spans="1:29" x14ac:dyDescent="0.55000000000000004">
      <c r="A93" s="1" t="s">
        <v>28</v>
      </c>
      <c r="B93" s="1" t="s">
        <v>41</v>
      </c>
      <c r="D93" s="4" t="s">
        <v>20</v>
      </c>
      <c r="E93" s="4" t="s">
        <v>17</v>
      </c>
      <c r="F93" s="4" t="s">
        <v>16</v>
      </c>
      <c r="G93" s="4" t="s">
        <v>3</v>
      </c>
      <c r="H93" s="4" t="s">
        <v>14</v>
      </c>
      <c r="I93" s="4" t="s">
        <v>13</v>
      </c>
      <c r="J93" s="4" t="s">
        <v>11</v>
      </c>
      <c r="K93" s="4" t="s">
        <v>26</v>
      </c>
      <c r="L93" s="4" t="s">
        <v>9</v>
      </c>
      <c r="M93" s="4" t="s">
        <v>19</v>
      </c>
      <c r="N93" s="4" t="s">
        <v>27</v>
      </c>
      <c r="O93" s="4" t="s">
        <v>4</v>
      </c>
      <c r="P93" s="4" t="s">
        <v>25</v>
      </c>
      <c r="Q93" s="4" t="s">
        <v>8</v>
      </c>
      <c r="R93" s="4" t="s">
        <v>7</v>
      </c>
      <c r="S93" s="4" t="s">
        <v>18</v>
      </c>
      <c r="T93" s="4" t="s">
        <v>15</v>
      </c>
      <c r="U93" s="4" t="s">
        <v>12</v>
      </c>
      <c r="V93" s="4" t="s">
        <v>6</v>
      </c>
      <c r="W93" s="4" t="s">
        <v>21</v>
      </c>
      <c r="X93" s="4" t="s">
        <v>22</v>
      </c>
      <c r="Y93" s="4" t="s">
        <v>5</v>
      </c>
      <c r="Z93" s="4" t="s">
        <v>23</v>
      </c>
      <c r="AA93" s="4" t="s">
        <v>24</v>
      </c>
      <c r="AB93" s="4" t="s">
        <v>10</v>
      </c>
      <c r="AC93" s="4" t="s">
        <v>2</v>
      </c>
    </row>
    <row r="94" spans="1:29" x14ac:dyDescent="0.55000000000000004">
      <c r="A94" s="2" t="s">
        <v>48</v>
      </c>
      <c r="B94">
        <v>2</v>
      </c>
      <c r="D94" s="7">
        <f>HLOOKUP(D$93,$D$77:$AC$90,$B94,FALSE)</f>
        <v>0</v>
      </c>
      <c r="E94" s="7">
        <f t="shared" ref="E94:AC104" si="13">HLOOKUP(E$93,$D$77:$AC$90,$B94,FALSE)</f>
        <v>0</v>
      </c>
      <c r="F94" s="7">
        <f t="shared" si="13"/>
        <v>0</v>
      </c>
      <c r="G94" s="7">
        <f t="shared" si="13"/>
        <v>0</v>
      </c>
      <c r="H94" s="7">
        <f t="shared" si="13"/>
        <v>0</v>
      </c>
      <c r="I94" s="7">
        <f t="shared" si="13"/>
        <v>0</v>
      </c>
      <c r="J94" s="7">
        <f t="shared" si="13"/>
        <v>0</v>
      </c>
      <c r="K94" s="7">
        <f t="shared" si="13"/>
        <v>0</v>
      </c>
      <c r="L94" s="7">
        <f t="shared" si="13"/>
        <v>0</v>
      </c>
      <c r="M94" s="7">
        <f t="shared" si="13"/>
        <v>0</v>
      </c>
      <c r="N94" s="7">
        <f t="shared" si="13"/>
        <v>0</v>
      </c>
      <c r="O94" s="7">
        <f t="shared" si="13"/>
        <v>0</v>
      </c>
      <c r="P94" s="7">
        <f t="shared" si="13"/>
        <v>0</v>
      </c>
      <c r="Q94" s="7">
        <f t="shared" si="13"/>
        <v>0</v>
      </c>
      <c r="R94" s="7">
        <f t="shared" si="13"/>
        <v>0</v>
      </c>
      <c r="S94" s="7">
        <f t="shared" si="13"/>
        <v>0</v>
      </c>
      <c r="T94" s="7">
        <f t="shared" si="13"/>
        <v>0</v>
      </c>
      <c r="U94" s="7">
        <f t="shared" si="13"/>
        <v>0</v>
      </c>
      <c r="V94" s="7">
        <f t="shared" si="13"/>
        <v>0</v>
      </c>
      <c r="W94" s="7">
        <f t="shared" si="13"/>
        <v>0</v>
      </c>
      <c r="X94" s="7">
        <f t="shared" si="13"/>
        <v>0</v>
      </c>
      <c r="Y94" s="7">
        <f t="shared" si="13"/>
        <v>0</v>
      </c>
      <c r="Z94" s="7">
        <f t="shared" si="13"/>
        <v>0</v>
      </c>
      <c r="AA94" s="7">
        <f t="shared" si="13"/>
        <v>0</v>
      </c>
      <c r="AB94" s="7">
        <f t="shared" si="13"/>
        <v>0</v>
      </c>
      <c r="AC94" s="7">
        <f t="shared" si="13"/>
        <v>0</v>
      </c>
    </row>
    <row r="95" spans="1:29" x14ac:dyDescent="0.55000000000000004">
      <c r="A95" s="2" t="s">
        <v>49</v>
      </c>
      <c r="B95">
        <v>3</v>
      </c>
      <c r="D95" s="7">
        <f t="shared" ref="D95:S106" si="14">HLOOKUP(D$93,$D$77:$AC$90,$B95,FALSE)</f>
        <v>0</v>
      </c>
      <c r="E95" s="7">
        <f t="shared" si="14"/>
        <v>0</v>
      </c>
      <c r="F95" s="7">
        <f t="shared" si="14"/>
        <v>0</v>
      </c>
      <c r="G95" s="7">
        <f t="shared" si="14"/>
        <v>0</v>
      </c>
      <c r="H95" s="7">
        <f t="shared" si="14"/>
        <v>0</v>
      </c>
      <c r="I95" s="7">
        <f t="shared" si="14"/>
        <v>0</v>
      </c>
      <c r="J95" s="7">
        <f t="shared" si="14"/>
        <v>0</v>
      </c>
      <c r="K95" s="7">
        <f t="shared" si="14"/>
        <v>0</v>
      </c>
      <c r="L95" s="7">
        <f t="shared" si="14"/>
        <v>0</v>
      </c>
      <c r="M95" s="7">
        <f t="shared" si="14"/>
        <v>0</v>
      </c>
      <c r="N95" s="7">
        <f t="shared" si="14"/>
        <v>0</v>
      </c>
      <c r="O95" s="7">
        <f t="shared" si="14"/>
        <v>0</v>
      </c>
      <c r="P95" s="7">
        <f t="shared" si="14"/>
        <v>0</v>
      </c>
      <c r="Q95" s="7">
        <f t="shared" si="14"/>
        <v>0</v>
      </c>
      <c r="R95" s="7">
        <f t="shared" si="14"/>
        <v>0</v>
      </c>
      <c r="S95" s="7">
        <f t="shared" si="14"/>
        <v>0</v>
      </c>
      <c r="T95" s="7">
        <f t="shared" si="13"/>
        <v>0</v>
      </c>
      <c r="U95" s="7">
        <f t="shared" si="13"/>
        <v>0</v>
      </c>
      <c r="V95" s="7">
        <f t="shared" si="13"/>
        <v>0</v>
      </c>
      <c r="W95" s="7">
        <f t="shared" si="13"/>
        <v>0</v>
      </c>
      <c r="X95" s="7">
        <f t="shared" si="13"/>
        <v>0</v>
      </c>
      <c r="Y95" s="7">
        <f t="shared" si="13"/>
        <v>0</v>
      </c>
      <c r="Z95" s="7">
        <f t="shared" si="13"/>
        <v>0</v>
      </c>
      <c r="AA95" s="7">
        <f t="shared" si="13"/>
        <v>0</v>
      </c>
      <c r="AB95" s="7">
        <f t="shared" si="13"/>
        <v>0</v>
      </c>
      <c r="AC95" s="7">
        <f t="shared" si="13"/>
        <v>0</v>
      </c>
    </row>
    <row r="96" spans="1:29" x14ac:dyDescent="0.55000000000000004">
      <c r="A96" s="2" t="s">
        <v>50</v>
      </c>
      <c r="B96">
        <v>4</v>
      </c>
      <c r="D96" s="7">
        <f t="shared" si="14"/>
        <v>0</v>
      </c>
      <c r="E96" s="7">
        <f t="shared" si="13"/>
        <v>0</v>
      </c>
      <c r="F96" s="7">
        <f t="shared" si="13"/>
        <v>0</v>
      </c>
      <c r="G96" s="7">
        <f t="shared" si="13"/>
        <v>0</v>
      </c>
      <c r="H96" s="7">
        <f t="shared" si="13"/>
        <v>0</v>
      </c>
      <c r="I96" s="7">
        <f t="shared" si="13"/>
        <v>0</v>
      </c>
      <c r="J96" s="7">
        <f t="shared" si="13"/>
        <v>0</v>
      </c>
      <c r="K96" s="7">
        <f t="shared" si="13"/>
        <v>0</v>
      </c>
      <c r="L96" s="7">
        <f t="shared" si="13"/>
        <v>0</v>
      </c>
      <c r="M96" s="7">
        <f t="shared" si="13"/>
        <v>0</v>
      </c>
      <c r="N96" s="7">
        <f t="shared" si="13"/>
        <v>0</v>
      </c>
      <c r="O96" s="7">
        <f t="shared" si="13"/>
        <v>0</v>
      </c>
      <c r="P96" s="7">
        <f t="shared" si="13"/>
        <v>0</v>
      </c>
      <c r="Q96" s="7">
        <f t="shared" si="13"/>
        <v>0</v>
      </c>
      <c r="R96" s="7">
        <f t="shared" si="13"/>
        <v>0</v>
      </c>
      <c r="S96" s="7">
        <f t="shared" si="13"/>
        <v>0</v>
      </c>
      <c r="T96" s="7">
        <f t="shared" si="13"/>
        <v>0</v>
      </c>
      <c r="U96" s="7">
        <f t="shared" si="13"/>
        <v>0</v>
      </c>
      <c r="V96" s="7">
        <f t="shared" si="13"/>
        <v>0</v>
      </c>
      <c r="W96" s="7">
        <f t="shared" si="13"/>
        <v>0</v>
      </c>
      <c r="X96" s="7">
        <f t="shared" si="13"/>
        <v>0</v>
      </c>
      <c r="Y96" s="7">
        <f t="shared" si="13"/>
        <v>0</v>
      </c>
      <c r="Z96" s="7">
        <f t="shared" si="13"/>
        <v>0</v>
      </c>
      <c r="AA96" s="7">
        <f t="shared" si="13"/>
        <v>0</v>
      </c>
      <c r="AB96" s="7">
        <f t="shared" si="13"/>
        <v>0</v>
      </c>
      <c r="AC96" s="7">
        <f t="shared" si="13"/>
        <v>0</v>
      </c>
    </row>
    <row r="97" spans="1:29" x14ac:dyDescent="0.55000000000000004">
      <c r="A97" s="2" t="s">
        <v>51</v>
      </c>
      <c r="B97">
        <v>5</v>
      </c>
      <c r="D97" s="7">
        <f t="shared" si="14"/>
        <v>0</v>
      </c>
      <c r="E97" s="7">
        <f>HLOOKUP(E$93,$D$77:$AC$90,$B97,FALSE)</f>
        <v>0</v>
      </c>
      <c r="F97" s="7">
        <f t="shared" si="13"/>
        <v>0</v>
      </c>
      <c r="G97" s="7">
        <f t="shared" si="13"/>
        <v>0</v>
      </c>
      <c r="H97" s="7">
        <f t="shared" si="13"/>
        <v>0</v>
      </c>
      <c r="I97" s="7">
        <f t="shared" si="13"/>
        <v>0</v>
      </c>
      <c r="J97" s="7">
        <f t="shared" si="13"/>
        <v>0</v>
      </c>
      <c r="K97" s="7">
        <f t="shared" si="13"/>
        <v>0</v>
      </c>
      <c r="L97" s="7">
        <f t="shared" si="13"/>
        <v>0</v>
      </c>
      <c r="M97" s="7">
        <f t="shared" si="13"/>
        <v>0</v>
      </c>
      <c r="N97" s="7">
        <f t="shared" si="13"/>
        <v>0</v>
      </c>
      <c r="O97" s="7">
        <f t="shared" si="13"/>
        <v>0</v>
      </c>
      <c r="P97" s="7">
        <f t="shared" si="13"/>
        <v>0</v>
      </c>
      <c r="Q97" s="7">
        <f t="shared" si="13"/>
        <v>0</v>
      </c>
      <c r="R97" s="7">
        <f t="shared" si="13"/>
        <v>0</v>
      </c>
      <c r="S97" s="7">
        <f t="shared" si="13"/>
        <v>0</v>
      </c>
      <c r="T97" s="7">
        <f t="shared" si="13"/>
        <v>0</v>
      </c>
      <c r="U97" s="7">
        <f t="shared" si="13"/>
        <v>0</v>
      </c>
      <c r="V97" s="7">
        <f t="shared" si="13"/>
        <v>0</v>
      </c>
      <c r="W97" s="7">
        <f t="shared" si="13"/>
        <v>0</v>
      </c>
      <c r="X97" s="7">
        <f t="shared" si="13"/>
        <v>0</v>
      </c>
      <c r="Y97" s="7">
        <f t="shared" si="13"/>
        <v>0</v>
      </c>
      <c r="Z97" s="7">
        <f t="shared" si="13"/>
        <v>0</v>
      </c>
      <c r="AA97" s="7">
        <f t="shared" si="13"/>
        <v>0</v>
      </c>
      <c r="AB97" s="7">
        <f t="shared" si="13"/>
        <v>0</v>
      </c>
      <c r="AC97" s="7">
        <f t="shared" si="13"/>
        <v>0</v>
      </c>
    </row>
    <row r="98" spans="1:29" x14ac:dyDescent="0.55000000000000004">
      <c r="A98" s="2" t="s">
        <v>52</v>
      </c>
      <c r="B98">
        <v>6</v>
      </c>
      <c r="D98" s="7">
        <f t="shared" si="14"/>
        <v>0</v>
      </c>
      <c r="E98" s="7">
        <f t="shared" si="13"/>
        <v>0</v>
      </c>
      <c r="F98" s="7">
        <f t="shared" si="13"/>
        <v>0</v>
      </c>
      <c r="G98" s="7">
        <f t="shared" si="13"/>
        <v>0</v>
      </c>
      <c r="H98" s="7">
        <f t="shared" si="13"/>
        <v>0</v>
      </c>
      <c r="I98" s="7">
        <f t="shared" si="13"/>
        <v>0</v>
      </c>
      <c r="J98" s="7">
        <f t="shared" si="13"/>
        <v>0</v>
      </c>
      <c r="K98" s="7">
        <f t="shared" si="13"/>
        <v>0</v>
      </c>
      <c r="L98" s="7">
        <f t="shared" si="13"/>
        <v>0</v>
      </c>
      <c r="M98" s="7">
        <f t="shared" si="13"/>
        <v>0</v>
      </c>
      <c r="N98" s="7">
        <f t="shared" si="13"/>
        <v>0</v>
      </c>
      <c r="O98" s="7">
        <f t="shared" si="13"/>
        <v>0</v>
      </c>
      <c r="P98" s="7">
        <f t="shared" si="13"/>
        <v>0</v>
      </c>
      <c r="Q98" s="7">
        <f t="shared" si="13"/>
        <v>0</v>
      </c>
      <c r="R98" s="7">
        <f t="shared" si="13"/>
        <v>0</v>
      </c>
      <c r="S98" s="7">
        <f t="shared" si="13"/>
        <v>0</v>
      </c>
      <c r="T98" s="7">
        <f t="shared" si="13"/>
        <v>0</v>
      </c>
      <c r="U98" s="7">
        <f t="shared" si="13"/>
        <v>0</v>
      </c>
      <c r="V98" s="7">
        <f t="shared" si="13"/>
        <v>0</v>
      </c>
      <c r="W98" s="7">
        <f t="shared" si="13"/>
        <v>0</v>
      </c>
      <c r="X98" s="7">
        <f t="shared" si="13"/>
        <v>0</v>
      </c>
      <c r="Y98" s="7">
        <f t="shared" si="13"/>
        <v>0</v>
      </c>
      <c r="Z98" s="7">
        <f t="shared" si="13"/>
        <v>0</v>
      </c>
      <c r="AA98" s="7">
        <f t="shared" si="13"/>
        <v>0</v>
      </c>
      <c r="AB98" s="7">
        <f t="shared" si="13"/>
        <v>0</v>
      </c>
      <c r="AC98" s="7">
        <f t="shared" si="13"/>
        <v>0</v>
      </c>
    </row>
    <row r="99" spans="1:29" x14ac:dyDescent="0.55000000000000004">
      <c r="A99" s="2" t="s">
        <v>53</v>
      </c>
      <c r="B99">
        <v>7</v>
      </c>
      <c r="D99" s="7">
        <f t="shared" si="14"/>
        <v>0</v>
      </c>
      <c r="E99" s="7">
        <f t="shared" si="13"/>
        <v>0</v>
      </c>
      <c r="F99" s="7">
        <f t="shared" si="13"/>
        <v>0</v>
      </c>
      <c r="G99" s="7">
        <f t="shared" si="13"/>
        <v>0</v>
      </c>
      <c r="H99" s="7">
        <f t="shared" si="13"/>
        <v>0</v>
      </c>
      <c r="I99" s="7">
        <f t="shared" si="13"/>
        <v>0</v>
      </c>
      <c r="J99" s="7">
        <f t="shared" si="13"/>
        <v>0</v>
      </c>
      <c r="K99" s="7">
        <f t="shared" si="13"/>
        <v>0</v>
      </c>
      <c r="L99" s="7">
        <f t="shared" si="13"/>
        <v>0</v>
      </c>
      <c r="M99" s="7">
        <f t="shared" si="13"/>
        <v>0</v>
      </c>
      <c r="N99" s="7">
        <f t="shared" si="13"/>
        <v>0</v>
      </c>
      <c r="O99" s="7">
        <f t="shared" si="13"/>
        <v>0</v>
      </c>
      <c r="P99" s="7">
        <f t="shared" si="13"/>
        <v>0</v>
      </c>
      <c r="Q99" s="7">
        <f t="shared" si="13"/>
        <v>0</v>
      </c>
      <c r="R99" s="7">
        <f t="shared" si="13"/>
        <v>0</v>
      </c>
      <c r="S99" s="7">
        <f t="shared" si="13"/>
        <v>0</v>
      </c>
      <c r="T99" s="7">
        <f t="shared" si="13"/>
        <v>0</v>
      </c>
      <c r="U99" s="7">
        <f t="shared" si="13"/>
        <v>0</v>
      </c>
      <c r="V99" s="7">
        <f t="shared" si="13"/>
        <v>0</v>
      </c>
      <c r="W99" s="7">
        <f t="shared" si="13"/>
        <v>0</v>
      </c>
      <c r="X99" s="7">
        <f t="shared" si="13"/>
        <v>0</v>
      </c>
      <c r="Y99" s="7">
        <f t="shared" si="13"/>
        <v>0</v>
      </c>
      <c r="Z99" s="7">
        <f t="shared" si="13"/>
        <v>0</v>
      </c>
      <c r="AA99" s="7">
        <f t="shared" si="13"/>
        <v>0</v>
      </c>
      <c r="AB99" s="7">
        <f t="shared" si="13"/>
        <v>0</v>
      </c>
      <c r="AC99" s="7">
        <f t="shared" si="13"/>
        <v>0</v>
      </c>
    </row>
    <row r="100" spans="1:29" x14ac:dyDescent="0.55000000000000004">
      <c r="A100" s="2" t="s">
        <v>32</v>
      </c>
      <c r="B100">
        <v>8</v>
      </c>
      <c r="D100" s="7">
        <f>HLOOKUP(D$93,$D$77:$AC$90,$B100,FALSE)</f>
        <v>0</v>
      </c>
      <c r="E100" s="7">
        <f t="shared" si="13"/>
        <v>0</v>
      </c>
      <c r="F100" s="7">
        <f t="shared" si="13"/>
        <v>0</v>
      </c>
      <c r="G100" s="7">
        <f t="shared" si="13"/>
        <v>0</v>
      </c>
      <c r="H100" s="7">
        <f t="shared" si="13"/>
        <v>0</v>
      </c>
      <c r="I100" s="7">
        <f t="shared" si="13"/>
        <v>0</v>
      </c>
      <c r="J100" s="7">
        <f t="shared" si="13"/>
        <v>0</v>
      </c>
      <c r="K100" s="7">
        <f t="shared" si="13"/>
        <v>0</v>
      </c>
      <c r="L100" s="7">
        <f t="shared" si="13"/>
        <v>0</v>
      </c>
      <c r="M100" s="7">
        <f t="shared" si="13"/>
        <v>0</v>
      </c>
      <c r="N100" s="7">
        <f t="shared" si="13"/>
        <v>0</v>
      </c>
      <c r="O100" s="7">
        <f t="shared" si="13"/>
        <v>0</v>
      </c>
      <c r="P100" s="7">
        <f t="shared" si="13"/>
        <v>0</v>
      </c>
      <c r="Q100" s="7">
        <f t="shared" si="13"/>
        <v>0</v>
      </c>
      <c r="R100" s="7">
        <f t="shared" si="13"/>
        <v>0</v>
      </c>
      <c r="S100" s="7">
        <f t="shared" si="13"/>
        <v>0</v>
      </c>
      <c r="T100" s="7">
        <f t="shared" si="13"/>
        <v>0</v>
      </c>
      <c r="U100" s="7">
        <f t="shared" si="13"/>
        <v>0</v>
      </c>
      <c r="V100" s="7">
        <f t="shared" si="13"/>
        <v>0</v>
      </c>
      <c r="W100" s="7">
        <f t="shared" si="13"/>
        <v>0</v>
      </c>
      <c r="X100" s="7">
        <f t="shared" si="13"/>
        <v>0</v>
      </c>
      <c r="Y100" s="7">
        <f t="shared" si="13"/>
        <v>0</v>
      </c>
      <c r="Z100" s="7">
        <f t="shared" si="13"/>
        <v>0</v>
      </c>
      <c r="AA100" s="7">
        <f t="shared" si="13"/>
        <v>0</v>
      </c>
      <c r="AB100" s="7">
        <f t="shared" si="13"/>
        <v>0</v>
      </c>
      <c r="AC100" s="7">
        <f t="shared" si="13"/>
        <v>0</v>
      </c>
    </row>
    <row r="101" spans="1:29" x14ac:dyDescent="0.55000000000000004">
      <c r="A101" s="2" t="s">
        <v>33</v>
      </c>
      <c r="B101">
        <v>9</v>
      </c>
      <c r="D101" s="7">
        <f t="shared" si="14"/>
        <v>0</v>
      </c>
      <c r="E101" s="7">
        <f t="shared" si="13"/>
        <v>0</v>
      </c>
      <c r="F101" s="7">
        <f t="shared" si="13"/>
        <v>0</v>
      </c>
      <c r="G101" s="7">
        <f t="shared" si="13"/>
        <v>0</v>
      </c>
      <c r="H101" s="7">
        <f t="shared" si="13"/>
        <v>0</v>
      </c>
      <c r="I101" s="7">
        <f t="shared" si="13"/>
        <v>0</v>
      </c>
      <c r="J101" s="7">
        <f t="shared" si="13"/>
        <v>0</v>
      </c>
      <c r="K101" s="7">
        <f t="shared" si="13"/>
        <v>0</v>
      </c>
      <c r="L101" s="7">
        <f t="shared" si="13"/>
        <v>0</v>
      </c>
      <c r="M101" s="7">
        <f t="shared" si="13"/>
        <v>0</v>
      </c>
      <c r="N101" s="7">
        <f t="shared" si="13"/>
        <v>0</v>
      </c>
      <c r="O101" s="7">
        <f t="shared" si="13"/>
        <v>0</v>
      </c>
      <c r="P101" s="7">
        <f t="shared" si="13"/>
        <v>0</v>
      </c>
      <c r="Q101" s="7">
        <f t="shared" si="13"/>
        <v>0</v>
      </c>
      <c r="R101" s="7">
        <f t="shared" si="13"/>
        <v>0</v>
      </c>
      <c r="S101" s="7">
        <f t="shared" si="13"/>
        <v>0</v>
      </c>
      <c r="T101" s="7">
        <f t="shared" si="13"/>
        <v>0</v>
      </c>
      <c r="U101" s="7">
        <f t="shared" si="13"/>
        <v>0</v>
      </c>
      <c r="V101" s="7">
        <f t="shared" si="13"/>
        <v>0</v>
      </c>
      <c r="W101" s="7">
        <f t="shared" si="13"/>
        <v>0</v>
      </c>
      <c r="X101" s="7">
        <f t="shared" si="13"/>
        <v>0</v>
      </c>
      <c r="Y101" s="7">
        <f t="shared" si="13"/>
        <v>0</v>
      </c>
      <c r="Z101" s="7">
        <f t="shared" si="13"/>
        <v>0</v>
      </c>
      <c r="AA101" s="7">
        <f t="shared" si="13"/>
        <v>0</v>
      </c>
      <c r="AB101" s="7">
        <f t="shared" si="13"/>
        <v>0</v>
      </c>
      <c r="AC101" s="7">
        <f t="shared" si="13"/>
        <v>0</v>
      </c>
    </row>
    <row r="102" spans="1:29" x14ac:dyDescent="0.55000000000000004">
      <c r="A102" s="8" t="s">
        <v>35</v>
      </c>
      <c r="B102">
        <v>10</v>
      </c>
      <c r="D102" s="7">
        <f t="shared" si="14"/>
        <v>0</v>
      </c>
      <c r="E102" s="7">
        <f t="shared" si="13"/>
        <v>0</v>
      </c>
      <c r="F102" s="7">
        <f t="shared" si="13"/>
        <v>0</v>
      </c>
      <c r="G102" s="7">
        <f t="shared" si="13"/>
        <v>0</v>
      </c>
      <c r="H102" s="7">
        <f t="shared" si="13"/>
        <v>0</v>
      </c>
      <c r="I102" s="7">
        <f t="shared" si="13"/>
        <v>0</v>
      </c>
      <c r="J102" s="7">
        <f t="shared" si="13"/>
        <v>0</v>
      </c>
      <c r="K102" s="7">
        <f t="shared" si="13"/>
        <v>0</v>
      </c>
      <c r="L102" s="7">
        <f t="shared" si="13"/>
        <v>0</v>
      </c>
      <c r="M102" s="7">
        <f t="shared" si="13"/>
        <v>0</v>
      </c>
      <c r="N102" s="7">
        <f t="shared" si="13"/>
        <v>0</v>
      </c>
      <c r="O102" s="7">
        <f t="shared" si="13"/>
        <v>0</v>
      </c>
      <c r="P102" s="7">
        <f t="shared" si="13"/>
        <v>0</v>
      </c>
      <c r="Q102" s="7">
        <f t="shared" si="13"/>
        <v>0</v>
      </c>
      <c r="R102" s="7">
        <f t="shared" si="13"/>
        <v>0</v>
      </c>
      <c r="S102" s="7">
        <f t="shared" si="13"/>
        <v>0</v>
      </c>
      <c r="T102" s="7">
        <f t="shared" si="13"/>
        <v>0</v>
      </c>
      <c r="U102" s="7">
        <f t="shared" si="13"/>
        <v>0</v>
      </c>
      <c r="V102" s="7">
        <f t="shared" si="13"/>
        <v>0</v>
      </c>
      <c r="W102" s="7">
        <f t="shared" si="13"/>
        <v>0</v>
      </c>
      <c r="X102" s="7">
        <f t="shared" si="13"/>
        <v>0</v>
      </c>
      <c r="Y102" s="7">
        <f t="shared" si="13"/>
        <v>0</v>
      </c>
      <c r="Z102" s="7">
        <f t="shared" si="13"/>
        <v>0</v>
      </c>
      <c r="AA102" s="7">
        <f t="shared" si="13"/>
        <v>0</v>
      </c>
      <c r="AB102" s="7">
        <f t="shared" si="13"/>
        <v>0</v>
      </c>
      <c r="AC102" s="7">
        <f t="shared" si="13"/>
        <v>0</v>
      </c>
    </row>
    <row r="103" spans="1:29" x14ac:dyDescent="0.55000000000000004">
      <c r="A103" s="8" t="s">
        <v>35</v>
      </c>
      <c r="B103">
        <v>11</v>
      </c>
      <c r="D103" s="7">
        <f t="shared" si="14"/>
        <v>0</v>
      </c>
      <c r="E103" s="7">
        <f t="shared" si="13"/>
        <v>0</v>
      </c>
      <c r="F103" s="7">
        <f t="shared" si="13"/>
        <v>0</v>
      </c>
      <c r="G103" s="7">
        <f t="shared" si="13"/>
        <v>0</v>
      </c>
      <c r="H103" s="7">
        <f t="shared" si="13"/>
        <v>0</v>
      </c>
      <c r="I103" s="7">
        <f t="shared" si="13"/>
        <v>0</v>
      </c>
      <c r="J103" s="7">
        <f t="shared" si="13"/>
        <v>0</v>
      </c>
      <c r="K103" s="7">
        <f t="shared" si="13"/>
        <v>0</v>
      </c>
      <c r="L103" s="7">
        <f t="shared" si="13"/>
        <v>0</v>
      </c>
      <c r="M103" s="7">
        <f t="shared" si="13"/>
        <v>0</v>
      </c>
      <c r="N103" s="7">
        <f t="shared" si="13"/>
        <v>0</v>
      </c>
      <c r="O103" s="7">
        <f t="shared" si="13"/>
        <v>0</v>
      </c>
      <c r="P103" s="7">
        <f t="shared" si="13"/>
        <v>0</v>
      </c>
      <c r="Q103" s="7">
        <f t="shared" si="13"/>
        <v>0</v>
      </c>
      <c r="R103" s="7">
        <f t="shared" si="13"/>
        <v>0</v>
      </c>
      <c r="S103" s="7">
        <f t="shared" si="13"/>
        <v>0</v>
      </c>
      <c r="T103" s="7">
        <f t="shared" si="13"/>
        <v>0</v>
      </c>
      <c r="U103" s="7">
        <f t="shared" si="13"/>
        <v>0</v>
      </c>
      <c r="V103" s="7">
        <f t="shared" si="13"/>
        <v>0</v>
      </c>
      <c r="W103" s="7">
        <f t="shared" si="13"/>
        <v>0</v>
      </c>
      <c r="X103" s="7">
        <f t="shared" si="13"/>
        <v>0</v>
      </c>
      <c r="Y103" s="7">
        <f t="shared" si="13"/>
        <v>0</v>
      </c>
      <c r="Z103" s="7">
        <f t="shared" si="13"/>
        <v>0</v>
      </c>
      <c r="AA103" s="7">
        <f t="shared" si="13"/>
        <v>0</v>
      </c>
      <c r="AB103" s="7">
        <f t="shared" si="13"/>
        <v>0</v>
      </c>
      <c r="AC103" s="7">
        <f t="shared" si="13"/>
        <v>0</v>
      </c>
    </row>
    <row r="104" spans="1:29" x14ac:dyDescent="0.55000000000000004">
      <c r="A104" s="8" t="s">
        <v>35</v>
      </c>
      <c r="B104">
        <v>12</v>
      </c>
      <c r="D104" s="7">
        <f t="shared" si="14"/>
        <v>0</v>
      </c>
      <c r="E104" s="7">
        <f t="shared" si="13"/>
        <v>0</v>
      </c>
      <c r="F104" s="7">
        <f t="shared" si="13"/>
        <v>0</v>
      </c>
      <c r="G104" s="7">
        <f t="shared" si="13"/>
        <v>0</v>
      </c>
      <c r="H104" s="7">
        <f t="shared" si="13"/>
        <v>0</v>
      </c>
      <c r="I104" s="7">
        <f t="shared" si="13"/>
        <v>0</v>
      </c>
      <c r="J104" s="7">
        <f t="shared" si="13"/>
        <v>0</v>
      </c>
      <c r="K104" s="7">
        <f t="shared" si="13"/>
        <v>0</v>
      </c>
      <c r="L104" s="7">
        <f t="shared" si="13"/>
        <v>0</v>
      </c>
      <c r="M104" s="7">
        <f t="shared" si="13"/>
        <v>0</v>
      </c>
      <c r="N104" s="7">
        <f t="shared" si="13"/>
        <v>0</v>
      </c>
      <c r="O104" s="7">
        <f t="shared" si="13"/>
        <v>0</v>
      </c>
      <c r="P104" s="7">
        <f t="shared" si="13"/>
        <v>0</v>
      </c>
      <c r="Q104" s="7">
        <f t="shared" si="13"/>
        <v>0</v>
      </c>
      <c r="R104" s="7">
        <f t="shared" si="13"/>
        <v>0</v>
      </c>
      <c r="S104" s="7">
        <f t="shared" si="13"/>
        <v>0</v>
      </c>
      <c r="T104" s="7">
        <f t="shared" si="13"/>
        <v>0</v>
      </c>
      <c r="U104" s="7">
        <f t="shared" si="13"/>
        <v>0</v>
      </c>
      <c r="V104" s="7">
        <f t="shared" si="13"/>
        <v>0</v>
      </c>
      <c r="W104" s="7">
        <f t="shared" si="13"/>
        <v>0</v>
      </c>
      <c r="X104" s="7">
        <f t="shared" si="13"/>
        <v>0</v>
      </c>
      <c r="Y104" s="7">
        <f t="shared" si="13"/>
        <v>0</v>
      </c>
      <c r="Z104" s="7">
        <f t="shared" ref="Z104:AC104" si="15">HLOOKUP(Z$93,$D$77:$AC$90,$B104,FALSE)</f>
        <v>0</v>
      </c>
      <c r="AA104" s="7">
        <f t="shared" si="15"/>
        <v>0</v>
      </c>
      <c r="AB104" s="7">
        <f t="shared" si="15"/>
        <v>0</v>
      </c>
      <c r="AC104" s="7">
        <f t="shared" si="15"/>
        <v>0</v>
      </c>
    </row>
    <row r="105" spans="1:29" x14ac:dyDescent="0.55000000000000004">
      <c r="A105" s="2" t="s">
        <v>36</v>
      </c>
      <c r="B105">
        <v>13</v>
      </c>
      <c r="D105" s="7">
        <f t="shared" si="14"/>
        <v>0</v>
      </c>
      <c r="E105" s="7">
        <f t="shared" si="14"/>
        <v>0</v>
      </c>
      <c r="F105" s="7">
        <f t="shared" si="14"/>
        <v>0</v>
      </c>
      <c r="G105" s="7">
        <f t="shared" si="14"/>
        <v>0</v>
      </c>
      <c r="H105" s="7">
        <f t="shared" si="14"/>
        <v>0</v>
      </c>
      <c r="I105" s="7">
        <f t="shared" si="14"/>
        <v>0</v>
      </c>
      <c r="J105" s="7">
        <f t="shared" si="14"/>
        <v>0</v>
      </c>
      <c r="K105" s="7">
        <f t="shared" si="14"/>
        <v>0</v>
      </c>
      <c r="L105" s="7">
        <f t="shared" si="14"/>
        <v>0</v>
      </c>
      <c r="M105" s="7">
        <f t="shared" si="14"/>
        <v>0</v>
      </c>
      <c r="N105" s="7">
        <f t="shared" si="14"/>
        <v>0</v>
      </c>
      <c r="O105" s="7">
        <f t="shared" si="14"/>
        <v>0</v>
      </c>
      <c r="P105" s="7">
        <f t="shared" si="14"/>
        <v>0</v>
      </c>
      <c r="Q105" s="7">
        <f t="shared" si="14"/>
        <v>0</v>
      </c>
      <c r="R105" s="7">
        <f t="shared" si="14"/>
        <v>0</v>
      </c>
      <c r="S105" s="7">
        <f t="shared" si="14"/>
        <v>0</v>
      </c>
      <c r="T105" s="7">
        <f t="shared" ref="T105:AC106" si="16">HLOOKUP(T$93,$D$77:$AC$90,$B105,FALSE)</f>
        <v>0</v>
      </c>
      <c r="U105" s="7">
        <f t="shared" si="16"/>
        <v>0</v>
      </c>
      <c r="V105" s="7">
        <f t="shared" si="16"/>
        <v>0</v>
      </c>
      <c r="W105" s="7">
        <f t="shared" si="16"/>
        <v>0</v>
      </c>
      <c r="X105" s="7">
        <f t="shared" si="16"/>
        <v>0</v>
      </c>
      <c r="Y105" s="7">
        <f t="shared" si="16"/>
        <v>0</v>
      </c>
      <c r="Z105" s="7">
        <f t="shared" si="16"/>
        <v>0</v>
      </c>
      <c r="AA105" s="7">
        <f t="shared" si="16"/>
        <v>0</v>
      </c>
      <c r="AB105" s="7">
        <f t="shared" si="16"/>
        <v>0</v>
      </c>
      <c r="AC105" s="7">
        <f t="shared" si="16"/>
        <v>0</v>
      </c>
    </row>
    <row r="106" spans="1:29" x14ac:dyDescent="0.55000000000000004">
      <c r="A106" s="8" t="s">
        <v>54</v>
      </c>
      <c r="B106">
        <v>14</v>
      </c>
      <c r="D106" s="7">
        <f t="shared" si="14"/>
        <v>0</v>
      </c>
      <c r="E106" s="7">
        <f t="shared" si="14"/>
        <v>0</v>
      </c>
      <c r="F106" s="7">
        <f t="shared" si="14"/>
        <v>0</v>
      </c>
      <c r="G106" s="7">
        <f t="shared" si="14"/>
        <v>0</v>
      </c>
      <c r="H106" s="7">
        <f t="shared" si="14"/>
        <v>0</v>
      </c>
      <c r="I106" s="7">
        <f t="shared" si="14"/>
        <v>0</v>
      </c>
      <c r="J106" s="7">
        <f t="shared" si="14"/>
        <v>0</v>
      </c>
      <c r="K106" s="7">
        <f t="shared" si="14"/>
        <v>0</v>
      </c>
      <c r="L106" s="7">
        <f t="shared" si="14"/>
        <v>0</v>
      </c>
      <c r="M106" s="7">
        <f t="shared" si="14"/>
        <v>0</v>
      </c>
      <c r="N106" s="7">
        <f t="shared" si="14"/>
        <v>0</v>
      </c>
      <c r="O106" s="7">
        <f t="shared" si="14"/>
        <v>0</v>
      </c>
      <c r="P106" s="7">
        <f t="shared" si="14"/>
        <v>0</v>
      </c>
      <c r="Q106" s="7">
        <f t="shared" si="14"/>
        <v>0</v>
      </c>
      <c r="R106" s="7">
        <f t="shared" si="14"/>
        <v>0</v>
      </c>
      <c r="S106" s="7">
        <f t="shared" si="14"/>
        <v>0</v>
      </c>
      <c r="T106" s="7">
        <f t="shared" si="16"/>
        <v>0</v>
      </c>
      <c r="U106" s="7">
        <f t="shared" si="16"/>
        <v>0</v>
      </c>
      <c r="V106" s="7">
        <f t="shared" si="16"/>
        <v>0</v>
      </c>
      <c r="W106" s="7">
        <f t="shared" si="16"/>
        <v>0</v>
      </c>
      <c r="X106" s="7">
        <f t="shared" si="16"/>
        <v>0</v>
      </c>
      <c r="Y106" s="7">
        <f t="shared" si="16"/>
        <v>0</v>
      </c>
      <c r="Z106" s="7">
        <f t="shared" si="16"/>
        <v>0</v>
      </c>
      <c r="AA106" s="7">
        <f t="shared" si="16"/>
        <v>0</v>
      </c>
      <c r="AB106" s="7">
        <f t="shared" si="16"/>
        <v>0</v>
      </c>
      <c r="AC106" s="7">
        <f t="shared" si="16"/>
        <v>0</v>
      </c>
    </row>
    <row r="108" spans="1:29" x14ac:dyDescent="0.55000000000000004">
      <c r="B108">
        <v>16</v>
      </c>
      <c r="C108" t="s">
        <v>42</v>
      </c>
      <c r="D108" s="7">
        <f>SUM(D100:D101)/1000</f>
        <v>0</v>
      </c>
      <c r="E108" s="7">
        <f t="shared" ref="E108:AC108" si="17">SUM(E100:E101)/1000</f>
        <v>0</v>
      </c>
      <c r="F108" s="7">
        <f t="shared" si="17"/>
        <v>0</v>
      </c>
      <c r="G108" s="7">
        <f t="shared" si="17"/>
        <v>0</v>
      </c>
      <c r="H108" s="7">
        <f t="shared" si="17"/>
        <v>0</v>
      </c>
      <c r="I108" s="7">
        <f t="shared" si="17"/>
        <v>0</v>
      </c>
      <c r="J108" s="7">
        <f t="shared" si="17"/>
        <v>0</v>
      </c>
      <c r="K108" s="7">
        <f t="shared" si="17"/>
        <v>0</v>
      </c>
      <c r="L108" s="7">
        <f t="shared" si="17"/>
        <v>0</v>
      </c>
      <c r="M108" s="7">
        <f t="shared" si="17"/>
        <v>0</v>
      </c>
      <c r="N108" s="7">
        <f t="shared" si="17"/>
        <v>0</v>
      </c>
      <c r="O108" s="7">
        <f t="shared" si="17"/>
        <v>0</v>
      </c>
      <c r="P108" s="7">
        <f t="shared" si="17"/>
        <v>0</v>
      </c>
      <c r="Q108" s="7">
        <f t="shared" si="17"/>
        <v>0</v>
      </c>
      <c r="R108" s="7">
        <f t="shared" si="17"/>
        <v>0</v>
      </c>
      <c r="S108" s="7">
        <f t="shared" si="17"/>
        <v>0</v>
      </c>
      <c r="T108" s="7">
        <f t="shared" si="17"/>
        <v>0</v>
      </c>
      <c r="U108" s="7">
        <f t="shared" si="17"/>
        <v>0</v>
      </c>
      <c r="V108" s="7">
        <f t="shared" si="17"/>
        <v>0</v>
      </c>
      <c r="W108" s="7">
        <f t="shared" si="17"/>
        <v>0</v>
      </c>
      <c r="X108" s="7">
        <f t="shared" si="17"/>
        <v>0</v>
      </c>
      <c r="Y108" s="7">
        <f t="shared" si="17"/>
        <v>0</v>
      </c>
      <c r="Z108" s="7">
        <f t="shared" si="17"/>
        <v>0</v>
      </c>
      <c r="AA108" s="7">
        <f t="shared" si="17"/>
        <v>0</v>
      </c>
      <c r="AB108" s="7">
        <f t="shared" si="17"/>
        <v>0</v>
      </c>
      <c r="AC108" s="7">
        <f t="shared" si="17"/>
        <v>0</v>
      </c>
    </row>
    <row r="109" spans="1:29" x14ac:dyDescent="0.55000000000000004">
      <c r="B109">
        <v>17</v>
      </c>
      <c r="C109" t="s">
        <v>45</v>
      </c>
      <c r="D109" s="7">
        <f>SUM(D94:D97)/1000</f>
        <v>0</v>
      </c>
      <c r="E109" s="7">
        <f t="shared" ref="E109:AC109" si="18">SUM(E94:E97)/1000</f>
        <v>0</v>
      </c>
      <c r="F109" s="7">
        <f t="shared" si="18"/>
        <v>0</v>
      </c>
      <c r="G109" s="7">
        <f t="shared" si="18"/>
        <v>0</v>
      </c>
      <c r="H109" s="7">
        <f t="shared" si="18"/>
        <v>0</v>
      </c>
      <c r="I109" s="7">
        <f t="shared" si="18"/>
        <v>0</v>
      </c>
      <c r="J109" s="7">
        <f t="shared" si="18"/>
        <v>0</v>
      </c>
      <c r="K109" s="7">
        <f t="shared" si="18"/>
        <v>0</v>
      </c>
      <c r="L109" s="7">
        <f t="shared" si="18"/>
        <v>0</v>
      </c>
      <c r="M109" s="7">
        <f t="shared" si="18"/>
        <v>0</v>
      </c>
      <c r="N109" s="7">
        <f t="shared" si="18"/>
        <v>0</v>
      </c>
      <c r="O109" s="7">
        <f t="shared" si="18"/>
        <v>0</v>
      </c>
      <c r="P109" s="7">
        <f t="shared" si="18"/>
        <v>0</v>
      </c>
      <c r="Q109" s="7">
        <f t="shared" si="18"/>
        <v>0</v>
      </c>
      <c r="R109" s="7">
        <f t="shared" si="18"/>
        <v>0</v>
      </c>
      <c r="S109" s="7">
        <f t="shared" si="18"/>
        <v>0</v>
      </c>
      <c r="T109" s="7">
        <f t="shared" si="18"/>
        <v>0</v>
      </c>
      <c r="U109" s="7">
        <f t="shared" si="18"/>
        <v>0</v>
      </c>
      <c r="V109" s="7">
        <f t="shared" si="18"/>
        <v>0</v>
      </c>
      <c r="W109" s="7">
        <f t="shared" si="18"/>
        <v>0</v>
      </c>
      <c r="X109" s="7">
        <f t="shared" si="18"/>
        <v>0</v>
      </c>
      <c r="Y109" s="7">
        <f t="shared" si="18"/>
        <v>0</v>
      </c>
      <c r="Z109" s="7">
        <f t="shared" si="18"/>
        <v>0</v>
      </c>
      <c r="AA109" s="7">
        <f t="shared" si="18"/>
        <v>0</v>
      </c>
      <c r="AB109" s="7">
        <f t="shared" si="18"/>
        <v>0</v>
      </c>
      <c r="AC109" s="7">
        <f t="shared" si="18"/>
        <v>0</v>
      </c>
    </row>
    <row r="110" spans="1:29" x14ac:dyDescent="0.55000000000000004">
      <c r="B110">
        <v>18</v>
      </c>
      <c r="C110" t="s">
        <v>35</v>
      </c>
      <c r="D110" s="7">
        <f>SUM(D102:D104)/1000</f>
        <v>0</v>
      </c>
      <c r="E110" s="7">
        <f t="shared" ref="E110:AC110" si="19">SUM(E102:E104)/1000</f>
        <v>0</v>
      </c>
      <c r="F110" s="7">
        <f t="shared" si="19"/>
        <v>0</v>
      </c>
      <c r="G110" s="7">
        <f t="shared" si="19"/>
        <v>0</v>
      </c>
      <c r="H110" s="7">
        <f t="shared" si="19"/>
        <v>0</v>
      </c>
      <c r="I110" s="7">
        <f t="shared" si="19"/>
        <v>0</v>
      </c>
      <c r="J110" s="7">
        <f t="shared" si="19"/>
        <v>0</v>
      </c>
      <c r="K110" s="7">
        <f t="shared" si="19"/>
        <v>0</v>
      </c>
      <c r="L110" s="7">
        <f t="shared" si="19"/>
        <v>0</v>
      </c>
      <c r="M110" s="7">
        <f t="shared" si="19"/>
        <v>0</v>
      </c>
      <c r="N110" s="7">
        <f t="shared" si="19"/>
        <v>0</v>
      </c>
      <c r="O110" s="7">
        <f t="shared" si="19"/>
        <v>0</v>
      </c>
      <c r="P110" s="7">
        <f t="shared" si="19"/>
        <v>0</v>
      </c>
      <c r="Q110" s="7">
        <f t="shared" si="19"/>
        <v>0</v>
      </c>
      <c r="R110" s="7">
        <f t="shared" si="19"/>
        <v>0</v>
      </c>
      <c r="S110" s="7">
        <f t="shared" si="19"/>
        <v>0</v>
      </c>
      <c r="T110" s="7">
        <f t="shared" si="19"/>
        <v>0</v>
      </c>
      <c r="U110" s="7">
        <f t="shared" si="19"/>
        <v>0</v>
      </c>
      <c r="V110" s="7">
        <f t="shared" si="19"/>
        <v>0</v>
      </c>
      <c r="W110" s="7">
        <f t="shared" si="19"/>
        <v>0</v>
      </c>
      <c r="X110" s="7">
        <f t="shared" si="19"/>
        <v>0</v>
      </c>
      <c r="Y110" s="7">
        <f t="shared" si="19"/>
        <v>0</v>
      </c>
      <c r="Z110" s="7">
        <f t="shared" si="19"/>
        <v>0</v>
      </c>
      <c r="AA110" s="7">
        <f t="shared" si="19"/>
        <v>0</v>
      </c>
      <c r="AB110" s="7">
        <f t="shared" si="19"/>
        <v>0</v>
      </c>
      <c r="AC110" s="7">
        <f t="shared" si="19"/>
        <v>0</v>
      </c>
    </row>
    <row r="111" spans="1:29" x14ac:dyDescent="0.55000000000000004"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 spans="1:29" x14ac:dyDescent="0.55000000000000004">
      <c r="C112" t="s">
        <v>43</v>
      </c>
      <c r="D112" s="7">
        <f>SUM(D94:D106)/1000</f>
        <v>0</v>
      </c>
      <c r="E112" s="7">
        <f t="shared" ref="E112:AC112" si="20">SUM(E94:E106)/1000</f>
        <v>0</v>
      </c>
      <c r="F112" s="7">
        <f t="shared" si="20"/>
        <v>0</v>
      </c>
      <c r="G112" s="7">
        <f t="shared" si="20"/>
        <v>0</v>
      </c>
      <c r="H112" s="7">
        <f t="shared" si="20"/>
        <v>0</v>
      </c>
      <c r="I112" s="7">
        <f t="shared" si="20"/>
        <v>0</v>
      </c>
      <c r="J112" s="7">
        <f t="shared" si="20"/>
        <v>0</v>
      </c>
      <c r="K112" s="7">
        <f t="shared" si="20"/>
        <v>0</v>
      </c>
      <c r="L112" s="7">
        <f t="shared" si="20"/>
        <v>0</v>
      </c>
      <c r="M112" s="7">
        <f t="shared" si="20"/>
        <v>0</v>
      </c>
      <c r="N112" s="7">
        <f t="shared" si="20"/>
        <v>0</v>
      </c>
      <c r="O112" s="7">
        <f t="shared" si="20"/>
        <v>0</v>
      </c>
      <c r="P112" s="7">
        <f t="shared" si="20"/>
        <v>0</v>
      </c>
      <c r="Q112" s="7">
        <f t="shared" si="20"/>
        <v>0</v>
      </c>
      <c r="R112" s="7">
        <f t="shared" si="20"/>
        <v>0</v>
      </c>
      <c r="S112" s="7">
        <f t="shared" si="20"/>
        <v>0</v>
      </c>
      <c r="T112" s="7">
        <f t="shared" si="20"/>
        <v>0</v>
      </c>
      <c r="U112" s="7">
        <f t="shared" si="20"/>
        <v>0</v>
      </c>
      <c r="V112" s="7">
        <f t="shared" si="20"/>
        <v>0</v>
      </c>
      <c r="W112" s="7">
        <f t="shared" si="20"/>
        <v>0</v>
      </c>
      <c r="X112" s="7">
        <f t="shared" si="20"/>
        <v>0</v>
      </c>
      <c r="Y112" s="7">
        <f t="shared" si="20"/>
        <v>0</v>
      </c>
      <c r="Z112" s="7">
        <f t="shared" si="20"/>
        <v>0</v>
      </c>
      <c r="AA112" s="7">
        <f t="shared" si="20"/>
        <v>0</v>
      </c>
      <c r="AB112" s="7">
        <f t="shared" si="20"/>
        <v>0</v>
      </c>
      <c r="AC112" s="7">
        <f t="shared" si="20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D6A38-4B59-4E8B-BCE4-0D32C66CD799}">
  <dimension ref="A1:AC71"/>
  <sheetViews>
    <sheetView topLeftCell="A43" zoomScaleNormal="100" workbookViewId="0">
      <selection activeCell="D75" sqref="D75"/>
    </sheetView>
  </sheetViews>
  <sheetFormatPr defaultRowHeight="14.4" x14ac:dyDescent="0.55000000000000004"/>
  <cols>
    <col min="1" max="1" width="35.47265625" bestFit="1" customWidth="1"/>
    <col min="2" max="2" width="4.7890625" bestFit="1" customWidth="1"/>
  </cols>
  <sheetData>
    <row r="1" spans="1:29" x14ac:dyDescent="0.55000000000000004">
      <c r="A1" s="1" t="s">
        <v>37</v>
      </c>
      <c r="B1" s="2"/>
    </row>
    <row r="2" spans="1:29" x14ac:dyDescent="0.55000000000000004">
      <c r="A2" s="1" t="s">
        <v>28</v>
      </c>
      <c r="B2" s="1" t="s">
        <v>40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11</v>
      </c>
      <c r="N2" s="4" t="s">
        <v>12</v>
      </c>
      <c r="O2" s="4" t="s">
        <v>13</v>
      </c>
      <c r="P2" s="4" t="s">
        <v>14</v>
      </c>
      <c r="Q2" s="4" t="s">
        <v>15</v>
      </c>
      <c r="R2" s="4" t="s">
        <v>16</v>
      </c>
      <c r="S2" s="4" t="s">
        <v>17</v>
      </c>
      <c r="T2" s="4" t="s">
        <v>18</v>
      </c>
      <c r="U2" s="4" t="s">
        <v>19</v>
      </c>
      <c r="V2" s="4" t="s">
        <v>20</v>
      </c>
      <c r="W2" s="4" t="s">
        <v>21</v>
      </c>
      <c r="X2" s="4" t="s">
        <v>22</v>
      </c>
      <c r="Y2" s="4" t="s">
        <v>23</v>
      </c>
      <c r="Z2" s="4" t="s">
        <v>24</v>
      </c>
      <c r="AA2" s="4" t="s">
        <v>25</v>
      </c>
      <c r="AB2" s="4" t="s">
        <v>26</v>
      </c>
      <c r="AC2" s="4" t="s">
        <v>27</v>
      </c>
    </row>
    <row r="3" spans="1:29" x14ac:dyDescent="0.55000000000000004">
      <c r="A3" s="2" t="s">
        <v>44</v>
      </c>
      <c r="B3" s="3" t="s">
        <v>55</v>
      </c>
      <c r="C3" s="5">
        <v>148</v>
      </c>
      <c r="D3" s="5">
        <v>0</v>
      </c>
      <c r="E3" s="5">
        <v>0</v>
      </c>
      <c r="F3" s="5">
        <v>3</v>
      </c>
      <c r="G3" s="5">
        <v>4</v>
      </c>
      <c r="H3" s="5">
        <v>5</v>
      </c>
      <c r="I3" s="5">
        <v>6</v>
      </c>
      <c r="J3" s="5">
        <v>0</v>
      </c>
      <c r="K3" s="5">
        <v>6</v>
      </c>
      <c r="L3" s="5">
        <v>0</v>
      </c>
      <c r="M3" s="5">
        <v>11</v>
      </c>
      <c r="N3" s="5">
        <v>3</v>
      </c>
      <c r="O3" s="5">
        <v>0</v>
      </c>
      <c r="P3" s="5">
        <v>7</v>
      </c>
      <c r="Q3" s="5">
        <v>4</v>
      </c>
      <c r="R3" s="5">
        <v>9</v>
      </c>
      <c r="S3" s="5">
        <v>0</v>
      </c>
      <c r="T3" s="5">
        <v>3</v>
      </c>
      <c r="U3" s="5">
        <v>20</v>
      </c>
      <c r="V3" s="5">
        <v>17</v>
      </c>
      <c r="W3" s="5">
        <v>5</v>
      </c>
      <c r="X3" s="5">
        <v>18</v>
      </c>
      <c r="Y3" s="5">
        <v>16</v>
      </c>
      <c r="Z3" s="5">
        <v>8</v>
      </c>
      <c r="AA3" s="5">
        <v>0</v>
      </c>
      <c r="AB3" s="5">
        <v>0</v>
      </c>
      <c r="AC3" s="5">
        <v>3</v>
      </c>
    </row>
    <row r="4" spans="1:29" x14ac:dyDescent="0.55000000000000004">
      <c r="A4" s="2" t="s">
        <v>30</v>
      </c>
      <c r="B4" s="3" t="s">
        <v>55</v>
      </c>
      <c r="C4" s="5">
        <v>601</v>
      </c>
      <c r="D4" s="5">
        <v>0</v>
      </c>
      <c r="E4" s="5">
        <v>186</v>
      </c>
      <c r="F4" s="5">
        <v>15</v>
      </c>
      <c r="G4" s="5">
        <v>4</v>
      </c>
      <c r="H4" s="5">
        <v>5</v>
      </c>
      <c r="I4" s="5">
        <v>0</v>
      </c>
      <c r="J4" s="5">
        <v>2</v>
      </c>
      <c r="K4" s="5">
        <v>5</v>
      </c>
      <c r="L4" s="5">
        <v>1</v>
      </c>
      <c r="M4" s="5">
        <v>24</v>
      </c>
      <c r="N4" s="5">
        <v>59</v>
      </c>
      <c r="O4" s="5">
        <v>5</v>
      </c>
      <c r="P4" s="5">
        <v>29</v>
      </c>
      <c r="Q4" s="5">
        <v>8</v>
      </c>
      <c r="R4" s="5">
        <v>7</v>
      </c>
      <c r="S4" s="5">
        <v>0</v>
      </c>
      <c r="T4" s="5">
        <v>0</v>
      </c>
      <c r="U4" s="5">
        <v>32</v>
      </c>
      <c r="V4" s="5">
        <v>15</v>
      </c>
      <c r="W4" s="5">
        <v>15</v>
      </c>
      <c r="X4" s="5">
        <v>12</v>
      </c>
      <c r="Y4" s="5">
        <v>110</v>
      </c>
      <c r="Z4" s="5">
        <v>28</v>
      </c>
      <c r="AA4" s="5">
        <v>28</v>
      </c>
      <c r="AB4" s="5">
        <v>0</v>
      </c>
      <c r="AC4" s="5">
        <v>11</v>
      </c>
    </row>
    <row r="5" spans="1:29" x14ac:dyDescent="0.55000000000000004">
      <c r="A5" s="2" t="s">
        <v>31</v>
      </c>
      <c r="B5" s="3" t="s">
        <v>55</v>
      </c>
      <c r="C5" s="5">
        <v>2</v>
      </c>
      <c r="D5" s="5">
        <v>0</v>
      </c>
      <c r="E5" s="5">
        <v>1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</row>
    <row r="6" spans="1:29" x14ac:dyDescent="0.55000000000000004">
      <c r="A6" s="2" t="s">
        <v>32</v>
      </c>
      <c r="B6" s="3" t="s">
        <v>55</v>
      </c>
      <c r="C6" s="5">
        <v>15885</v>
      </c>
      <c r="D6" s="5">
        <v>1479</v>
      </c>
      <c r="E6" s="5">
        <v>2200</v>
      </c>
      <c r="F6" s="5">
        <v>429</v>
      </c>
      <c r="G6" s="5">
        <v>10</v>
      </c>
      <c r="H6" s="5">
        <v>243</v>
      </c>
      <c r="I6" s="5">
        <v>10</v>
      </c>
      <c r="J6" s="5">
        <v>27</v>
      </c>
      <c r="K6" s="5">
        <v>174</v>
      </c>
      <c r="L6" s="5">
        <v>85</v>
      </c>
      <c r="M6" s="5">
        <v>804</v>
      </c>
      <c r="N6" s="5">
        <v>1194</v>
      </c>
      <c r="O6" s="5">
        <v>165</v>
      </c>
      <c r="P6" s="5">
        <v>1158</v>
      </c>
      <c r="Q6" s="5">
        <v>191</v>
      </c>
      <c r="R6" s="5">
        <v>227</v>
      </c>
      <c r="S6" s="5">
        <v>20</v>
      </c>
      <c r="T6" s="5">
        <v>1218</v>
      </c>
      <c r="U6" s="5">
        <v>390</v>
      </c>
      <c r="V6" s="5">
        <v>1548</v>
      </c>
      <c r="W6" s="5">
        <v>839</v>
      </c>
      <c r="X6" s="5">
        <v>983</v>
      </c>
      <c r="Y6" s="5">
        <v>867</v>
      </c>
      <c r="Z6" s="5">
        <v>756</v>
      </c>
      <c r="AA6" s="5">
        <v>364</v>
      </c>
      <c r="AB6" s="5">
        <v>449</v>
      </c>
      <c r="AC6" s="5">
        <v>55</v>
      </c>
    </row>
    <row r="7" spans="1:29" x14ac:dyDescent="0.55000000000000004">
      <c r="A7" s="2" t="s">
        <v>33</v>
      </c>
      <c r="B7" s="3" t="s">
        <v>55</v>
      </c>
      <c r="C7" s="5">
        <v>4081</v>
      </c>
      <c r="D7" s="5">
        <v>979</v>
      </c>
      <c r="E7" s="5">
        <v>371</v>
      </c>
      <c r="F7" s="5">
        <v>329</v>
      </c>
      <c r="G7" s="5">
        <v>3</v>
      </c>
      <c r="H7" s="5">
        <v>28</v>
      </c>
      <c r="I7" s="5">
        <v>3</v>
      </c>
      <c r="J7" s="5">
        <v>4</v>
      </c>
      <c r="K7" s="5">
        <v>9</v>
      </c>
      <c r="L7" s="5">
        <v>93</v>
      </c>
      <c r="M7" s="5">
        <v>263</v>
      </c>
      <c r="N7" s="5">
        <v>150</v>
      </c>
      <c r="O7" s="5">
        <v>110</v>
      </c>
      <c r="P7" s="5">
        <v>83</v>
      </c>
      <c r="Q7" s="5">
        <v>33</v>
      </c>
      <c r="R7" s="5">
        <v>41</v>
      </c>
      <c r="S7" s="5">
        <v>15</v>
      </c>
      <c r="T7" s="5">
        <v>486</v>
      </c>
      <c r="U7" s="5">
        <v>113</v>
      </c>
      <c r="V7" s="5">
        <v>250</v>
      </c>
      <c r="W7" s="5">
        <v>359</v>
      </c>
      <c r="X7" s="5">
        <v>5</v>
      </c>
      <c r="Y7" s="5">
        <v>305</v>
      </c>
      <c r="Z7" s="5">
        <v>23</v>
      </c>
      <c r="AA7" s="5">
        <v>13</v>
      </c>
      <c r="AB7" s="5">
        <v>9</v>
      </c>
      <c r="AC7" s="5">
        <v>4</v>
      </c>
    </row>
    <row r="8" spans="1:29" x14ac:dyDescent="0.55000000000000004">
      <c r="A8" s="2" t="s">
        <v>34</v>
      </c>
      <c r="B8" s="3" t="s">
        <v>55</v>
      </c>
      <c r="C8" s="5">
        <v>984</v>
      </c>
      <c r="D8" s="5">
        <v>127</v>
      </c>
      <c r="E8" s="5">
        <v>272</v>
      </c>
      <c r="F8" s="5">
        <v>31</v>
      </c>
      <c r="G8" s="5">
        <v>8</v>
      </c>
      <c r="H8" s="5">
        <v>86</v>
      </c>
      <c r="I8" s="5">
        <v>11</v>
      </c>
      <c r="J8" s="5">
        <v>4</v>
      </c>
      <c r="K8" s="5">
        <v>19</v>
      </c>
      <c r="L8" s="5">
        <v>2</v>
      </c>
      <c r="M8" s="5">
        <v>95</v>
      </c>
      <c r="N8" s="5">
        <v>25</v>
      </c>
      <c r="O8" s="5">
        <v>57</v>
      </c>
      <c r="P8" s="5">
        <v>19</v>
      </c>
      <c r="Q8" s="5">
        <v>67</v>
      </c>
      <c r="R8" s="5">
        <v>17</v>
      </c>
      <c r="S8" s="5">
        <v>0</v>
      </c>
      <c r="T8" s="5">
        <v>2</v>
      </c>
      <c r="U8" s="5">
        <v>11</v>
      </c>
      <c r="V8" s="5">
        <v>36</v>
      </c>
      <c r="W8" s="5">
        <v>32</v>
      </c>
      <c r="X8" s="5">
        <v>14</v>
      </c>
      <c r="Y8" s="5">
        <v>22</v>
      </c>
      <c r="Z8" s="5">
        <v>10</v>
      </c>
      <c r="AA8" s="5">
        <v>15</v>
      </c>
      <c r="AB8" s="5">
        <v>0</v>
      </c>
      <c r="AC8" s="5">
        <v>2</v>
      </c>
    </row>
    <row r="9" spans="1:29" x14ac:dyDescent="0.55000000000000004">
      <c r="A9" s="2" t="s">
        <v>35</v>
      </c>
      <c r="B9" s="3" t="s">
        <v>55</v>
      </c>
      <c r="C9" s="5">
        <v>384</v>
      </c>
      <c r="D9" s="5">
        <v>7</v>
      </c>
      <c r="E9" s="5">
        <v>48</v>
      </c>
      <c r="F9" s="5">
        <v>15</v>
      </c>
      <c r="G9" s="5">
        <v>2</v>
      </c>
      <c r="H9" s="5">
        <v>3</v>
      </c>
      <c r="I9" s="5">
        <v>0</v>
      </c>
      <c r="J9" s="5">
        <v>0</v>
      </c>
      <c r="K9" s="5">
        <v>2</v>
      </c>
      <c r="L9" s="5">
        <v>0</v>
      </c>
      <c r="M9" s="5">
        <v>14</v>
      </c>
      <c r="N9" s="5">
        <v>12</v>
      </c>
      <c r="O9" s="5">
        <v>3</v>
      </c>
      <c r="P9" s="5">
        <v>14</v>
      </c>
      <c r="Q9" s="5">
        <v>0</v>
      </c>
      <c r="R9" s="5">
        <v>6</v>
      </c>
      <c r="S9" s="5">
        <v>1</v>
      </c>
      <c r="T9" s="5">
        <v>5</v>
      </c>
      <c r="U9" s="5">
        <v>28</v>
      </c>
      <c r="V9" s="5">
        <v>11</v>
      </c>
      <c r="W9" s="5">
        <v>10</v>
      </c>
      <c r="X9" s="5">
        <v>20</v>
      </c>
      <c r="Y9" s="5">
        <v>125</v>
      </c>
      <c r="Z9" s="5">
        <v>14</v>
      </c>
      <c r="AA9" s="5">
        <v>21</v>
      </c>
      <c r="AB9" s="5">
        <v>12</v>
      </c>
      <c r="AC9" s="5">
        <v>11</v>
      </c>
    </row>
    <row r="10" spans="1:29" x14ac:dyDescent="0.55000000000000004">
      <c r="A10" s="2" t="s">
        <v>36</v>
      </c>
      <c r="B10" s="3" t="s">
        <v>55</v>
      </c>
      <c r="C10" s="5">
        <v>10</v>
      </c>
      <c r="D10" s="5">
        <v>0</v>
      </c>
      <c r="E10" s="5">
        <v>2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2</v>
      </c>
      <c r="V10" s="5">
        <v>0</v>
      </c>
      <c r="W10" s="5">
        <v>4</v>
      </c>
      <c r="X10" s="5">
        <v>0</v>
      </c>
      <c r="Y10" s="5">
        <v>1</v>
      </c>
      <c r="Z10" s="5">
        <v>0</v>
      </c>
      <c r="AA10" s="5">
        <v>0</v>
      </c>
      <c r="AB10" s="5">
        <v>1</v>
      </c>
      <c r="AC10" s="5">
        <v>0</v>
      </c>
    </row>
    <row r="11" spans="1:29" x14ac:dyDescent="0.55000000000000004">
      <c r="A11" s="2"/>
      <c r="B11" s="3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2"/>
      <c r="Z11" s="2"/>
      <c r="AA11" s="2"/>
      <c r="AB11" s="2"/>
      <c r="AC11" s="2"/>
    </row>
    <row r="12" spans="1:29" x14ac:dyDescent="0.55000000000000004">
      <c r="A12" s="1" t="s">
        <v>39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x14ac:dyDescent="0.55000000000000004">
      <c r="A13" s="1" t="s">
        <v>28</v>
      </c>
      <c r="B13" s="1" t="s">
        <v>40</v>
      </c>
      <c r="C13" s="4" t="s">
        <v>1</v>
      </c>
      <c r="D13" s="4" t="s">
        <v>2</v>
      </c>
      <c r="E13" s="4" t="s">
        <v>3</v>
      </c>
      <c r="F13" s="4" t="s">
        <v>4</v>
      </c>
      <c r="G13" s="4" t="s">
        <v>5</v>
      </c>
      <c r="H13" s="4" t="s">
        <v>6</v>
      </c>
      <c r="I13" s="4" t="s">
        <v>7</v>
      </c>
      <c r="J13" s="4" t="s">
        <v>8</v>
      </c>
      <c r="K13" s="4" t="s">
        <v>9</v>
      </c>
      <c r="L13" s="4" t="s">
        <v>10</v>
      </c>
      <c r="M13" s="4" t="s">
        <v>11</v>
      </c>
      <c r="N13" s="4" t="s">
        <v>12</v>
      </c>
      <c r="O13" s="4" t="s">
        <v>13</v>
      </c>
      <c r="P13" s="4" t="s">
        <v>14</v>
      </c>
      <c r="Q13" s="4" t="s">
        <v>15</v>
      </c>
      <c r="R13" s="4" t="s">
        <v>16</v>
      </c>
      <c r="S13" s="4" t="s">
        <v>17</v>
      </c>
      <c r="T13" s="4" t="s">
        <v>18</v>
      </c>
      <c r="U13" s="4" t="s">
        <v>19</v>
      </c>
      <c r="V13" s="4" t="s">
        <v>20</v>
      </c>
      <c r="W13" s="4" t="s">
        <v>21</v>
      </c>
      <c r="X13" s="4" t="s">
        <v>22</v>
      </c>
      <c r="Y13" s="4" t="s">
        <v>23</v>
      </c>
      <c r="Z13" s="4" t="s">
        <v>24</v>
      </c>
      <c r="AA13" s="4" t="s">
        <v>25</v>
      </c>
      <c r="AB13" s="4" t="s">
        <v>26</v>
      </c>
      <c r="AC13" s="4" t="s">
        <v>27</v>
      </c>
    </row>
    <row r="14" spans="1:29" x14ac:dyDescent="0.55000000000000004">
      <c r="A14" s="2" t="s">
        <v>44</v>
      </c>
      <c r="B14" s="3" t="s">
        <v>55</v>
      </c>
      <c r="C14" s="5">
        <v>20</v>
      </c>
      <c r="D14" s="5">
        <v>0</v>
      </c>
      <c r="E14" s="5">
        <v>0</v>
      </c>
      <c r="F14" s="5">
        <v>0</v>
      </c>
      <c r="G14" s="5">
        <v>2</v>
      </c>
      <c r="H14" s="5">
        <v>2</v>
      </c>
      <c r="I14" s="5">
        <v>0</v>
      </c>
      <c r="J14" s="5">
        <v>0</v>
      </c>
      <c r="K14" s="5">
        <v>2</v>
      </c>
      <c r="L14" s="5">
        <v>0</v>
      </c>
      <c r="M14" s="5">
        <v>0</v>
      </c>
      <c r="N14" s="5">
        <v>1</v>
      </c>
      <c r="O14" s="5">
        <v>0</v>
      </c>
      <c r="P14" s="5">
        <v>1</v>
      </c>
      <c r="Q14" s="5">
        <v>0</v>
      </c>
      <c r="R14" s="5">
        <v>1</v>
      </c>
      <c r="S14" s="5">
        <v>1</v>
      </c>
      <c r="T14" s="5">
        <v>1</v>
      </c>
      <c r="U14" s="5">
        <v>5</v>
      </c>
      <c r="V14" s="5">
        <v>2</v>
      </c>
      <c r="W14" s="5">
        <v>1</v>
      </c>
      <c r="X14" s="5">
        <v>1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</row>
    <row r="15" spans="1:29" x14ac:dyDescent="0.55000000000000004">
      <c r="A15" s="2" t="s">
        <v>30</v>
      </c>
      <c r="B15" s="3" t="s">
        <v>55</v>
      </c>
      <c r="C15" s="5">
        <v>305</v>
      </c>
      <c r="D15" s="5">
        <v>0</v>
      </c>
      <c r="E15" s="5">
        <v>72</v>
      </c>
      <c r="F15" s="5">
        <v>18</v>
      </c>
      <c r="G15" s="5">
        <v>3</v>
      </c>
      <c r="H15" s="5">
        <v>2</v>
      </c>
      <c r="I15" s="5">
        <v>0</v>
      </c>
      <c r="J15" s="5">
        <v>1</v>
      </c>
      <c r="K15" s="5">
        <v>4</v>
      </c>
      <c r="L15" s="5">
        <v>1</v>
      </c>
      <c r="M15" s="5">
        <v>13</v>
      </c>
      <c r="N15" s="5">
        <v>21</v>
      </c>
      <c r="O15" s="5">
        <v>4</v>
      </c>
      <c r="P15" s="5">
        <v>18</v>
      </c>
      <c r="Q15" s="5">
        <v>6</v>
      </c>
      <c r="R15" s="5">
        <v>1</v>
      </c>
      <c r="S15" s="5">
        <v>1</v>
      </c>
      <c r="T15" s="5">
        <v>0</v>
      </c>
      <c r="U15" s="5">
        <v>43</v>
      </c>
      <c r="V15" s="5">
        <v>5</v>
      </c>
      <c r="W15" s="5">
        <v>7</v>
      </c>
      <c r="X15" s="5">
        <v>4</v>
      </c>
      <c r="Y15" s="5">
        <v>35</v>
      </c>
      <c r="Z15" s="5">
        <v>12</v>
      </c>
      <c r="AA15" s="5">
        <v>30</v>
      </c>
      <c r="AB15" s="5">
        <v>0</v>
      </c>
      <c r="AC15" s="5">
        <v>4</v>
      </c>
    </row>
    <row r="16" spans="1:29" x14ac:dyDescent="0.55000000000000004">
      <c r="A16" s="2" t="s">
        <v>31</v>
      </c>
      <c r="B16" s="3" t="s">
        <v>55</v>
      </c>
      <c r="C16" s="5">
        <v>31</v>
      </c>
      <c r="D16" s="5">
        <v>0</v>
      </c>
      <c r="E16" s="5">
        <v>10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3</v>
      </c>
      <c r="N16" s="5">
        <v>0</v>
      </c>
      <c r="O16" s="5">
        <v>1</v>
      </c>
      <c r="P16" s="5">
        <v>2</v>
      </c>
      <c r="Q16" s="5">
        <v>0</v>
      </c>
      <c r="R16" s="5">
        <v>0</v>
      </c>
      <c r="S16" s="5">
        <v>0</v>
      </c>
      <c r="T16" s="5">
        <v>0</v>
      </c>
      <c r="U16" s="5">
        <v>6</v>
      </c>
      <c r="V16" s="5">
        <v>0</v>
      </c>
      <c r="W16" s="5">
        <v>1</v>
      </c>
      <c r="X16" s="5">
        <v>2</v>
      </c>
      <c r="Y16" s="5">
        <v>4</v>
      </c>
      <c r="Z16" s="5">
        <v>2</v>
      </c>
      <c r="AA16" s="5">
        <v>0</v>
      </c>
      <c r="AB16" s="5">
        <v>0</v>
      </c>
      <c r="AC16" s="5">
        <v>0</v>
      </c>
    </row>
    <row r="17" spans="1:29" x14ac:dyDescent="0.55000000000000004">
      <c r="A17" s="2" t="s">
        <v>32</v>
      </c>
      <c r="B17" s="3" t="s">
        <v>55</v>
      </c>
      <c r="C17" s="5">
        <v>1701</v>
      </c>
      <c r="D17" s="5">
        <v>207</v>
      </c>
      <c r="E17" s="5">
        <v>330</v>
      </c>
      <c r="F17" s="5">
        <v>110</v>
      </c>
      <c r="G17" s="5">
        <v>4</v>
      </c>
      <c r="H17" s="5">
        <v>61</v>
      </c>
      <c r="I17" s="5">
        <v>0</v>
      </c>
      <c r="J17" s="5">
        <v>34</v>
      </c>
      <c r="K17" s="5">
        <v>11</v>
      </c>
      <c r="L17" s="5">
        <v>31</v>
      </c>
      <c r="M17" s="5">
        <v>64</v>
      </c>
      <c r="N17" s="5">
        <v>108</v>
      </c>
      <c r="O17" s="5">
        <v>24</v>
      </c>
      <c r="P17" s="5">
        <v>96</v>
      </c>
      <c r="Q17" s="5">
        <v>6</v>
      </c>
      <c r="R17" s="5">
        <v>13</v>
      </c>
      <c r="S17" s="5">
        <v>5</v>
      </c>
      <c r="T17" s="5">
        <v>27</v>
      </c>
      <c r="U17" s="5">
        <v>116</v>
      </c>
      <c r="V17" s="5">
        <v>152</v>
      </c>
      <c r="W17" s="5">
        <v>62</v>
      </c>
      <c r="X17" s="5">
        <v>57</v>
      </c>
      <c r="Y17" s="5">
        <v>58</v>
      </c>
      <c r="Z17" s="5">
        <v>98</v>
      </c>
      <c r="AA17" s="5">
        <v>16</v>
      </c>
      <c r="AB17" s="5">
        <v>8</v>
      </c>
      <c r="AC17" s="5">
        <v>3</v>
      </c>
    </row>
    <row r="18" spans="1:29" x14ac:dyDescent="0.55000000000000004">
      <c r="A18" s="2" t="s">
        <v>33</v>
      </c>
      <c r="B18" s="3" t="s">
        <v>55</v>
      </c>
      <c r="C18" s="5">
        <v>1124</v>
      </c>
      <c r="D18" s="5">
        <v>342</v>
      </c>
      <c r="E18" s="5">
        <v>120</v>
      </c>
      <c r="F18" s="5">
        <v>172</v>
      </c>
      <c r="G18" s="5">
        <v>3</v>
      </c>
      <c r="H18" s="5">
        <v>30</v>
      </c>
      <c r="I18" s="5">
        <v>2</v>
      </c>
      <c r="J18" s="5">
        <v>12</v>
      </c>
      <c r="K18" s="5">
        <v>3</v>
      </c>
      <c r="L18" s="5">
        <v>37</v>
      </c>
      <c r="M18" s="5">
        <v>46</v>
      </c>
      <c r="N18" s="5">
        <v>36</v>
      </c>
      <c r="O18" s="5">
        <v>8</v>
      </c>
      <c r="P18" s="5">
        <v>19</v>
      </c>
      <c r="Q18" s="5">
        <v>2</v>
      </c>
      <c r="R18" s="5">
        <v>3</v>
      </c>
      <c r="S18" s="5">
        <v>2</v>
      </c>
      <c r="T18" s="5">
        <v>62</v>
      </c>
      <c r="U18" s="5">
        <v>63</v>
      </c>
      <c r="V18" s="5">
        <v>51</v>
      </c>
      <c r="W18" s="5">
        <v>64</v>
      </c>
      <c r="X18" s="5">
        <v>3</v>
      </c>
      <c r="Y18" s="5">
        <v>35</v>
      </c>
      <c r="Z18" s="5">
        <v>7</v>
      </c>
      <c r="AA18" s="5">
        <v>1</v>
      </c>
      <c r="AB18" s="5">
        <v>0</v>
      </c>
      <c r="AC18" s="5">
        <v>1</v>
      </c>
    </row>
    <row r="19" spans="1:29" x14ac:dyDescent="0.55000000000000004">
      <c r="A19" s="2" t="s">
        <v>34</v>
      </c>
      <c r="B19" s="3" t="s">
        <v>55</v>
      </c>
      <c r="C19" s="5">
        <v>1165</v>
      </c>
      <c r="D19" s="5">
        <v>114</v>
      </c>
      <c r="E19" s="5">
        <v>273</v>
      </c>
      <c r="F19" s="5">
        <v>54</v>
      </c>
      <c r="G19" s="5">
        <v>26</v>
      </c>
      <c r="H19" s="5">
        <v>92</v>
      </c>
      <c r="I19" s="5">
        <v>15</v>
      </c>
      <c r="J19" s="5">
        <v>15</v>
      </c>
      <c r="K19" s="5">
        <v>7</v>
      </c>
      <c r="L19" s="5">
        <v>17</v>
      </c>
      <c r="M19" s="5">
        <v>86</v>
      </c>
      <c r="N19" s="5">
        <v>36</v>
      </c>
      <c r="O19" s="5">
        <v>123</v>
      </c>
      <c r="P19" s="5">
        <v>36</v>
      </c>
      <c r="Q19" s="5">
        <v>47</v>
      </c>
      <c r="R19" s="5">
        <v>4</v>
      </c>
      <c r="S19" s="5">
        <v>0</v>
      </c>
      <c r="T19" s="5">
        <v>0</v>
      </c>
      <c r="U19" s="5">
        <v>33</v>
      </c>
      <c r="V19" s="5">
        <v>35</v>
      </c>
      <c r="W19" s="5">
        <v>23</v>
      </c>
      <c r="X19" s="5">
        <v>20</v>
      </c>
      <c r="Y19" s="5">
        <v>28</v>
      </c>
      <c r="Z19" s="5">
        <v>56</v>
      </c>
      <c r="AA19" s="5">
        <v>24</v>
      </c>
      <c r="AB19" s="5">
        <v>0</v>
      </c>
      <c r="AC19" s="5">
        <v>1</v>
      </c>
    </row>
    <row r="20" spans="1:29" x14ac:dyDescent="0.55000000000000004">
      <c r="A20" s="2" t="s">
        <v>35</v>
      </c>
      <c r="B20" s="3" t="s">
        <v>55</v>
      </c>
      <c r="C20" s="5">
        <v>147</v>
      </c>
      <c r="D20" s="5">
        <v>6</v>
      </c>
      <c r="E20" s="5">
        <v>24</v>
      </c>
      <c r="F20" s="5">
        <v>9</v>
      </c>
      <c r="G20" s="5">
        <v>0</v>
      </c>
      <c r="H20" s="5">
        <v>4</v>
      </c>
      <c r="I20" s="5">
        <v>0</v>
      </c>
      <c r="J20" s="5">
        <v>0</v>
      </c>
      <c r="K20" s="5">
        <v>0</v>
      </c>
      <c r="L20" s="5">
        <v>0</v>
      </c>
      <c r="M20" s="5">
        <v>4</v>
      </c>
      <c r="N20" s="5">
        <v>1</v>
      </c>
      <c r="O20" s="5">
        <v>2</v>
      </c>
      <c r="P20" s="5">
        <v>4</v>
      </c>
      <c r="Q20" s="5">
        <v>0</v>
      </c>
      <c r="R20" s="5">
        <v>2</v>
      </c>
      <c r="S20" s="5">
        <v>1</v>
      </c>
      <c r="T20" s="5">
        <v>1</v>
      </c>
      <c r="U20" s="5">
        <v>14</v>
      </c>
      <c r="V20" s="5">
        <v>0</v>
      </c>
      <c r="W20" s="5">
        <v>3</v>
      </c>
      <c r="X20" s="5">
        <v>5</v>
      </c>
      <c r="Y20" s="5">
        <v>31</v>
      </c>
      <c r="Z20" s="5">
        <v>4</v>
      </c>
      <c r="AA20" s="5">
        <v>8</v>
      </c>
      <c r="AB20" s="5">
        <v>21</v>
      </c>
      <c r="AC20" s="5">
        <v>3</v>
      </c>
    </row>
    <row r="21" spans="1:29" x14ac:dyDescent="0.55000000000000004">
      <c r="A21" s="2" t="s">
        <v>36</v>
      </c>
      <c r="B21" s="3" t="s">
        <v>55</v>
      </c>
      <c r="C21" s="5">
        <v>10</v>
      </c>
      <c r="D21" s="5">
        <v>0</v>
      </c>
      <c r="E21" s="5">
        <v>1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2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4</v>
      </c>
      <c r="V21" s="5">
        <v>0</v>
      </c>
      <c r="W21" s="5">
        <v>0</v>
      </c>
      <c r="X21" s="5">
        <v>0</v>
      </c>
      <c r="Y21" s="5">
        <v>3</v>
      </c>
      <c r="Z21" s="5">
        <v>0</v>
      </c>
      <c r="AA21" s="5">
        <v>0</v>
      </c>
      <c r="AB21" s="5">
        <v>0</v>
      </c>
      <c r="AC21" s="5">
        <v>0</v>
      </c>
    </row>
    <row r="22" spans="1:29" x14ac:dyDescent="0.55000000000000004">
      <c r="A22" s="2"/>
      <c r="B22" s="3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2"/>
      <c r="Z22" s="2"/>
      <c r="AA22" s="2"/>
      <c r="AB22" s="2"/>
      <c r="AC22" s="2"/>
    </row>
    <row r="23" spans="1:29" x14ac:dyDescent="0.55000000000000004">
      <c r="A23" s="1" t="s">
        <v>38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x14ac:dyDescent="0.55000000000000004">
      <c r="A24" s="1" t="s">
        <v>28</v>
      </c>
      <c r="B24" s="1" t="s">
        <v>40</v>
      </c>
      <c r="C24" s="4" t="s">
        <v>1</v>
      </c>
      <c r="D24" s="4" t="s">
        <v>2</v>
      </c>
      <c r="E24" s="4" t="s">
        <v>3</v>
      </c>
      <c r="F24" s="4" t="s">
        <v>4</v>
      </c>
      <c r="G24" s="4" t="s">
        <v>5</v>
      </c>
      <c r="H24" s="4" t="s">
        <v>6</v>
      </c>
      <c r="I24" s="4" t="s">
        <v>7</v>
      </c>
      <c r="J24" s="4" t="s">
        <v>8</v>
      </c>
      <c r="K24" s="4" t="s">
        <v>9</v>
      </c>
      <c r="L24" s="4" t="s">
        <v>10</v>
      </c>
      <c r="M24" s="4" t="s">
        <v>11</v>
      </c>
      <c r="N24" s="4" t="s">
        <v>12</v>
      </c>
      <c r="O24" s="4" t="s">
        <v>13</v>
      </c>
      <c r="P24" s="4" t="s">
        <v>14</v>
      </c>
      <c r="Q24" s="4" t="s">
        <v>15</v>
      </c>
      <c r="R24" s="4" t="s">
        <v>16</v>
      </c>
      <c r="S24" s="4" t="s">
        <v>17</v>
      </c>
      <c r="T24" s="4" t="s">
        <v>18</v>
      </c>
      <c r="U24" s="4" t="s">
        <v>19</v>
      </c>
      <c r="V24" s="4" t="s">
        <v>20</v>
      </c>
      <c r="W24" s="4" t="s">
        <v>21</v>
      </c>
      <c r="X24" s="4" t="s">
        <v>22</v>
      </c>
      <c r="Y24" s="4" t="s">
        <v>23</v>
      </c>
      <c r="Z24" s="4" t="s">
        <v>24</v>
      </c>
      <c r="AA24" s="4" t="s">
        <v>25</v>
      </c>
      <c r="AB24" s="4" t="s">
        <v>26</v>
      </c>
      <c r="AC24" s="4" t="s">
        <v>27</v>
      </c>
    </row>
    <row r="25" spans="1:29" x14ac:dyDescent="0.55000000000000004">
      <c r="A25" s="2" t="s">
        <v>44</v>
      </c>
      <c r="B25" s="3" t="s">
        <v>55</v>
      </c>
      <c r="C25" s="5">
        <v>5</v>
      </c>
      <c r="D25" s="5">
        <v>0</v>
      </c>
      <c r="E25" s="5">
        <v>0</v>
      </c>
      <c r="F25" s="5">
        <v>2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1</v>
      </c>
      <c r="S25" s="5">
        <v>0</v>
      </c>
      <c r="T25" s="5">
        <v>0</v>
      </c>
      <c r="U25" s="5">
        <v>1</v>
      </c>
      <c r="V25" s="5">
        <v>0</v>
      </c>
      <c r="W25" s="5">
        <v>1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</row>
    <row r="26" spans="1:29" x14ac:dyDescent="0.55000000000000004">
      <c r="A26" s="2" t="s">
        <v>30</v>
      </c>
      <c r="B26" s="3" t="s">
        <v>55</v>
      </c>
      <c r="C26" s="5">
        <v>23</v>
      </c>
      <c r="D26" s="5">
        <v>0</v>
      </c>
      <c r="E26" s="5">
        <v>5</v>
      </c>
      <c r="F26" s="5">
        <v>1</v>
      </c>
      <c r="G26" s="5">
        <v>0</v>
      </c>
      <c r="H26" s="5">
        <v>1</v>
      </c>
      <c r="I26" s="5">
        <v>0</v>
      </c>
      <c r="J26" s="5">
        <v>0</v>
      </c>
      <c r="K26" s="5">
        <v>0</v>
      </c>
      <c r="L26" s="5">
        <v>1</v>
      </c>
      <c r="M26" s="5">
        <v>1</v>
      </c>
      <c r="N26" s="5">
        <v>2</v>
      </c>
      <c r="O26" s="5">
        <v>0</v>
      </c>
      <c r="P26" s="5">
        <v>2</v>
      </c>
      <c r="Q26" s="5">
        <v>0</v>
      </c>
      <c r="R26" s="5">
        <v>0</v>
      </c>
      <c r="S26" s="5">
        <v>0</v>
      </c>
      <c r="T26" s="5">
        <v>0</v>
      </c>
      <c r="U26" s="5">
        <v>1</v>
      </c>
      <c r="V26" s="5">
        <v>1</v>
      </c>
      <c r="W26" s="5">
        <v>0</v>
      </c>
      <c r="X26" s="5">
        <v>1</v>
      </c>
      <c r="Y26" s="5">
        <v>3</v>
      </c>
      <c r="Z26" s="5">
        <v>3</v>
      </c>
      <c r="AA26" s="5">
        <v>1</v>
      </c>
      <c r="AB26" s="5">
        <v>0</v>
      </c>
      <c r="AC26" s="5">
        <v>0</v>
      </c>
    </row>
    <row r="27" spans="1:29" x14ac:dyDescent="0.55000000000000004">
      <c r="A27" s="2" t="s">
        <v>31</v>
      </c>
      <c r="B27" s="3" t="s">
        <v>55</v>
      </c>
      <c r="C27" s="5">
        <v>12</v>
      </c>
      <c r="D27" s="5">
        <v>0</v>
      </c>
      <c r="E27" s="5">
        <v>4</v>
      </c>
      <c r="F27" s="5">
        <v>1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1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2</v>
      </c>
      <c r="U27" s="5">
        <v>0</v>
      </c>
      <c r="V27" s="5">
        <v>0</v>
      </c>
      <c r="W27" s="5">
        <v>0</v>
      </c>
      <c r="X27" s="5">
        <v>0</v>
      </c>
      <c r="Y27" s="5">
        <v>1</v>
      </c>
      <c r="Z27" s="5">
        <v>0</v>
      </c>
      <c r="AA27" s="5">
        <v>0</v>
      </c>
      <c r="AB27" s="5">
        <v>0</v>
      </c>
      <c r="AC27" s="5">
        <v>3</v>
      </c>
    </row>
    <row r="28" spans="1:29" x14ac:dyDescent="0.55000000000000004">
      <c r="A28" s="2" t="s">
        <v>32</v>
      </c>
      <c r="B28" s="3" t="s">
        <v>55</v>
      </c>
      <c r="C28" s="5">
        <v>196</v>
      </c>
      <c r="D28" s="5">
        <v>31</v>
      </c>
      <c r="E28" s="5">
        <v>19</v>
      </c>
      <c r="F28" s="5">
        <v>9</v>
      </c>
      <c r="G28" s="5">
        <v>0</v>
      </c>
      <c r="H28" s="5">
        <v>4</v>
      </c>
      <c r="I28" s="5">
        <v>0</v>
      </c>
      <c r="J28" s="5">
        <v>1</v>
      </c>
      <c r="K28" s="5">
        <v>0</v>
      </c>
      <c r="L28" s="5">
        <v>1</v>
      </c>
      <c r="M28" s="5">
        <v>10</v>
      </c>
      <c r="N28" s="5">
        <v>17</v>
      </c>
      <c r="O28" s="5">
        <v>1</v>
      </c>
      <c r="P28" s="5">
        <v>7</v>
      </c>
      <c r="Q28" s="5">
        <v>1</v>
      </c>
      <c r="R28" s="5">
        <v>7</v>
      </c>
      <c r="S28" s="5">
        <v>1</v>
      </c>
      <c r="T28" s="5">
        <v>9</v>
      </c>
      <c r="U28" s="5">
        <v>8</v>
      </c>
      <c r="V28" s="5">
        <v>15</v>
      </c>
      <c r="W28" s="5">
        <v>18</v>
      </c>
      <c r="X28" s="5">
        <v>16</v>
      </c>
      <c r="Y28" s="5">
        <v>6</v>
      </c>
      <c r="Z28" s="5">
        <v>8</v>
      </c>
      <c r="AA28" s="5">
        <v>3</v>
      </c>
      <c r="AB28" s="5">
        <v>3</v>
      </c>
      <c r="AC28" s="5">
        <v>1</v>
      </c>
    </row>
    <row r="29" spans="1:29" x14ac:dyDescent="0.55000000000000004">
      <c r="A29" s="2" t="s">
        <v>33</v>
      </c>
      <c r="B29" s="3" t="s">
        <v>55</v>
      </c>
      <c r="C29" s="5">
        <v>68</v>
      </c>
      <c r="D29" s="5">
        <v>10</v>
      </c>
      <c r="E29" s="5">
        <v>2</v>
      </c>
      <c r="F29" s="5">
        <v>6</v>
      </c>
      <c r="G29" s="5">
        <v>1</v>
      </c>
      <c r="H29" s="5">
        <v>1</v>
      </c>
      <c r="I29" s="5">
        <v>0</v>
      </c>
      <c r="J29" s="5">
        <v>1</v>
      </c>
      <c r="K29" s="5">
        <v>0</v>
      </c>
      <c r="L29" s="5">
        <v>2</v>
      </c>
      <c r="M29" s="5">
        <v>4</v>
      </c>
      <c r="N29" s="5">
        <v>7</v>
      </c>
      <c r="O29" s="5">
        <v>0</v>
      </c>
      <c r="P29" s="5">
        <v>0</v>
      </c>
      <c r="Q29" s="5">
        <v>1</v>
      </c>
      <c r="R29" s="5">
        <v>2</v>
      </c>
      <c r="S29" s="5">
        <v>0</v>
      </c>
      <c r="T29" s="5">
        <v>9</v>
      </c>
      <c r="U29" s="5">
        <v>4</v>
      </c>
      <c r="V29" s="5">
        <v>5</v>
      </c>
      <c r="W29" s="5">
        <v>9</v>
      </c>
      <c r="X29" s="5">
        <v>0</v>
      </c>
      <c r="Y29" s="5">
        <v>0</v>
      </c>
      <c r="Z29" s="5">
        <v>3</v>
      </c>
      <c r="AA29" s="5">
        <v>0</v>
      </c>
      <c r="AB29" s="5">
        <v>1</v>
      </c>
      <c r="AC29" s="5">
        <v>0</v>
      </c>
    </row>
    <row r="30" spans="1:29" x14ac:dyDescent="0.55000000000000004">
      <c r="A30" s="2" t="s">
        <v>34</v>
      </c>
      <c r="B30" s="3" t="s">
        <v>55</v>
      </c>
      <c r="C30" s="5">
        <v>209</v>
      </c>
      <c r="D30" s="5">
        <v>18</v>
      </c>
      <c r="E30" s="5">
        <v>38</v>
      </c>
      <c r="F30" s="5">
        <v>20</v>
      </c>
      <c r="G30" s="5">
        <v>0</v>
      </c>
      <c r="H30" s="5">
        <v>16</v>
      </c>
      <c r="I30" s="5">
        <v>1</v>
      </c>
      <c r="J30" s="5">
        <v>1</v>
      </c>
      <c r="K30" s="5">
        <v>8</v>
      </c>
      <c r="L30" s="5">
        <v>6</v>
      </c>
      <c r="M30" s="5">
        <v>26</v>
      </c>
      <c r="N30" s="5">
        <v>6</v>
      </c>
      <c r="O30" s="5">
        <v>4</v>
      </c>
      <c r="P30" s="5">
        <v>4</v>
      </c>
      <c r="Q30" s="5">
        <v>13</v>
      </c>
      <c r="R30" s="5">
        <v>1</v>
      </c>
      <c r="S30" s="5">
        <v>0</v>
      </c>
      <c r="T30" s="5">
        <v>0</v>
      </c>
      <c r="U30" s="5">
        <v>9</v>
      </c>
      <c r="V30" s="5">
        <v>11</v>
      </c>
      <c r="W30" s="5">
        <v>8</v>
      </c>
      <c r="X30" s="5">
        <v>4</v>
      </c>
      <c r="Y30" s="5">
        <v>7</v>
      </c>
      <c r="Z30" s="5">
        <v>4</v>
      </c>
      <c r="AA30" s="5">
        <v>4</v>
      </c>
      <c r="AB30" s="5">
        <v>0</v>
      </c>
      <c r="AC30" s="5">
        <v>0</v>
      </c>
    </row>
    <row r="31" spans="1:29" x14ac:dyDescent="0.55000000000000004">
      <c r="A31" s="2" t="s">
        <v>35</v>
      </c>
      <c r="B31" s="3" t="s">
        <v>55</v>
      </c>
      <c r="C31" s="5">
        <v>12</v>
      </c>
      <c r="D31" s="5">
        <v>0</v>
      </c>
      <c r="E31" s="5">
        <v>2</v>
      </c>
      <c r="F31" s="5">
        <v>0</v>
      </c>
      <c r="G31" s="5">
        <v>0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</v>
      </c>
      <c r="Q31" s="5">
        <v>0</v>
      </c>
      <c r="R31" s="5">
        <v>0</v>
      </c>
      <c r="S31" s="5">
        <v>0</v>
      </c>
      <c r="T31" s="5">
        <v>0</v>
      </c>
      <c r="U31" s="5">
        <v>1</v>
      </c>
      <c r="V31" s="5">
        <v>0</v>
      </c>
      <c r="W31" s="5">
        <v>1</v>
      </c>
      <c r="X31" s="5">
        <v>0</v>
      </c>
      <c r="Y31" s="5">
        <v>1</v>
      </c>
      <c r="Z31" s="5">
        <v>1</v>
      </c>
      <c r="AA31" s="5">
        <v>1</v>
      </c>
      <c r="AB31" s="5">
        <v>1</v>
      </c>
      <c r="AC31" s="5">
        <v>2</v>
      </c>
    </row>
    <row r="32" spans="1:29" x14ac:dyDescent="0.55000000000000004">
      <c r="A32" s="2" t="s">
        <v>36</v>
      </c>
      <c r="B32" s="3" t="s">
        <v>55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</row>
    <row r="34" spans="1:29" x14ac:dyDescent="0.55000000000000004">
      <c r="A34" s="1" t="s">
        <v>37</v>
      </c>
      <c r="B34" s="1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spans="1:29" x14ac:dyDescent="0.55000000000000004">
      <c r="A35" s="1" t="s">
        <v>28</v>
      </c>
      <c r="B35" s="1" t="s">
        <v>41</v>
      </c>
      <c r="D35" s="4" t="s">
        <v>20</v>
      </c>
      <c r="E35" s="4" t="s">
        <v>17</v>
      </c>
      <c r="F35" s="4" t="s">
        <v>16</v>
      </c>
      <c r="G35" s="4" t="s">
        <v>3</v>
      </c>
      <c r="H35" s="4" t="s">
        <v>14</v>
      </c>
      <c r="I35" s="4" t="s">
        <v>13</v>
      </c>
      <c r="J35" s="4" t="s">
        <v>11</v>
      </c>
      <c r="K35" s="4" t="s">
        <v>26</v>
      </c>
      <c r="L35" s="4" t="s">
        <v>9</v>
      </c>
      <c r="M35" s="4" t="s">
        <v>19</v>
      </c>
      <c r="N35" s="4" t="s">
        <v>27</v>
      </c>
      <c r="O35" s="4" t="s">
        <v>4</v>
      </c>
      <c r="P35" s="4" t="s">
        <v>25</v>
      </c>
      <c r="Q35" s="4" t="s">
        <v>8</v>
      </c>
      <c r="R35" s="4" t="s">
        <v>7</v>
      </c>
      <c r="S35" s="4" t="s">
        <v>18</v>
      </c>
      <c r="T35" s="4" t="s">
        <v>15</v>
      </c>
      <c r="U35" s="4" t="s">
        <v>12</v>
      </c>
      <c r="V35" s="4" t="s">
        <v>6</v>
      </c>
      <c r="W35" s="4" t="s">
        <v>21</v>
      </c>
      <c r="X35" s="4" t="s">
        <v>22</v>
      </c>
      <c r="Y35" s="4" t="s">
        <v>5</v>
      </c>
      <c r="Z35" s="4" t="s">
        <v>23</v>
      </c>
      <c r="AA35" s="4" t="s">
        <v>24</v>
      </c>
      <c r="AB35" s="4" t="s">
        <v>10</v>
      </c>
      <c r="AC35" s="4" t="s">
        <v>2</v>
      </c>
    </row>
    <row r="36" spans="1:29" x14ac:dyDescent="0.55000000000000004">
      <c r="A36" s="2" t="s">
        <v>44</v>
      </c>
      <c r="B36">
        <v>2</v>
      </c>
      <c r="D36" s="5">
        <f>HLOOKUP(D$35,$D$2:$AC$10,$B36,FALSE)</f>
        <v>17</v>
      </c>
      <c r="E36" s="5">
        <f t="shared" ref="E36:AC43" si="0">HLOOKUP(E$35,$D$2:$AC$10,$B36,FALSE)</f>
        <v>0</v>
      </c>
      <c r="F36" s="5">
        <f t="shared" si="0"/>
        <v>9</v>
      </c>
      <c r="G36" s="5">
        <f t="shared" si="0"/>
        <v>0</v>
      </c>
      <c r="H36" s="5">
        <f t="shared" si="0"/>
        <v>7</v>
      </c>
      <c r="I36" s="5">
        <f t="shared" si="0"/>
        <v>0</v>
      </c>
      <c r="J36" s="5">
        <f t="shared" si="0"/>
        <v>11</v>
      </c>
      <c r="K36" s="5">
        <f t="shared" si="0"/>
        <v>0</v>
      </c>
      <c r="L36" s="5">
        <f t="shared" si="0"/>
        <v>6</v>
      </c>
      <c r="M36" s="5">
        <f t="shared" si="0"/>
        <v>20</v>
      </c>
      <c r="N36" s="5">
        <f t="shared" si="0"/>
        <v>3</v>
      </c>
      <c r="O36" s="5">
        <f t="shared" si="0"/>
        <v>3</v>
      </c>
      <c r="P36" s="5">
        <f t="shared" si="0"/>
        <v>0</v>
      </c>
      <c r="Q36" s="5">
        <f t="shared" si="0"/>
        <v>0</v>
      </c>
      <c r="R36" s="5">
        <f t="shared" si="0"/>
        <v>6</v>
      </c>
      <c r="S36" s="5">
        <f t="shared" si="0"/>
        <v>3</v>
      </c>
      <c r="T36" s="5">
        <f t="shared" si="0"/>
        <v>4</v>
      </c>
      <c r="U36" s="5">
        <f t="shared" si="0"/>
        <v>3</v>
      </c>
      <c r="V36" s="5">
        <f t="shared" si="0"/>
        <v>5</v>
      </c>
      <c r="W36" s="5">
        <f t="shared" si="0"/>
        <v>5</v>
      </c>
      <c r="X36" s="5">
        <f t="shared" si="0"/>
        <v>18</v>
      </c>
      <c r="Y36" s="5">
        <f t="shared" si="0"/>
        <v>4</v>
      </c>
      <c r="Z36" s="5">
        <f t="shared" si="0"/>
        <v>16</v>
      </c>
      <c r="AA36" s="5">
        <f t="shared" si="0"/>
        <v>8</v>
      </c>
      <c r="AB36" s="5">
        <f t="shared" si="0"/>
        <v>0</v>
      </c>
      <c r="AC36" s="5">
        <f t="shared" si="0"/>
        <v>0</v>
      </c>
    </row>
    <row r="37" spans="1:29" x14ac:dyDescent="0.55000000000000004">
      <c r="A37" s="2" t="s">
        <v>30</v>
      </c>
      <c r="B37">
        <v>3</v>
      </c>
      <c r="D37" s="5">
        <f t="shared" ref="D37:D42" si="1">HLOOKUP(D$35,$D$2:$AC$10,$B37,FALSE)</f>
        <v>15</v>
      </c>
      <c r="E37" s="5">
        <f t="shared" si="0"/>
        <v>0</v>
      </c>
      <c r="F37" s="5">
        <f t="shared" si="0"/>
        <v>7</v>
      </c>
      <c r="G37" s="5">
        <f t="shared" si="0"/>
        <v>186</v>
      </c>
      <c r="H37" s="5">
        <f t="shared" si="0"/>
        <v>29</v>
      </c>
      <c r="I37" s="5">
        <f t="shared" si="0"/>
        <v>5</v>
      </c>
      <c r="J37" s="5">
        <f t="shared" si="0"/>
        <v>24</v>
      </c>
      <c r="K37" s="5">
        <f t="shared" si="0"/>
        <v>0</v>
      </c>
      <c r="L37" s="5">
        <f t="shared" si="0"/>
        <v>5</v>
      </c>
      <c r="M37" s="5">
        <f t="shared" si="0"/>
        <v>32</v>
      </c>
      <c r="N37" s="5">
        <f t="shared" si="0"/>
        <v>11</v>
      </c>
      <c r="O37" s="5">
        <f t="shared" si="0"/>
        <v>15</v>
      </c>
      <c r="P37" s="5">
        <f t="shared" si="0"/>
        <v>28</v>
      </c>
      <c r="Q37" s="5">
        <f t="shared" si="0"/>
        <v>2</v>
      </c>
      <c r="R37" s="5">
        <f t="shared" si="0"/>
        <v>0</v>
      </c>
      <c r="S37" s="5">
        <f t="shared" si="0"/>
        <v>0</v>
      </c>
      <c r="T37" s="5">
        <f t="shared" si="0"/>
        <v>8</v>
      </c>
      <c r="U37" s="5">
        <f t="shared" si="0"/>
        <v>59</v>
      </c>
      <c r="V37" s="5">
        <f t="shared" si="0"/>
        <v>5</v>
      </c>
      <c r="W37" s="5">
        <f t="shared" si="0"/>
        <v>15</v>
      </c>
      <c r="X37" s="5">
        <f t="shared" si="0"/>
        <v>12</v>
      </c>
      <c r="Y37" s="5">
        <f t="shared" si="0"/>
        <v>4</v>
      </c>
      <c r="Z37" s="5">
        <f t="shared" si="0"/>
        <v>110</v>
      </c>
      <c r="AA37" s="5">
        <f t="shared" si="0"/>
        <v>28</v>
      </c>
      <c r="AB37" s="5">
        <f t="shared" si="0"/>
        <v>1</v>
      </c>
      <c r="AC37" s="5">
        <f t="shared" si="0"/>
        <v>0</v>
      </c>
    </row>
    <row r="38" spans="1:29" x14ac:dyDescent="0.55000000000000004">
      <c r="A38" s="2" t="s">
        <v>31</v>
      </c>
      <c r="B38">
        <v>4</v>
      </c>
      <c r="D38" s="5">
        <f t="shared" si="1"/>
        <v>0</v>
      </c>
      <c r="E38" s="5">
        <f t="shared" si="0"/>
        <v>0</v>
      </c>
      <c r="F38" s="5">
        <f t="shared" si="0"/>
        <v>0</v>
      </c>
      <c r="G38" s="5">
        <f t="shared" si="0"/>
        <v>1</v>
      </c>
      <c r="H38" s="5">
        <f t="shared" si="0"/>
        <v>0</v>
      </c>
      <c r="I38" s="5">
        <f t="shared" si="0"/>
        <v>0</v>
      </c>
      <c r="J38" s="5">
        <f t="shared" si="0"/>
        <v>0</v>
      </c>
      <c r="K38" s="5">
        <f t="shared" si="0"/>
        <v>0</v>
      </c>
      <c r="L38" s="5">
        <f t="shared" si="0"/>
        <v>0</v>
      </c>
      <c r="M38" s="5">
        <f t="shared" si="0"/>
        <v>1</v>
      </c>
      <c r="N38" s="5">
        <f t="shared" si="0"/>
        <v>0</v>
      </c>
      <c r="O38" s="5">
        <f t="shared" si="0"/>
        <v>0</v>
      </c>
      <c r="P38" s="5">
        <f t="shared" si="0"/>
        <v>0</v>
      </c>
      <c r="Q38" s="5">
        <f t="shared" si="0"/>
        <v>0</v>
      </c>
      <c r="R38" s="5">
        <f t="shared" si="0"/>
        <v>0</v>
      </c>
      <c r="S38" s="5">
        <f t="shared" si="0"/>
        <v>0</v>
      </c>
      <c r="T38" s="5">
        <f t="shared" si="0"/>
        <v>0</v>
      </c>
      <c r="U38" s="5">
        <f t="shared" si="0"/>
        <v>0</v>
      </c>
      <c r="V38" s="5">
        <f t="shared" si="0"/>
        <v>0</v>
      </c>
      <c r="W38" s="5">
        <f t="shared" si="0"/>
        <v>0</v>
      </c>
      <c r="X38" s="5">
        <f t="shared" si="0"/>
        <v>0</v>
      </c>
      <c r="Y38" s="5">
        <f t="shared" si="0"/>
        <v>0</v>
      </c>
      <c r="Z38" s="5">
        <f t="shared" si="0"/>
        <v>0</v>
      </c>
      <c r="AA38" s="5">
        <f t="shared" si="0"/>
        <v>0</v>
      </c>
      <c r="AB38" s="5">
        <f t="shared" si="0"/>
        <v>0</v>
      </c>
      <c r="AC38" s="5">
        <f t="shared" si="0"/>
        <v>0</v>
      </c>
    </row>
    <row r="39" spans="1:29" x14ac:dyDescent="0.55000000000000004">
      <c r="A39" s="2" t="s">
        <v>32</v>
      </c>
      <c r="B39">
        <v>5</v>
      </c>
      <c r="D39" s="5">
        <f t="shared" si="1"/>
        <v>1548</v>
      </c>
      <c r="E39" s="5">
        <f t="shared" si="0"/>
        <v>20</v>
      </c>
      <c r="F39" s="5">
        <f t="shared" si="0"/>
        <v>227</v>
      </c>
      <c r="G39" s="5">
        <f t="shared" si="0"/>
        <v>2200</v>
      </c>
      <c r="H39" s="5">
        <f t="shared" si="0"/>
        <v>1158</v>
      </c>
      <c r="I39" s="5">
        <f t="shared" si="0"/>
        <v>165</v>
      </c>
      <c r="J39" s="5">
        <f t="shared" si="0"/>
        <v>804</v>
      </c>
      <c r="K39" s="5">
        <f t="shared" si="0"/>
        <v>449</v>
      </c>
      <c r="L39" s="5">
        <f t="shared" si="0"/>
        <v>174</v>
      </c>
      <c r="M39" s="5">
        <f t="shared" si="0"/>
        <v>390</v>
      </c>
      <c r="N39" s="5">
        <f t="shared" si="0"/>
        <v>55</v>
      </c>
      <c r="O39" s="5">
        <f t="shared" si="0"/>
        <v>429</v>
      </c>
      <c r="P39" s="5">
        <f t="shared" si="0"/>
        <v>364</v>
      </c>
      <c r="Q39" s="5">
        <f t="shared" si="0"/>
        <v>27</v>
      </c>
      <c r="R39" s="5">
        <f t="shared" si="0"/>
        <v>10</v>
      </c>
      <c r="S39" s="5">
        <f t="shared" si="0"/>
        <v>1218</v>
      </c>
      <c r="T39" s="5">
        <f t="shared" si="0"/>
        <v>191</v>
      </c>
      <c r="U39" s="5">
        <f t="shared" si="0"/>
        <v>1194</v>
      </c>
      <c r="V39" s="5">
        <f t="shared" si="0"/>
        <v>243</v>
      </c>
      <c r="W39" s="5">
        <f t="shared" si="0"/>
        <v>839</v>
      </c>
      <c r="X39" s="5">
        <f t="shared" si="0"/>
        <v>983</v>
      </c>
      <c r="Y39" s="5">
        <f t="shared" si="0"/>
        <v>10</v>
      </c>
      <c r="Z39" s="5">
        <f t="shared" si="0"/>
        <v>867</v>
      </c>
      <c r="AA39" s="5">
        <f t="shared" si="0"/>
        <v>756</v>
      </c>
      <c r="AB39" s="5">
        <f t="shared" si="0"/>
        <v>85</v>
      </c>
      <c r="AC39" s="5">
        <f t="shared" si="0"/>
        <v>1479</v>
      </c>
    </row>
    <row r="40" spans="1:29" x14ac:dyDescent="0.55000000000000004">
      <c r="A40" s="2" t="s">
        <v>33</v>
      </c>
      <c r="B40">
        <v>6</v>
      </c>
      <c r="D40" s="5">
        <f t="shared" si="1"/>
        <v>250</v>
      </c>
      <c r="E40" s="5">
        <f t="shared" si="0"/>
        <v>15</v>
      </c>
      <c r="F40" s="5">
        <f t="shared" si="0"/>
        <v>41</v>
      </c>
      <c r="G40" s="5">
        <f t="shared" si="0"/>
        <v>371</v>
      </c>
      <c r="H40" s="5">
        <f t="shared" si="0"/>
        <v>83</v>
      </c>
      <c r="I40" s="5">
        <f t="shared" si="0"/>
        <v>110</v>
      </c>
      <c r="J40" s="5">
        <f t="shared" si="0"/>
        <v>263</v>
      </c>
      <c r="K40" s="5">
        <f t="shared" si="0"/>
        <v>9</v>
      </c>
      <c r="L40" s="5">
        <f t="shared" si="0"/>
        <v>9</v>
      </c>
      <c r="M40" s="5">
        <f t="shared" si="0"/>
        <v>113</v>
      </c>
      <c r="N40" s="5">
        <f t="shared" si="0"/>
        <v>4</v>
      </c>
      <c r="O40" s="5">
        <f t="shared" si="0"/>
        <v>329</v>
      </c>
      <c r="P40" s="5">
        <f t="shared" si="0"/>
        <v>13</v>
      </c>
      <c r="Q40" s="5">
        <f t="shared" si="0"/>
        <v>4</v>
      </c>
      <c r="R40" s="5">
        <f t="shared" si="0"/>
        <v>3</v>
      </c>
      <c r="S40" s="5">
        <f t="shared" si="0"/>
        <v>486</v>
      </c>
      <c r="T40" s="5">
        <f t="shared" si="0"/>
        <v>33</v>
      </c>
      <c r="U40" s="5">
        <f t="shared" si="0"/>
        <v>150</v>
      </c>
      <c r="V40" s="5">
        <f t="shared" si="0"/>
        <v>28</v>
      </c>
      <c r="W40" s="5">
        <f t="shared" si="0"/>
        <v>359</v>
      </c>
      <c r="X40" s="5">
        <f t="shared" si="0"/>
        <v>5</v>
      </c>
      <c r="Y40" s="5">
        <f t="shared" si="0"/>
        <v>3</v>
      </c>
      <c r="Z40" s="5">
        <f t="shared" si="0"/>
        <v>305</v>
      </c>
      <c r="AA40" s="5">
        <f t="shared" si="0"/>
        <v>23</v>
      </c>
      <c r="AB40" s="5">
        <f t="shared" si="0"/>
        <v>93</v>
      </c>
      <c r="AC40" s="5">
        <f t="shared" si="0"/>
        <v>979</v>
      </c>
    </row>
    <row r="41" spans="1:29" x14ac:dyDescent="0.55000000000000004">
      <c r="A41" s="2" t="s">
        <v>34</v>
      </c>
      <c r="B41">
        <v>7</v>
      </c>
      <c r="D41" s="5">
        <f t="shared" si="1"/>
        <v>36</v>
      </c>
      <c r="E41" s="5">
        <f t="shared" si="0"/>
        <v>0</v>
      </c>
      <c r="F41" s="5">
        <f t="shared" si="0"/>
        <v>17</v>
      </c>
      <c r="G41" s="5">
        <f t="shared" si="0"/>
        <v>272</v>
      </c>
      <c r="H41" s="5">
        <f t="shared" si="0"/>
        <v>19</v>
      </c>
      <c r="I41" s="5">
        <f t="shared" si="0"/>
        <v>57</v>
      </c>
      <c r="J41" s="5">
        <f t="shared" si="0"/>
        <v>95</v>
      </c>
      <c r="K41" s="5">
        <f t="shared" si="0"/>
        <v>0</v>
      </c>
      <c r="L41" s="5">
        <f t="shared" si="0"/>
        <v>19</v>
      </c>
      <c r="M41" s="5">
        <f t="shared" si="0"/>
        <v>11</v>
      </c>
      <c r="N41" s="5">
        <f t="shared" si="0"/>
        <v>2</v>
      </c>
      <c r="O41" s="5">
        <f t="shared" si="0"/>
        <v>31</v>
      </c>
      <c r="P41" s="5">
        <f t="shared" si="0"/>
        <v>15</v>
      </c>
      <c r="Q41" s="5">
        <f t="shared" si="0"/>
        <v>4</v>
      </c>
      <c r="R41" s="5">
        <f t="shared" si="0"/>
        <v>11</v>
      </c>
      <c r="S41" s="5">
        <f t="shared" si="0"/>
        <v>2</v>
      </c>
      <c r="T41" s="5">
        <f t="shared" si="0"/>
        <v>67</v>
      </c>
      <c r="U41" s="5">
        <f t="shared" si="0"/>
        <v>25</v>
      </c>
      <c r="V41" s="5">
        <f t="shared" si="0"/>
        <v>86</v>
      </c>
      <c r="W41" s="5">
        <f t="shared" si="0"/>
        <v>32</v>
      </c>
      <c r="X41" s="5">
        <f t="shared" si="0"/>
        <v>14</v>
      </c>
      <c r="Y41" s="5">
        <f t="shared" si="0"/>
        <v>8</v>
      </c>
      <c r="Z41" s="5">
        <f t="shared" si="0"/>
        <v>22</v>
      </c>
      <c r="AA41" s="5">
        <f t="shared" si="0"/>
        <v>10</v>
      </c>
      <c r="AB41" s="5">
        <f t="shared" si="0"/>
        <v>2</v>
      </c>
      <c r="AC41" s="5">
        <f t="shared" si="0"/>
        <v>127</v>
      </c>
    </row>
    <row r="42" spans="1:29" x14ac:dyDescent="0.55000000000000004">
      <c r="A42" s="2" t="s">
        <v>35</v>
      </c>
      <c r="B42">
        <v>8</v>
      </c>
      <c r="D42" s="5">
        <f t="shared" si="1"/>
        <v>11</v>
      </c>
      <c r="E42" s="5">
        <f t="shared" si="0"/>
        <v>1</v>
      </c>
      <c r="F42" s="5">
        <f t="shared" si="0"/>
        <v>6</v>
      </c>
      <c r="G42" s="5">
        <f t="shared" si="0"/>
        <v>48</v>
      </c>
      <c r="H42" s="5">
        <f t="shared" si="0"/>
        <v>14</v>
      </c>
      <c r="I42" s="5">
        <f t="shared" si="0"/>
        <v>3</v>
      </c>
      <c r="J42" s="5">
        <f t="shared" si="0"/>
        <v>14</v>
      </c>
      <c r="K42" s="5">
        <f t="shared" si="0"/>
        <v>12</v>
      </c>
      <c r="L42" s="5">
        <f t="shared" si="0"/>
        <v>2</v>
      </c>
      <c r="M42" s="5">
        <f t="shared" si="0"/>
        <v>28</v>
      </c>
      <c r="N42" s="5">
        <f t="shared" si="0"/>
        <v>11</v>
      </c>
      <c r="O42" s="5">
        <f t="shared" si="0"/>
        <v>15</v>
      </c>
      <c r="P42" s="5">
        <f t="shared" si="0"/>
        <v>21</v>
      </c>
      <c r="Q42" s="5">
        <f t="shared" si="0"/>
        <v>0</v>
      </c>
      <c r="R42" s="5">
        <f t="shared" si="0"/>
        <v>0</v>
      </c>
      <c r="S42" s="5">
        <f t="shared" si="0"/>
        <v>5</v>
      </c>
      <c r="T42" s="5">
        <f t="shared" si="0"/>
        <v>0</v>
      </c>
      <c r="U42" s="5">
        <f t="shared" si="0"/>
        <v>12</v>
      </c>
      <c r="V42" s="5">
        <f t="shared" si="0"/>
        <v>3</v>
      </c>
      <c r="W42" s="5">
        <f t="shared" si="0"/>
        <v>10</v>
      </c>
      <c r="X42" s="5">
        <f t="shared" si="0"/>
        <v>20</v>
      </c>
      <c r="Y42" s="5">
        <f t="shared" si="0"/>
        <v>2</v>
      </c>
      <c r="Z42" s="5">
        <f t="shared" si="0"/>
        <v>125</v>
      </c>
      <c r="AA42" s="5">
        <f t="shared" si="0"/>
        <v>14</v>
      </c>
      <c r="AB42" s="5">
        <f t="shared" si="0"/>
        <v>0</v>
      </c>
      <c r="AC42" s="5">
        <f t="shared" si="0"/>
        <v>7</v>
      </c>
    </row>
    <row r="43" spans="1:29" x14ac:dyDescent="0.55000000000000004">
      <c r="A43" s="2" t="s">
        <v>36</v>
      </c>
      <c r="B43">
        <v>9</v>
      </c>
      <c r="D43" s="5">
        <f>HLOOKUP(D$35,$D$2:$AC$10,$B43,FALSE)</f>
        <v>0</v>
      </c>
      <c r="E43" s="5">
        <f t="shared" si="0"/>
        <v>0</v>
      </c>
      <c r="F43" s="5">
        <f t="shared" si="0"/>
        <v>0</v>
      </c>
      <c r="G43" s="5">
        <f t="shared" si="0"/>
        <v>2</v>
      </c>
      <c r="H43" s="5">
        <f t="shared" si="0"/>
        <v>0</v>
      </c>
      <c r="I43" s="5">
        <f t="shared" si="0"/>
        <v>0</v>
      </c>
      <c r="J43" s="5">
        <f t="shared" si="0"/>
        <v>0</v>
      </c>
      <c r="K43" s="5">
        <f t="shared" si="0"/>
        <v>1</v>
      </c>
      <c r="L43" s="5">
        <f t="shared" si="0"/>
        <v>0</v>
      </c>
      <c r="M43" s="5">
        <f t="shared" si="0"/>
        <v>2</v>
      </c>
      <c r="N43" s="5">
        <f t="shared" si="0"/>
        <v>0</v>
      </c>
      <c r="O43" s="5">
        <f t="shared" si="0"/>
        <v>0</v>
      </c>
      <c r="P43" s="5">
        <f t="shared" si="0"/>
        <v>0</v>
      </c>
      <c r="Q43" s="5">
        <f t="shared" si="0"/>
        <v>0</v>
      </c>
      <c r="R43" s="5">
        <f t="shared" si="0"/>
        <v>0</v>
      </c>
      <c r="S43" s="5">
        <f t="shared" si="0"/>
        <v>0</v>
      </c>
      <c r="T43" s="5">
        <f t="shared" si="0"/>
        <v>0</v>
      </c>
      <c r="U43" s="5">
        <f t="shared" si="0"/>
        <v>0</v>
      </c>
      <c r="V43" s="5">
        <f t="shared" si="0"/>
        <v>0</v>
      </c>
      <c r="W43" s="5">
        <f t="shared" si="0"/>
        <v>4</v>
      </c>
      <c r="X43" s="5">
        <f t="shared" si="0"/>
        <v>0</v>
      </c>
      <c r="Y43" s="5">
        <f t="shared" si="0"/>
        <v>0</v>
      </c>
      <c r="Z43" s="5">
        <f t="shared" si="0"/>
        <v>1</v>
      </c>
      <c r="AA43" s="5">
        <f t="shared" si="0"/>
        <v>0</v>
      </c>
      <c r="AB43" s="5">
        <f t="shared" si="0"/>
        <v>0</v>
      </c>
      <c r="AC43" s="5">
        <f t="shared" si="0"/>
        <v>0</v>
      </c>
    </row>
    <row r="44" spans="1:29" x14ac:dyDescent="0.55000000000000004">
      <c r="A44" s="2"/>
    </row>
    <row r="45" spans="1:29" x14ac:dyDescent="0.55000000000000004">
      <c r="A45" s="1" t="s">
        <v>39</v>
      </c>
      <c r="B45" s="1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spans="1:29" x14ac:dyDescent="0.55000000000000004">
      <c r="A46" s="1" t="s">
        <v>28</v>
      </c>
      <c r="B46" s="1" t="s">
        <v>41</v>
      </c>
      <c r="D46" s="4" t="s">
        <v>20</v>
      </c>
      <c r="E46" s="4" t="s">
        <v>17</v>
      </c>
      <c r="F46" s="4" t="s">
        <v>16</v>
      </c>
      <c r="G46" s="4" t="s">
        <v>3</v>
      </c>
      <c r="H46" s="4" t="s">
        <v>14</v>
      </c>
      <c r="I46" s="4" t="s">
        <v>13</v>
      </c>
      <c r="J46" s="4" t="s">
        <v>11</v>
      </c>
      <c r="K46" s="4" t="s">
        <v>26</v>
      </c>
      <c r="L46" s="4" t="s">
        <v>9</v>
      </c>
      <c r="M46" s="4" t="s">
        <v>19</v>
      </c>
      <c r="N46" s="4" t="s">
        <v>27</v>
      </c>
      <c r="O46" s="4" t="s">
        <v>4</v>
      </c>
      <c r="P46" s="4" t="s">
        <v>25</v>
      </c>
      <c r="Q46" s="4" t="s">
        <v>8</v>
      </c>
      <c r="R46" s="4" t="s">
        <v>7</v>
      </c>
      <c r="S46" s="4" t="s">
        <v>18</v>
      </c>
      <c r="T46" s="4" t="s">
        <v>15</v>
      </c>
      <c r="U46" s="4" t="s">
        <v>12</v>
      </c>
      <c r="V46" s="4" t="s">
        <v>6</v>
      </c>
      <c r="W46" s="4" t="s">
        <v>21</v>
      </c>
      <c r="X46" s="4" t="s">
        <v>22</v>
      </c>
      <c r="Y46" s="4" t="s">
        <v>5</v>
      </c>
      <c r="Z46" s="4" t="s">
        <v>23</v>
      </c>
      <c r="AA46" s="4" t="s">
        <v>24</v>
      </c>
      <c r="AB46" s="4" t="s">
        <v>10</v>
      </c>
      <c r="AC46" s="4" t="s">
        <v>2</v>
      </c>
    </row>
    <row r="47" spans="1:29" x14ac:dyDescent="0.55000000000000004">
      <c r="A47" s="2" t="s">
        <v>44</v>
      </c>
      <c r="B47">
        <v>2</v>
      </c>
      <c r="D47" s="5">
        <f>HLOOKUP(D$46,$D$13:$AC$21,$B47,FALSE)</f>
        <v>2</v>
      </c>
      <c r="E47" s="5">
        <f t="shared" ref="E47:AC54" si="2">HLOOKUP(E$46,$D$13:$AC$21,$B47,FALSE)</f>
        <v>1</v>
      </c>
      <c r="F47" s="5">
        <f t="shared" si="2"/>
        <v>1</v>
      </c>
      <c r="G47" s="5">
        <f t="shared" si="2"/>
        <v>0</v>
      </c>
      <c r="H47" s="5">
        <f t="shared" si="2"/>
        <v>1</v>
      </c>
      <c r="I47" s="5">
        <f t="shared" si="2"/>
        <v>0</v>
      </c>
      <c r="J47" s="5">
        <f t="shared" si="2"/>
        <v>0</v>
      </c>
      <c r="K47" s="5">
        <f t="shared" si="2"/>
        <v>0</v>
      </c>
      <c r="L47" s="5">
        <f t="shared" si="2"/>
        <v>2</v>
      </c>
      <c r="M47" s="5">
        <f t="shared" si="2"/>
        <v>5</v>
      </c>
      <c r="N47" s="5">
        <f t="shared" si="2"/>
        <v>0</v>
      </c>
      <c r="O47" s="5">
        <f t="shared" si="2"/>
        <v>0</v>
      </c>
      <c r="P47" s="5">
        <f t="shared" si="2"/>
        <v>0</v>
      </c>
      <c r="Q47" s="5">
        <f t="shared" si="2"/>
        <v>0</v>
      </c>
      <c r="R47" s="5">
        <f t="shared" si="2"/>
        <v>0</v>
      </c>
      <c r="S47" s="5">
        <f t="shared" si="2"/>
        <v>1</v>
      </c>
      <c r="T47" s="5">
        <f t="shared" si="2"/>
        <v>0</v>
      </c>
      <c r="U47" s="5">
        <f t="shared" si="2"/>
        <v>1</v>
      </c>
      <c r="V47" s="5">
        <f t="shared" si="2"/>
        <v>2</v>
      </c>
      <c r="W47" s="5">
        <f t="shared" si="2"/>
        <v>1</v>
      </c>
      <c r="X47" s="5">
        <f t="shared" si="2"/>
        <v>1</v>
      </c>
      <c r="Y47" s="5">
        <f t="shared" si="2"/>
        <v>2</v>
      </c>
      <c r="Z47" s="5">
        <f t="shared" si="2"/>
        <v>0</v>
      </c>
      <c r="AA47" s="5">
        <f t="shared" si="2"/>
        <v>0</v>
      </c>
      <c r="AB47" s="5">
        <f t="shared" si="2"/>
        <v>0</v>
      </c>
      <c r="AC47" s="5">
        <f t="shared" si="2"/>
        <v>0</v>
      </c>
    </row>
    <row r="48" spans="1:29" x14ac:dyDescent="0.55000000000000004">
      <c r="A48" s="2" t="s">
        <v>30</v>
      </c>
      <c r="B48">
        <v>3</v>
      </c>
      <c r="D48" s="5">
        <f t="shared" ref="D48:S54" si="3">HLOOKUP(D$46,$D$13:$AC$21,$B48,FALSE)</f>
        <v>5</v>
      </c>
      <c r="E48" s="5">
        <f t="shared" si="3"/>
        <v>1</v>
      </c>
      <c r="F48" s="5">
        <f t="shared" si="3"/>
        <v>1</v>
      </c>
      <c r="G48" s="5">
        <f t="shared" si="3"/>
        <v>72</v>
      </c>
      <c r="H48" s="5">
        <f t="shared" si="3"/>
        <v>18</v>
      </c>
      <c r="I48" s="5">
        <f t="shared" si="3"/>
        <v>4</v>
      </c>
      <c r="J48" s="5">
        <f t="shared" si="3"/>
        <v>13</v>
      </c>
      <c r="K48" s="5">
        <f t="shared" si="3"/>
        <v>0</v>
      </c>
      <c r="L48" s="5">
        <f t="shared" si="3"/>
        <v>4</v>
      </c>
      <c r="M48" s="5">
        <f t="shared" si="3"/>
        <v>43</v>
      </c>
      <c r="N48" s="5">
        <f t="shared" si="3"/>
        <v>4</v>
      </c>
      <c r="O48" s="5">
        <f t="shared" si="3"/>
        <v>18</v>
      </c>
      <c r="P48" s="5">
        <f t="shared" si="3"/>
        <v>30</v>
      </c>
      <c r="Q48" s="5">
        <f t="shared" si="3"/>
        <v>1</v>
      </c>
      <c r="R48" s="5">
        <f t="shared" si="3"/>
        <v>0</v>
      </c>
      <c r="S48" s="5">
        <f t="shared" si="3"/>
        <v>0</v>
      </c>
      <c r="T48" s="5">
        <f t="shared" si="2"/>
        <v>6</v>
      </c>
      <c r="U48" s="5">
        <f t="shared" si="2"/>
        <v>21</v>
      </c>
      <c r="V48" s="5">
        <f t="shared" si="2"/>
        <v>2</v>
      </c>
      <c r="W48" s="5">
        <f t="shared" si="2"/>
        <v>7</v>
      </c>
      <c r="X48" s="5">
        <f t="shared" si="2"/>
        <v>4</v>
      </c>
      <c r="Y48" s="5">
        <f t="shared" si="2"/>
        <v>3</v>
      </c>
      <c r="Z48" s="5">
        <f t="shared" si="2"/>
        <v>35</v>
      </c>
      <c r="AA48" s="5">
        <f t="shared" si="2"/>
        <v>12</v>
      </c>
      <c r="AB48" s="5">
        <f t="shared" si="2"/>
        <v>1</v>
      </c>
      <c r="AC48" s="5">
        <f t="shared" si="2"/>
        <v>0</v>
      </c>
    </row>
    <row r="49" spans="1:29" x14ac:dyDescent="0.55000000000000004">
      <c r="A49" s="2" t="s">
        <v>31</v>
      </c>
      <c r="B49">
        <v>4</v>
      </c>
      <c r="D49" s="5">
        <f t="shared" si="3"/>
        <v>0</v>
      </c>
      <c r="E49" s="5">
        <f t="shared" si="2"/>
        <v>0</v>
      </c>
      <c r="F49" s="5">
        <f t="shared" si="2"/>
        <v>0</v>
      </c>
      <c r="G49" s="5">
        <f t="shared" si="2"/>
        <v>10</v>
      </c>
      <c r="H49" s="5">
        <f t="shared" si="2"/>
        <v>2</v>
      </c>
      <c r="I49" s="5">
        <f t="shared" si="2"/>
        <v>1</v>
      </c>
      <c r="J49" s="5">
        <f t="shared" si="2"/>
        <v>3</v>
      </c>
      <c r="K49" s="5">
        <f t="shared" si="2"/>
        <v>0</v>
      </c>
      <c r="L49" s="5">
        <f t="shared" si="2"/>
        <v>0</v>
      </c>
      <c r="M49" s="5">
        <f t="shared" si="2"/>
        <v>6</v>
      </c>
      <c r="N49" s="5">
        <f t="shared" si="2"/>
        <v>0</v>
      </c>
      <c r="O49" s="5">
        <f t="shared" si="2"/>
        <v>0</v>
      </c>
      <c r="P49" s="5">
        <f t="shared" si="2"/>
        <v>0</v>
      </c>
      <c r="Q49" s="5">
        <f t="shared" si="2"/>
        <v>0</v>
      </c>
      <c r="R49" s="5">
        <f t="shared" si="2"/>
        <v>0</v>
      </c>
      <c r="S49" s="5">
        <f t="shared" si="2"/>
        <v>0</v>
      </c>
      <c r="T49" s="5">
        <f t="shared" si="2"/>
        <v>0</v>
      </c>
      <c r="U49" s="5">
        <f t="shared" si="2"/>
        <v>0</v>
      </c>
      <c r="V49" s="5">
        <f t="shared" si="2"/>
        <v>0</v>
      </c>
      <c r="W49" s="5">
        <f t="shared" si="2"/>
        <v>1</v>
      </c>
      <c r="X49" s="5">
        <f t="shared" si="2"/>
        <v>2</v>
      </c>
      <c r="Y49" s="5">
        <f t="shared" si="2"/>
        <v>0</v>
      </c>
      <c r="Z49" s="5">
        <f t="shared" si="2"/>
        <v>4</v>
      </c>
      <c r="AA49" s="5">
        <f t="shared" si="2"/>
        <v>2</v>
      </c>
      <c r="AB49" s="5">
        <f t="shared" si="2"/>
        <v>0</v>
      </c>
      <c r="AC49" s="5">
        <f t="shared" si="2"/>
        <v>0</v>
      </c>
    </row>
    <row r="50" spans="1:29" x14ac:dyDescent="0.55000000000000004">
      <c r="A50" s="2" t="s">
        <v>32</v>
      </c>
      <c r="B50">
        <v>5</v>
      </c>
      <c r="D50" s="5">
        <f t="shared" si="3"/>
        <v>152</v>
      </c>
      <c r="E50" s="5">
        <f t="shared" si="2"/>
        <v>5</v>
      </c>
      <c r="F50" s="5">
        <f t="shared" si="2"/>
        <v>13</v>
      </c>
      <c r="G50" s="5">
        <f t="shared" si="2"/>
        <v>330</v>
      </c>
      <c r="H50" s="5">
        <f t="shared" si="2"/>
        <v>96</v>
      </c>
      <c r="I50" s="5">
        <f t="shared" si="2"/>
        <v>24</v>
      </c>
      <c r="J50" s="5">
        <f t="shared" si="2"/>
        <v>64</v>
      </c>
      <c r="K50" s="5">
        <f t="shared" si="2"/>
        <v>8</v>
      </c>
      <c r="L50" s="5">
        <f t="shared" si="2"/>
        <v>11</v>
      </c>
      <c r="M50" s="5">
        <f t="shared" si="2"/>
        <v>116</v>
      </c>
      <c r="N50" s="5">
        <f t="shared" si="2"/>
        <v>3</v>
      </c>
      <c r="O50" s="5">
        <f t="shared" si="2"/>
        <v>110</v>
      </c>
      <c r="P50" s="5">
        <f t="shared" si="2"/>
        <v>16</v>
      </c>
      <c r="Q50" s="5">
        <f t="shared" si="2"/>
        <v>34</v>
      </c>
      <c r="R50" s="5">
        <f t="shared" si="2"/>
        <v>0</v>
      </c>
      <c r="S50" s="5">
        <f t="shared" si="2"/>
        <v>27</v>
      </c>
      <c r="T50" s="5">
        <f t="shared" si="2"/>
        <v>6</v>
      </c>
      <c r="U50" s="5">
        <f t="shared" si="2"/>
        <v>108</v>
      </c>
      <c r="V50" s="5">
        <f t="shared" si="2"/>
        <v>61</v>
      </c>
      <c r="W50" s="5">
        <f t="shared" si="2"/>
        <v>62</v>
      </c>
      <c r="X50" s="5">
        <f t="shared" si="2"/>
        <v>57</v>
      </c>
      <c r="Y50" s="5">
        <f t="shared" si="2"/>
        <v>4</v>
      </c>
      <c r="Z50" s="5">
        <f t="shared" si="2"/>
        <v>58</v>
      </c>
      <c r="AA50" s="5">
        <f t="shared" si="2"/>
        <v>98</v>
      </c>
      <c r="AB50" s="5">
        <f t="shared" si="2"/>
        <v>31</v>
      </c>
      <c r="AC50" s="5">
        <f t="shared" si="2"/>
        <v>207</v>
      </c>
    </row>
    <row r="51" spans="1:29" x14ac:dyDescent="0.55000000000000004">
      <c r="A51" s="2" t="s">
        <v>33</v>
      </c>
      <c r="B51">
        <v>6</v>
      </c>
      <c r="D51" s="5">
        <f t="shared" si="3"/>
        <v>51</v>
      </c>
      <c r="E51" s="5">
        <f t="shared" si="2"/>
        <v>2</v>
      </c>
      <c r="F51" s="5">
        <f t="shared" si="2"/>
        <v>3</v>
      </c>
      <c r="G51" s="5">
        <f t="shared" si="2"/>
        <v>120</v>
      </c>
      <c r="H51" s="5">
        <f t="shared" si="2"/>
        <v>19</v>
      </c>
      <c r="I51" s="5">
        <f t="shared" si="2"/>
        <v>8</v>
      </c>
      <c r="J51" s="5">
        <f t="shared" si="2"/>
        <v>46</v>
      </c>
      <c r="K51" s="5">
        <f t="shared" si="2"/>
        <v>0</v>
      </c>
      <c r="L51" s="5">
        <f t="shared" si="2"/>
        <v>3</v>
      </c>
      <c r="M51" s="5">
        <f t="shared" si="2"/>
        <v>63</v>
      </c>
      <c r="N51" s="5">
        <f t="shared" si="2"/>
        <v>1</v>
      </c>
      <c r="O51" s="5">
        <f t="shared" si="2"/>
        <v>172</v>
      </c>
      <c r="P51" s="5">
        <f t="shared" si="2"/>
        <v>1</v>
      </c>
      <c r="Q51" s="5">
        <f t="shared" si="2"/>
        <v>12</v>
      </c>
      <c r="R51" s="5">
        <f t="shared" si="2"/>
        <v>2</v>
      </c>
      <c r="S51" s="5">
        <f t="shared" si="2"/>
        <v>62</v>
      </c>
      <c r="T51" s="5">
        <f t="shared" si="2"/>
        <v>2</v>
      </c>
      <c r="U51" s="5">
        <f t="shared" si="2"/>
        <v>36</v>
      </c>
      <c r="V51" s="5">
        <f t="shared" si="2"/>
        <v>30</v>
      </c>
      <c r="W51" s="5">
        <f t="shared" si="2"/>
        <v>64</v>
      </c>
      <c r="X51" s="5">
        <f t="shared" si="2"/>
        <v>3</v>
      </c>
      <c r="Y51" s="5">
        <f t="shared" si="2"/>
        <v>3</v>
      </c>
      <c r="Z51" s="5">
        <f t="shared" si="2"/>
        <v>35</v>
      </c>
      <c r="AA51" s="5">
        <f t="shared" si="2"/>
        <v>7</v>
      </c>
      <c r="AB51" s="5">
        <f t="shared" si="2"/>
        <v>37</v>
      </c>
      <c r="AC51" s="5">
        <f t="shared" si="2"/>
        <v>342</v>
      </c>
    </row>
    <row r="52" spans="1:29" x14ac:dyDescent="0.55000000000000004">
      <c r="A52" s="2" t="s">
        <v>34</v>
      </c>
      <c r="B52">
        <v>7</v>
      </c>
      <c r="D52" s="5">
        <f t="shared" si="3"/>
        <v>35</v>
      </c>
      <c r="E52" s="5">
        <f t="shared" si="2"/>
        <v>0</v>
      </c>
      <c r="F52" s="5">
        <f t="shared" si="2"/>
        <v>4</v>
      </c>
      <c r="G52" s="5">
        <f t="shared" si="2"/>
        <v>273</v>
      </c>
      <c r="H52" s="5">
        <f t="shared" si="2"/>
        <v>36</v>
      </c>
      <c r="I52" s="5">
        <f t="shared" si="2"/>
        <v>123</v>
      </c>
      <c r="J52" s="5">
        <f t="shared" si="2"/>
        <v>86</v>
      </c>
      <c r="K52" s="5">
        <f t="shared" si="2"/>
        <v>0</v>
      </c>
      <c r="L52" s="5">
        <f t="shared" si="2"/>
        <v>7</v>
      </c>
      <c r="M52" s="5">
        <f t="shared" si="2"/>
        <v>33</v>
      </c>
      <c r="N52" s="5">
        <f t="shared" si="2"/>
        <v>1</v>
      </c>
      <c r="O52" s="5">
        <f t="shared" si="2"/>
        <v>54</v>
      </c>
      <c r="P52" s="5">
        <f t="shared" si="2"/>
        <v>24</v>
      </c>
      <c r="Q52" s="5">
        <f t="shared" si="2"/>
        <v>15</v>
      </c>
      <c r="R52" s="5">
        <f t="shared" si="2"/>
        <v>15</v>
      </c>
      <c r="S52" s="5">
        <f t="shared" si="2"/>
        <v>0</v>
      </c>
      <c r="T52" s="5">
        <f t="shared" si="2"/>
        <v>47</v>
      </c>
      <c r="U52" s="5">
        <f t="shared" si="2"/>
        <v>36</v>
      </c>
      <c r="V52" s="5">
        <f t="shared" si="2"/>
        <v>92</v>
      </c>
      <c r="W52" s="5">
        <f t="shared" si="2"/>
        <v>23</v>
      </c>
      <c r="X52" s="5">
        <f t="shared" si="2"/>
        <v>20</v>
      </c>
      <c r="Y52" s="5">
        <f t="shared" si="2"/>
        <v>26</v>
      </c>
      <c r="Z52" s="5">
        <f t="shared" si="2"/>
        <v>28</v>
      </c>
      <c r="AA52" s="5">
        <f t="shared" si="2"/>
        <v>56</v>
      </c>
      <c r="AB52" s="5">
        <f t="shared" si="2"/>
        <v>17</v>
      </c>
      <c r="AC52" s="5">
        <f t="shared" si="2"/>
        <v>114</v>
      </c>
    </row>
    <row r="53" spans="1:29" x14ac:dyDescent="0.55000000000000004">
      <c r="A53" s="2" t="s">
        <v>35</v>
      </c>
      <c r="B53">
        <v>8</v>
      </c>
      <c r="D53" s="5">
        <f t="shared" si="3"/>
        <v>0</v>
      </c>
      <c r="E53" s="5">
        <f t="shared" si="2"/>
        <v>1</v>
      </c>
      <c r="F53" s="5">
        <f t="shared" si="2"/>
        <v>2</v>
      </c>
      <c r="G53" s="5">
        <f t="shared" si="2"/>
        <v>24</v>
      </c>
      <c r="H53" s="5">
        <f t="shared" si="2"/>
        <v>4</v>
      </c>
      <c r="I53" s="5">
        <f t="shared" si="2"/>
        <v>2</v>
      </c>
      <c r="J53" s="5">
        <f t="shared" si="2"/>
        <v>4</v>
      </c>
      <c r="K53" s="5">
        <f t="shared" si="2"/>
        <v>21</v>
      </c>
      <c r="L53" s="5">
        <f t="shared" si="2"/>
        <v>0</v>
      </c>
      <c r="M53" s="5">
        <f t="shared" si="2"/>
        <v>14</v>
      </c>
      <c r="N53" s="5">
        <f t="shared" si="2"/>
        <v>3</v>
      </c>
      <c r="O53" s="5">
        <f t="shared" si="2"/>
        <v>9</v>
      </c>
      <c r="P53" s="5">
        <f t="shared" si="2"/>
        <v>8</v>
      </c>
      <c r="Q53" s="5">
        <f t="shared" si="2"/>
        <v>0</v>
      </c>
      <c r="R53" s="5">
        <f t="shared" si="2"/>
        <v>0</v>
      </c>
      <c r="S53" s="5">
        <f t="shared" si="2"/>
        <v>1</v>
      </c>
      <c r="T53" s="5">
        <f t="shared" si="2"/>
        <v>0</v>
      </c>
      <c r="U53" s="5">
        <f t="shared" si="2"/>
        <v>1</v>
      </c>
      <c r="V53" s="5">
        <f t="shared" si="2"/>
        <v>4</v>
      </c>
      <c r="W53" s="5">
        <f t="shared" si="2"/>
        <v>3</v>
      </c>
      <c r="X53" s="5">
        <f t="shared" si="2"/>
        <v>5</v>
      </c>
      <c r="Y53" s="5">
        <f t="shared" si="2"/>
        <v>0</v>
      </c>
      <c r="Z53" s="5">
        <f t="shared" si="2"/>
        <v>31</v>
      </c>
      <c r="AA53" s="5">
        <f t="shared" si="2"/>
        <v>4</v>
      </c>
      <c r="AB53" s="5">
        <f t="shared" si="2"/>
        <v>0</v>
      </c>
      <c r="AC53" s="5">
        <f t="shared" si="2"/>
        <v>6</v>
      </c>
    </row>
    <row r="54" spans="1:29" x14ac:dyDescent="0.55000000000000004">
      <c r="A54" s="2" t="s">
        <v>36</v>
      </c>
      <c r="B54">
        <v>9</v>
      </c>
      <c r="D54" s="5">
        <f t="shared" si="3"/>
        <v>0</v>
      </c>
      <c r="E54" s="5">
        <f t="shared" si="2"/>
        <v>0</v>
      </c>
      <c r="F54" s="5">
        <f t="shared" si="2"/>
        <v>0</v>
      </c>
      <c r="G54" s="5">
        <f t="shared" si="2"/>
        <v>1</v>
      </c>
      <c r="H54" s="5">
        <f t="shared" si="2"/>
        <v>0</v>
      </c>
      <c r="I54" s="5">
        <f t="shared" si="2"/>
        <v>2</v>
      </c>
      <c r="J54" s="5">
        <f t="shared" si="2"/>
        <v>0</v>
      </c>
      <c r="K54" s="5">
        <f t="shared" si="2"/>
        <v>0</v>
      </c>
      <c r="L54" s="5">
        <f t="shared" si="2"/>
        <v>0</v>
      </c>
      <c r="M54" s="5">
        <f t="shared" si="2"/>
        <v>4</v>
      </c>
      <c r="N54" s="5">
        <f t="shared" si="2"/>
        <v>0</v>
      </c>
      <c r="O54" s="5">
        <f t="shared" si="2"/>
        <v>0</v>
      </c>
      <c r="P54" s="5">
        <f t="shared" si="2"/>
        <v>0</v>
      </c>
      <c r="Q54" s="5">
        <f t="shared" si="2"/>
        <v>0</v>
      </c>
      <c r="R54" s="5">
        <f t="shared" si="2"/>
        <v>0</v>
      </c>
      <c r="S54" s="5">
        <f t="shared" si="2"/>
        <v>0</v>
      </c>
      <c r="T54" s="5">
        <f t="shared" si="2"/>
        <v>0</v>
      </c>
      <c r="U54" s="5">
        <f t="shared" si="2"/>
        <v>0</v>
      </c>
      <c r="V54" s="5">
        <f t="shared" si="2"/>
        <v>0</v>
      </c>
      <c r="W54" s="5">
        <f t="shared" si="2"/>
        <v>0</v>
      </c>
      <c r="X54" s="5">
        <f t="shared" si="2"/>
        <v>0</v>
      </c>
      <c r="Y54" s="5">
        <f t="shared" si="2"/>
        <v>0</v>
      </c>
      <c r="Z54" s="5">
        <f t="shared" si="2"/>
        <v>3</v>
      </c>
      <c r="AA54" s="5">
        <f t="shared" si="2"/>
        <v>0</v>
      </c>
      <c r="AB54" s="5">
        <f t="shared" si="2"/>
        <v>0</v>
      </c>
      <c r="AC54" s="5">
        <f t="shared" si="2"/>
        <v>0</v>
      </c>
    </row>
    <row r="55" spans="1:29" x14ac:dyDescent="0.55000000000000004">
      <c r="A55" s="2"/>
    </row>
    <row r="56" spans="1:29" x14ac:dyDescent="0.55000000000000004">
      <c r="A56" s="1" t="s">
        <v>38</v>
      </c>
      <c r="B56" s="1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spans="1:29" x14ac:dyDescent="0.55000000000000004">
      <c r="A57" s="1" t="s">
        <v>28</v>
      </c>
      <c r="B57" s="1" t="s">
        <v>41</v>
      </c>
      <c r="D57" s="4" t="s">
        <v>20</v>
      </c>
      <c r="E57" s="4" t="s">
        <v>17</v>
      </c>
      <c r="F57" s="4" t="s">
        <v>16</v>
      </c>
      <c r="G57" s="4" t="s">
        <v>3</v>
      </c>
      <c r="H57" s="4" t="s">
        <v>14</v>
      </c>
      <c r="I57" s="4" t="s">
        <v>13</v>
      </c>
      <c r="J57" s="4" t="s">
        <v>11</v>
      </c>
      <c r="K57" s="4" t="s">
        <v>26</v>
      </c>
      <c r="L57" s="4" t="s">
        <v>9</v>
      </c>
      <c r="M57" s="4" t="s">
        <v>19</v>
      </c>
      <c r="N57" s="4" t="s">
        <v>27</v>
      </c>
      <c r="O57" s="4" t="s">
        <v>4</v>
      </c>
      <c r="P57" s="4" t="s">
        <v>25</v>
      </c>
      <c r="Q57" s="4" t="s">
        <v>8</v>
      </c>
      <c r="R57" s="4" t="s">
        <v>7</v>
      </c>
      <c r="S57" s="4" t="s">
        <v>18</v>
      </c>
      <c r="T57" s="4" t="s">
        <v>15</v>
      </c>
      <c r="U57" s="4" t="s">
        <v>12</v>
      </c>
      <c r="V57" s="4" t="s">
        <v>6</v>
      </c>
      <c r="W57" s="4" t="s">
        <v>21</v>
      </c>
      <c r="X57" s="4" t="s">
        <v>22</v>
      </c>
      <c r="Y57" s="4" t="s">
        <v>5</v>
      </c>
      <c r="Z57" s="4" t="s">
        <v>23</v>
      </c>
      <c r="AA57" s="4" t="s">
        <v>24</v>
      </c>
      <c r="AB57" s="4" t="s">
        <v>10</v>
      </c>
      <c r="AC57" s="4" t="s">
        <v>2</v>
      </c>
    </row>
    <row r="58" spans="1:29" x14ac:dyDescent="0.55000000000000004">
      <c r="A58" s="2" t="s">
        <v>44</v>
      </c>
      <c r="B58">
        <v>2</v>
      </c>
      <c r="D58" s="5">
        <f>HLOOKUP(D$57,$D$24:$AC$32,$B58,FALSE)</f>
        <v>0</v>
      </c>
      <c r="E58" s="5">
        <f t="shared" ref="E58:AC65" si="4">HLOOKUP(E$57,$D$24:$AC$32,$B58,FALSE)</f>
        <v>0</v>
      </c>
      <c r="F58" s="5">
        <f t="shared" si="4"/>
        <v>1</v>
      </c>
      <c r="G58" s="5">
        <f t="shared" si="4"/>
        <v>0</v>
      </c>
      <c r="H58" s="5">
        <f t="shared" si="4"/>
        <v>0</v>
      </c>
      <c r="I58" s="5">
        <f t="shared" si="4"/>
        <v>0</v>
      </c>
      <c r="J58" s="5">
        <f t="shared" si="4"/>
        <v>0</v>
      </c>
      <c r="K58" s="5">
        <f t="shared" si="4"/>
        <v>0</v>
      </c>
      <c r="L58" s="5">
        <f t="shared" si="4"/>
        <v>0</v>
      </c>
      <c r="M58" s="5">
        <f t="shared" si="4"/>
        <v>1</v>
      </c>
      <c r="N58" s="5">
        <f t="shared" si="4"/>
        <v>0</v>
      </c>
      <c r="O58" s="5">
        <f t="shared" si="4"/>
        <v>2</v>
      </c>
      <c r="P58" s="5">
        <f t="shared" si="4"/>
        <v>0</v>
      </c>
      <c r="Q58" s="5">
        <f t="shared" si="4"/>
        <v>0</v>
      </c>
      <c r="R58" s="5">
        <f t="shared" si="4"/>
        <v>0</v>
      </c>
      <c r="S58" s="5">
        <f t="shared" si="4"/>
        <v>0</v>
      </c>
      <c r="T58" s="5">
        <f t="shared" si="4"/>
        <v>0</v>
      </c>
      <c r="U58" s="5">
        <f t="shared" si="4"/>
        <v>0</v>
      </c>
      <c r="V58" s="5">
        <f t="shared" si="4"/>
        <v>0</v>
      </c>
      <c r="W58" s="5">
        <f t="shared" si="4"/>
        <v>1</v>
      </c>
      <c r="X58" s="5">
        <f t="shared" si="4"/>
        <v>0</v>
      </c>
      <c r="Y58" s="5">
        <f t="shared" si="4"/>
        <v>0</v>
      </c>
      <c r="Z58" s="5">
        <f t="shared" si="4"/>
        <v>0</v>
      </c>
      <c r="AA58" s="5">
        <f t="shared" si="4"/>
        <v>0</v>
      </c>
      <c r="AB58" s="5">
        <f t="shared" si="4"/>
        <v>0</v>
      </c>
      <c r="AC58" s="5">
        <f t="shared" si="4"/>
        <v>0</v>
      </c>
    </row>
    <row r="59" spans="1:29" x14ac:dyDescent="0.55000000000000004">
      <c r="A59" s="2" t="s">
        <v>30</v>
      </c>
      <c r="B59">
        <v>3</v>
      </c>
      <c r="D59" s="5">
        <f t="shared" ref="D59:S65" si="5">HLOOKUP(D$57,$D$24:$AC$32,$B59,FALSE)</f>
        <v>1</v>
      </c>
      <c r="E59" s="5">
        <f t="shared" si="5"/>
        <v>0</v>
      </c>
      <c r="F59" s="5">
        <f t="shared" si="5"/>
        <v>0</v>
      </c>
      <c r="G59" s="5">
        <f t="shared" si="5"/>
        <v>5</v>
      </c>
      <c r="H59" s="5">
        <f t="shared" si="5"/>
        <v>2</v>
      </c>
      <c r="I59" s="5">
        <f t="shared" si="5"/>
        <v>0</v>
      </c>
      <c r="J59" s="5">
        <f t="shared" si="5"/>
        <v>1</v>
      </c>
      <c r="K59" s="5">
        <f t="shared" si="5"/>
        <v>0</v>
      </c>
      <c r="L59" s="5">
        <f t="shared" si="5"/>
        <v>0</v>
      </c>
      <c r="M59" s="5">
        <f t="shared" si="5"/>
        <v>1</v>
      </c>
      <c r="N59" s="5">
        <f t="shared" si="5"/>
        <v>0</v>
      </c>
      <c r="O59" s="5">
        <f t="shared" si="5"/>
        <v>1</v>
      </c>
      <c r="P59" s="5">
        <f t="shared" si="5"/>
        <v>1</v>
      </c>
      <c r="Q59" s="5">
        <f t="shared" si="5"/>
        <v>0</v>
      </c>
      <c r="R59" s="5">
        <f t="shared" si="5"/>
        <v>0</v>
      </c>
      <c r="S59" s="5">
        <f t="shared" si="5"/>
        <v>0</v>
      </c>
      <c r="T59" s="5">
        <f t="shared" si="4"/>
        <v>0</v>
      </c>
      <c r="U59" s="5">
        <f t="shared" si="4"/>
        <v>2</v>
      </c>
      <c r="V59" s="5">
        <f t="shared" si="4"/>
        <v>1</v>
      </c>
      <c r="W59" s="5">
        <f t="shared" si="4"/>
        <v>0</v>
      </c>
      <c r="X59" s="5">
        <f t="shared" si="4"/>
        <v>1</v>
      </c>
      <c r="Y59" s="5">
        <f t="shared" si="4"/>
        <v>0</v>
      </c>
      <c r="Z59" s="5">
        <f t="shared" si="4"/>
        <v>3</v>
      </c>
      <c r="AA59" s="5">
        <f t="shared" si="4"/>
        <v>3</v>
      </c>
      <c r="AB59" s="5">
        <f t="shared" si="4"/>
        <v>1</v>
      </c>
      <c r="AC59" s="5">
        <f t="shared" si="4"/>
        <v>0</v>
      </c>
    </row>
    <row r="60" spans="1:29" x14ac:dyDescent="0.55000000000000004">
      <c r="A60" s="2" t="s">
        <v>31</v>
      </c>
      <c r="B60">
        <v>4</v>
      </c>
      <c r="D60" s="5">
        <f t="shared" si="5"/>
        <v>0</v>
      </c>
      <c r="E60" s="5">
        <f t="shared" si="4"/>
        <v>0</v>
      </c>
      <c r="F60" s="5">
        <f t="shared" si="4"/>
        <v>0</v>
      </c>
      <c r="G60" s="5">
        <f t="shared" si="4"/>
        <v>4</v>
      </c>
      <c r="H60" s="5">
        <f t="shared" si="4"/>
        <v>0</v>
      </c>
      <c r="I60" s="5">
        <f t="shared" si="4"/>
        <v>0</v>
      </c>
      <c r="J60" s="5">
        <f t="shared" si="4"/>
        <v>0</v>
      </c>
      <c r="K60" s="5">
        <f t="shared" si="4"/>
        <v>0</v>
      </c>
      <c r="L60" s="5">
        <f t="shared" si="4"/>
        <v>0</v>
      </c>
      <c r="M60" s="5">
        <f t="shared" si="4"/>
        <v>0</v>
      </c>
      <c r="N60" s="5">
        <f t="shared" si="4"/>
        <v>3</v>
      </c>
      <c r="O60" s="5">
        <f t="shared" si="4"/>
        <v>1</v>
      </c>
      <c r="P60" s="5">
        <f t="shared" si="4"/>
        <v>0</v>
      </c>
      <c r="Q60" s="5">
        <f t="shared" si="4"/>
        <v>0</v>
      </c>
      <c r="R60" s="5">
        <f t="shared" si="4"/>
        <v>0</v>
      </c>
      <c r="S60" s="5">
        <f t="shared" si="4"/>
        <v>2</v>
      </c>
      <c r="T60" s="5">
        <f t="shared" si="4"/>
        <v>0</v>
      </c>
      <c r="U60" s="5">
        <f t="shared" si="4"/>
        <v>1</v>
      </c>
      <c r="V60" s="5">
        <f t="shared" si="4"/>
        <v>0</v>
      </c>
      <c r="W60" s="5">
        <f t="shared" si="4"/>
        <v>0</v>
      </c>
      <c r="X60" s="5">
        <f t="shared" si="4"/>
        <v>0</v>
      </c>
      <c r="Y60" s="5">
        <f t="shared" si="4"/>
        <v>0</v>
      </c>
      <c r="Z60" s="5">
        <f t="shared" si="4"/>
        <v>1</v>
      </c>
      <c r="AA60" s="5">
        <f t="shared" si="4"/>
        <v>0</v>
      </c>
      <c r="AB60" s="5">
        <f t="shared" si="4"/>
        <v>0</v>
      </c>
      <c r="AC60" s="5">
        <f t="shared" si="4"/>
        <v>0</v>
      </c>
    </row>
    <row r="61" spans="1:29" x14ac:dyDescent="0.55000000000000004">
      <c r="A61" s="2" t="s">
        <v>32</v>
      </c>
      <c r="B61">
        <v>5</v>
      </c>
      <c r="D61" s="5">
        <f t="shared" si="5"/>
        <v>15</v>
      </c>
      <c r="E61" s="5">
        <f t="shared" si="4"/>
        <v>1</v>
      </c>
      <c r="F61" s="5">
        <f t="shared" si="4"/>
        <v>7</v>
      </c>
      <c r="G61" s="5">
        <f t="shared" si="4"/>
        <v>19</v>
      </c>
      <c r="H61" s="5">
        <f t="shared" si="4"/>
        <v>7</v>
      </c>
      <c r="I61" s="5">
        <f t="shared" si="4"/>
        <v>1</v>
      </c>
      <c r="J61" s="5">
        <f t="shared" si="4"/>
        <v>10</v>
      </c>
      <c r="K61" s="5">
        <f t="shared" si="4"/>
        <v>3</v>
      </c>
      <c r="L61" s="5">
        <f t="shared" si="4"/>
        <v>0</v>
      </c>
      <c r="M61" s="5">
        <f t="shared" si="4"/>
        <v>8</v>
      </c>
      <c r="N61" s="5">
        <f t="shared" si="4"/>
        <v>1</v>
      </c>
      <c r="O61" s="5">
        <f t="shared" si="4"/>
        <v>9</v>
      </c>
      <c r="P61" s="5">
        <f t="shared" si="4"/>
        <v>3</v>
      </c>
      <c r="Q61" s="5">
        <f t="shared" si="4"/>
        <v>1</v>
      </c>
      <c r="R61" s="5">
        <f t="shared" si="4"/>
        <v>0</v>
      </c>
      <c r="S61" s="5">
        <f t="shared" si="4"/>
        <v>9</v>
      </c>
      <c r="T61" s="5">
        <f t="shared" si="4"/>
        <v>1</v>
      </c>
      <c r="U61" s="5">
        <f t="shared" si="4"/>
        <v>17</v>
      </c>
      <c r="V61" s="5">
        <f t="shared" si="4"/>
        <v>4</v>
      </c>
      <c r="W61" s="5">
        <f t="shared" si="4"/>
        <v>18</v>
      </c>
      <c r="X61" s="5">
        <f t="shared" si="4"/>
        <v>16</v>
      </c>
      <c r="Y61" s="5">
        <f t="shared" si="4"/>
        <v>0</v>
      </c>
      <c r="Z61" s="5">
        <f t="shared" si="4"/>
        <v>6</v>
      </c>
      <c r="AA61" s="5">
        <f t="shared" si="4"/>
        <v>8</v>
      </c>
      <c r="AB61" s="5">
        <f t="shared" si="4"/>
        <v>1</v>
      </c>
      <c r="AC61" s="5">
        <f t="shared" si="4"/>
        <v>31</v>
      </c>
    </row>
    <row r="62" spans="1:29" x14ac:dyDescent="0.55000000000000004">
      <c r="A62" s="2" t="s">
        <v>33</v>
      </c>
      <c r="B62">
        <v>6</v>
      </c>
      <c r="D62" s="5">
        <f t="shared" si="5"/>
        <v>5</v>
      </c>
      <c r="E62" s="5">
        <f t="shared" si="4"/>
        <v>0</v>
      </c>
      <c r="F62" s="5">
        <f t="shared" si="4"/>
        <v>2</v>
      </c>
      <c r="G62" s="5">
        <f t="shared" si="4"/>
        <v>2</v>
      </c>
      <c r="H62" s="5">
        <f t="shared" si="4"/>
        <v>0</v>
      </c>
      <c r="I62" s="5">
        <f t="shared" si="4"/>
        <v>0</v>
      </c>
      <c r="J62" s="5">
        <f t="shared" si="4"/>
        <v>4</v>
      </c>
      <c r="K62" s="5">
        <f t="shared" si="4"/>
        <v>1</v>
      </c>
      <c r="L62" s="5">
        <f t="shared" si="4"/>
        <v>0</v>
      </c>
      <c r="M62" s="5">
        <f t="shared" si="4"/>
        <v>4</v>
      </c>
      <c r="N62" s="5">
        <f t="shared" si="4"/>
        <v>0</v>
      </c>
      <c r="O62" s="5">
        <f t="shared" si="4"/>
        <v>6</v>
      </c>
      <c r="P62" s="5">
        <f t="shared" si="4"/>
        <v>0</v>
      </c>
      <c r="Q62" s="5">
        <f t="shared" si="4"/>
        <v>1</v>
      </c>
      <c r="R62" s="5">
        <f t="shared" si="4"/>
        <v>0</v>
      </c>
      <c r="S62" s="5">
        <f t="shared" si="4"/>
        <v>9</v>
      </c>
      <c r="T62" s="5">
        <f>HLOOKUP(T$57,$D$24:$AC$32,$B62,FALSE)</f>
        <v>1</v>
      </c>
      <c r="U62" s="5">
        <f t="shared" si="4"/>
        <v>7</v>
      </c>
      <c r="V62" s="5">
        <f t="shared" si="4"/>
        <v>1</v>
      </c>
      <c r="W62" s="5">
        <f t="shared" si="4"/>
        <v>9</v>
      </c>
      <c r="X62" s="5">
        <f t="shared" si="4"/>
        <v>0</v>
      </c>
      <c r="Y62" s="5">
        <f t="shared" si="4"/>
        <v>1</v>
      </c>
      <c r="Z62" s="5">
        <f t="shared" si="4"/>
        <v>0</v>
      </c>
      <c r="AA62" s="5">
        <f t="shared" si="4"/>
        <v>3</v>
      </c>
      <c r="AB62" s="5">
        <f t="shared" si="4"/>
        <v>2</v>
      </c>
      <c r="AC62" s="5">
        <f t="shared" si="4"/>
        <v>10</v>
      </c>
    </row>
    <row r="63" spans="1:29" x14ac:dyDescent="0.55000000000000004">
      <c r="A63" s="2" t="s">
        <v>34</v>
      </c>
      <c r="B63">
        <v>7</v>
      </c>
      <c r="D63" s="5">
        <f t="shared" si="5"/>
        <v>11</v>
      </c>
      <c r="E63" s="5">
        <f t="shared" si="4"/>
        <v>0</v>
      </c>
      <c r="F63" s="5">
        <f t="shared" si="4"/>
        <v>1</v>
      </c>
      <c r="G63" s="5">
        <f t="shared" si="4"/>
        <v>38</v>
      </c>
      <c r="H63" s="5">
        <f t="shared" si="4"/>
        <v>4</v>
      </c>
      <c r="I63" s="5">
        <f t="shared" si="4"/>
        <v>4</v>
      </c>
      <c r="J63" s="5">
        <f t="shared" si="4"/>
        <v>26</v>
      </c>
      <c r="K63" s="5">
        <f t="shared" si="4"/>
        <v>0</v>
      </c>
      <c r="L63" s="5">
        <f t="shared" si="4"/>
        <v>8</v>
      </c>
      <c r="M63" s="5">
        <f t="shared" si="4"/>
        <v>9</v>
      </c>
      <c r="N63" s="5">
        <f t="shared" si="4"/>
        <v>0</v>
      </c>
      <c r="O63" s="5">
        <f t="shared" si="4"/>
        <v>20</v>
      </c>
      <c r="P63" s="5">
        <f t="shared" si="4"/>
        <v>4</v>
      </c>
      <c r="Q63" s="5">
        <f t="shared" si="4"/>
        <v>1</v>
      </c>
      <c r="R63" s="5">
        <f t="shared" si="4"/>
        <v>1</v>
      </c>
      <c r="S63" s="5">
        <f t="shared" si="4"/>
        <v>0</v>
      </c>
      <c r="T63" s="5">
        <f t="shared" si="4"/>
        <v>13</v>
      </c>
      <c r="U63" s="5">
        <f t="shared" si="4"/>
        <v>6</v>
      </c>
      <c r="V63" s="5">
        <f t="shared" si="4"/>
        <v>16</v>
      </c>
      <c r="W63" s="5">
        <f t="shared" si="4"/>
        <v>8</v>
      </c>
      <c r="X63" s="5">
        <f t="shared" si="4"/>
        <v>4</v>
      </c>
      <c r="Y63" s="5">
        <f t="shared" si="4"/>
        <v>0</v>
      </c>
      <c r="Z63" s="5">
        <f t="shared" si="4"/>
        <v>7</v>
      </c>
      <c r="AA63" s="5">
        <f t="shared" si="4"/>
        <v>4</v>
      </c>
      <c r="AB63" s="5">
        <f t="shared" si="4"/>
        <v>6</v>
      </c>
      <c r="AC63" s="5">
        <f t="shared" si="4"/>
        <v>18</v>
      </c>
    </row>
    <row r="64" spans="1:29" x14ac:dyDescent="0.55000000000000004">
      <c r="A64" s="2" t="s">
        <v>35</v>
      </c>
      <c r="B64">
        <v>8</v>
      </c>
      <c r="D64" s="5">
        <f t="shared" si="5"/>
        <v>0</v>
      </c>
      <c r="E64" s="5">
        <f t="shared" si="4"/>
        <v>0</v>
      </c>
      <c r="F64" s="5">
        <f t="shared" si="4"/>
        <v>0</v>
      </c>
      <c r="G64" s="5">
        <f t="shared" si="4"/>
        <v>2</v>
      </c>
      <c r="H64" s="5">
        <f t="shared" si="4"/>
        <v>1</v>
      </c>
      <c r="I64" s="5">
        <f t="shared" si="4"/>
        <v>0</v>
      </c>
      <c r="J64" s="5">
        <f t="shared" si="4"/>
        <v>0</v>
      </c>
      <c r="K64" s="5">
        <f t="shared" si="4"/>
        <v>1</v>
      </c>
      <c r="L64" s="5">
        <f t="shared" si="4"/>
        <v>0</v>
      </c>
      <c r="M64" s="5">
        <f t="shared" si="4"/>
        <v>1</v>
      </c>
      <c r="N64" s="5">
        <f t="shared" si="4"/>
        <v>2</v>
      </c>
      <c r="O64" s="5">
        <f t="shared" si="4"/>
        <v>0</v>
      </c>
      <c r="P64" s="5">
        <f t="shared" si="4"/>
        <v>1</v>
      </c>
      <c r="Q64" s="5">
        <f t="shared" si="4"/>
        <v>0</v>
      </c>
      <c r="R64" s="5">
        <f t="shared" si="4"/>
        <v>0</v>
      </c>
      <c r="S64" s="5">
        <f t="shared" si="4"/>
        <v>0</v>
      </c>
      <c r="T64" s="5">
        <f t="shared" si="4"/>
        <v>0</v>
      </c>
      <c r="U64" s="5">
        <f t="shared" si="4"/>
        <v>0</v>
      </c>
      <c r="V64" s="5">
        <f t="shared" si="4"/>
        <v>1</v>
      </c>
      <c r="W64" s="5">
        <f t="shared" si="4"/>
        <v>1</v>
      </c>
      <c r="X64" s="5">
        <f t="shared" si="4"/>
        <v>0</v>
      </c>
      <c r="Y64" s="5">
        <f t="shared" si="4"/>
        <v>0</v>
      </c>
      <c r="Z64" s="5">
        <f t="shared" si="4"/>
        <v>1</v>
      </c>
      <c r="AA64" s="5">
        <f t="shared" si="4"/>
        <v>1</v>
      </c>
      <c r="AB64" s="5">
        <f t="shared" si="4"/>
        <v>0</v>
      </c>
      <c r="AC64" s="5">
        <f t="shared" si="4"/>
        <v>0</v>
      </c>
    </row>
    <row r="65" spans="1:29" x14ac:dyDescent="0.55000000000000004">
      <c r="A65" s="2" t="s">
        <v>36</v>
      </c>
      <c r="B65">
        <v>9</v>
      </c>
      <c r="D65" s="5">
        <f t="shared" si="5"/>
        <v>0</v>
      </c>
      <c r="E65" s="5">
        <f t="shared" si="4"/>
        <v>0</v>
      </c>
      <c r="F65" s="5">
        <f t="shared" si="4"/>
        <v>0</v>
      </c>
      <c r="G65" s="5">
        <f t="shared" si="4"/>
        <v>0</v>
      </c>
      <c r="H65" s="5">
        <f t="shared" si="4"/>
        <v>0</v>
      </c>
      <c r="I65" s="5">
        <f t="shared" si="4"/>
        <v>0</v>
      </c>
      <c r="J65" s="5">
        <f t="shared" si="4"/>
        <v>0</v>
      </c>
      <c r="K65" s="5">
        <f t="shared" si="4"/>
        <v>0</v>
      </c>
      <c r="L65" s="5">
        <f t="shared" si="4"/>
        <v>0</v>
      </c>
      <c r="M65" s="5">
        <f t="shared" si="4"/>
        <v>0</v>
      </c>
      <c r="N65" s="5">
        <f t="shared" si="4"/>
        <v>0</v>
      </c>
      <c r="O65" s="5">
        <f t="shared" si="4"/>
        <v>0</v>
      </c>
      <c r="P65" s="5">
        <f t="shared" si="4"/>
        <v>0</v>
      </c>
      <c r="Q65" s="5">
        <f t="shared" si="4"/>
        <v>0</v>
      </c>
      <c r="R65" s="5">
        <f t="shared" si="4"/>
        <v>0</v>
      </c>
      <c r="S65" s="5">
        <f t="shared" si="4"/>
        <v>0</v>
      </c>
      <c r="T65" s="5">
        <f t="shared" si="4"/>
        <v>0</v>
      </c>
      <c r="U65" s="5">
        <f t="shared" si="4"/>
        <v>0</v>
      </c>
      <c r="V65" s="5">
        <f t="shared" si="4"/>
        <v>0</v>
      </c>
      <c r="W65" s="5">
        <f t="shared" si="4"/>
        <v>0</v>
      </c>
      <c r="X65" s="5">
        <f t="shared" si="4"/>
        <v>0</v>
      </c>
      <c r="Y65" s="5">
        <f t="shared" si="4"/>
        <v>0</v>
      </c>
      <c r="Z65" s="5">
        <f t="shared" si="4"/>
        <v>0</v>
      </c>
      <c r="AA65" s="5">
        <f t="shared" si="4"/>
        <v>0</v>
      </c>
      <c r="AB65" s="5">
        <f t="shared" si="4"/>
        <v>0</v>
      </c>
      <c r="AC65" s="5">
        <f t="shared" si="4"/>
        <v>0</v>
      </c>
    </row>
    <row r="67" spans="1:29" x14ac:dyDescent="0.55000000000000004">
      <c r="C67" t="s">
        <v>56</v>
      </c>
      <c r="D67" s="5">
        <f>SUM(D39:D40)</f>
        <v>1798</v>
      </c>
      <c r="E67" s="5">
        <f t="shared" ref="E67:AC67" si="6">SUM(E39:E40)</f>
        <v>35</v>
      </c>
      <c r="F67" s="5">
        <f t="shared" si="6"/>
        <v>268</v>
      </c>
      <c r="G67" s="5">
        <f t="shared" si="6"/>
        <v>2571</v>
      </c>
      <c r="H67" s="5">
        <f t="shared" si="6"/>
        <v>1241</v>
      </c>
      <c r="I67" s="5">
        <f t="shared" si="6"/>
        <v>275</v>
      </c>
      <c r="J67" s="5">
        <f t="shared" si="6"/>
        <v>1067</v>
      </c>
      <c r="K67" s="5">
        <f t="shared" si="6"/>
        <v>458</v>
      </c>
      <c r="L67" s="5">
        <f t="shared" si="6"/>
        <v>183</v>
      </c>
      <c r="M67" s="5">
        <f t="shared" si="6"/>
        <v>503</v>
      </c>
      <c r="N67" s="5">
        <f t="shared" si="6"/>
        <v>59</v>
      </c>
      <c r="O67" s="5">
        <f t="shared" si="6"/>
        <v>758</v>
      </c>
      <c r="P67" s="5">
        <f t="shared" si="6"/>
        <v>377</v>
      </c>
      <c r="Q67" s="5">
        <f t="shared" si="6"/>
        <v>31</v>
      </c>
      <c r="R67" s="5">
        <f t="shared" si="6"/>
        <v>13</v>
      </c>
      <c r="S67" s="5">
        <f t="shared" si="6"/>
        <v>1704</v>
      </c>
      <c r="T67" s="5">
        <f t="shared" si="6"/>
        <v>224</v>
      </c>
      <c r="U67" s="5">
        <f t="shared" si="6"/>
        <v>1344</v>
      </c>
      <c r="V67" s="5">
        <f t="shared" si="6"/>
        <v>271</v>
      </c>
      <c r="W67" s="5">
        <f t="shared" si="6"/>
        <v>1198</v>
      </c>
      <c r="X67" s="5">
        <f t="shared" si="6"/>
        <v>988</v>
      </c>
      <c r="Y67" s="5">
        <f t="shared" si="6"/>
        <v>13</v>
      </c>
      <c r="Z67" s="5">
        <f t="shared" si="6"/>
        <v>1172</v>
      </c>
      <c r="AA67" s="5">
        <f t="shared" si="6"/>
        <v>779</v>
      </c>
      <c r="AB67" s="5">
        <f t="shared" si="6"/>
        <v>178</v>
      </c>
      <c r="AC67" s="5">
        <f t="shared" si="6"/>
        <v>2458</v>
      </c>
    </row>
    <row r="68" spans="1:29" x14ac:dyDescent="0.55000000000000004">
      <c r="C68" t="s">
        <v>58</v>
      </c>
      <c r="D68" s="5">
        <f>SUM(D50:D51)</f>
        <v>203</v>
      </c>
      <c r="E68" s="5">
        <f t="shared" ref="E68:AC68" si="7">SUM(E50:E51)</f>
        <v>7</v>
      </c>
      <c r="F68" s="5">
        <f t="shared" si="7"/>
        <v>16</v>
      </c>
      <c r="G68" s="5">
        <f t="shared" si="7"/>
        <v>450</v>
      </c>
      <c r="H68" s="5">
        <f t="shared" si="7"/>
        <v>115</v>
      </c>
      <c r="I68" s="5">
        <f t="shared" si="7"/>
        <v>32</v>
      </c>
      <c r="J68" s="5">
        <f t="shared" si="7"/>
        <v>110</v>
      </c>
      <c r="K68" s="5">
        <f t="shared" si="7"/>
        <v>8</v>
      </c>
      <c r="L68" s="5">
        <f t="shared" si="7"/>
        <v>14</v>
      </c>
      <c r="M68" s="5">
        <f t="shared" si="7"/>
        <v>179</v>
      </c>
      <c r="N68" s="5">
        <f t="shared" si="7"/>
        <v>4</v>
      </c>
      <c r="O68" s="5">
        <f t="shared" si="7"/>
        <v>282</v>
      </c>
      <c r="P68" s="5">
        <f t="shared" si="7"/>
        <v>17</v>
      </c>
      <c r="Q68" s="5">
        <f t="shared" si="7"/>
        <v>46</v>
      </c>
      <c r="R68" s="5">
        <f t="shared" si="7"/>
        <v>2</v>
      </c>
      <c r="S68" s="5">
        <f t="shared" si="7"/>
        <v>89</v>
      </c>
      <c r="T68" s="5">
        <f t="shared" si="7"/>
        <v>8</v>
      </c>
      <c r="U68" s="5">
        <f t="shared" si="7"/>
        <v>144</v>
      </c>
      <c r="V68" s="5">
        <f t="shared" si="7"/>
        <v>91</v>
      </c>
      <c r="W68" s="5">
        <f t="shared" si="7"/>
        <v>126</v>
      </c>
      <c r="X68" s="5">
        <f t="shared" si="7"/>
        <v>60</v>
      </c>
      <c r="Y68" s="5">
        <f t="shared" si="7"/>
        <v>7</v>
      </c>
      <c r="Z68" s="5">
        <f t="shared" si="7"/>
        <v>93</v>
      </c>
      <c r="AA68" s="5">
        <f t="shared" si="7"/>
        <v>105</v>
      </c>
      <c r="AB68" s="5">
        <f t="shared" si="7"/>
        <v>68</v>
      </c>
      <c r="AC68" s="5">
        <f t="shared" si="7"/>
        <v>549</v>
      </c>
    </row>
    <row r="69" spans="1:29" x14ac:dyDescent="0.55000000000000004">
      <c r="C69" t="s">
        <v>57</v>
      </c>
      <c r="D69" s="5">
        <f>SUM(D61:D62)</f>
        <v>20</v>
      </c>
      <c r="E69" s="5">
        <f t="shared" ref="E69:AC69" si="8">SUM(E61:E62)</f>
        <v>1</v>
      </c>
      <c r="F69" s="5">
        <f t="shared" si="8"/>
        <v>9</v>
      </c>
      <c r="G69" s="5">
        <f t="shared" si="8"/>
        <v>21</v>
      </c>
      <c r="H69" s="5">
        <f t="shared" si="8"/>
        <v>7</v>
      </c>
      <c r="I69" s="5">
        <f t="shared" si="8"/>
        <v>1</v>
      </c>
      <c r="J69" s="5">
        <f t="shared" si="8"/>
        <v>14</v>
      </c>
      <c r="K69" s="5">
        <f t="shared" si="8"/>
        <v>4</v>
      </c>
      <c r="L69" s="5">
        <f t="shared" si="8"/>
        <v>0</v>
      </c>
      <c r="M69" s="5">
        <f t="shared" si="8"/>
        <v>12</v>
      </c>
      <c r="N69" s="5">
        <f t="shared" si="8"/>
        <v>1</v>
      </c>
      <c r="O69" s="5">
        <f t="shared" si="8"/>
        <v>15</v>
      </c>
      <c r="P69" s="5">
        <f t="shared" si="8"/>
        <v>3</v>
      </c>
      <c r="Q69" s="5">
        <f t="shared" si="8"/>
        <v>2</v>
      </c>
      <c r="R69" s="5">
        <f t="shared" si="8"/>
        <v>0</v>
      </c>
      <c r="S69" s="5">
        <f t="shared" si="8"/>
        <v>18</v>
      </c>
      <c r="T69" s="5">
        <f t="shared" si="8"/>
        <v>2</v>
      </c>
      <c r="U69" s="5">
        <f t="shared" si="8"/>
        <v>24</v>
      </c>
      <c r="V69" s="5">
        <f t="shared" si="8"/>
        <v>5</v>
      </c>
      <c r="W69" s="5">
        <f t="shared" si="8"/>
        <v>27</v>
      </c>
      <c r="X69" s="5">
        <f t="shared" si="8"/>
        <v>16</v>
      </c>
      <c r="Y69" s="5">
        <f t="shared" si="8"/>
        <v>1</v>
      </c>
      <c r="Z69" s="5">
        <f t="shared" si="8"/>
        <v>6</v>
      </c>
      <c r="AA69" s="5">
        <f t="shared" si="8"/>
        <v>11</v>
      </c>
      <c r="AB69" s="5">
        <f t="shared" si="8"/>
        <v>3</v>
      </c>
      <c r="AC69" s="5">
        <f t="shared" si="8"/>
        <v>41</v>
      </c>
    </row>
    <row r="70" spans="1:29" x14ac:dyDescent="0.55000000000000004"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 spans="1:29" x14ac:dyDescent="0.55000000000000004">
      <c r="C71" t="s">
        <v>43</v>
      </c>
      <c r="D71" s="5">
        <f>SUM(D36:D43,D47:D54,D58:D65)</f>
        <v>2154</v>
      </c>
      <c r="E71" s="5">
        <f t="shared" ref="E71:AC71" si="9">SUM(E36:E43,E47:E54,E58:E65)</f>
        <v>47</v>
      </c>
      <c r="F71" s="5">
        <f t="shared" si="9"/>
        <v>342</v>
      </c>
      <c r="G71" s="5">
        <f t="shared" si="9"/>
        <v>3980</v>
      </c>
      <c r="H71" s="5">
        <f t="shared" si="9"/>
        <v>1500</v>
      </c>
      <c r="I71" s="5">
        <f t="shared" si="9"/>
        <v>509</v>
      </c>
      <c r="J71" s="5">
        <f t="shared" si="9"/>
        <v>1468</v>
      </c>
      <c r="K71" s="5">
        <f t="shared" si="9"/>
        <v>505</v>
      </c>
      <c r="L71" s="5">
        <f t="shared" si="9"/>
        <v>250</v>
      </c>
      <c r="M71" s="5">
        <f t="shared" si="9"/>
        <v>905</v>
      </c>
      <c r="N71" s="5">
        <f t="shared" si="9"/>
        <v>104</v>
      </c>
      <c r="O71" s="5">
        <f t="shared" si="9"/>
        <v>1224</v>
      </c>
      <c r="P71" s="5">
        <f t="shared" si="9"/>
        <v>529</v>
      </c>
      <c r="Q71" s="5">
        <f t="shared" si="9"/>
        <v>102</v>
      </c>
      <c r="R71" s="5">
        <f t="shared" si="9"/>
        <v>48</v>
      </c>
      <c r="S71" s="5">
        <f t="shared" si="9"/>
        <v>1825</v>
      </c>
      <c r="T71" s="5">
        <f t="shared" si="9"/>
        <v>379</v>
      </c>
      <c r="U71" s="5">
        <f t="shared" si="9"/>
        <v>1679</v>
      </c>
      <c r="V71" s="5">
        <f t="shared" si="9"/>
        <v>584</v>
      </c>
      <c r="W71" s="5">
        <f t="shared" si="9"/>
        <v>1462</v>
      </c>
      <c r="X71" s="5">
        <f t="shared" si="9"/>
        <v>1165</v>
      </c>
      <c r="Y71" s="5">
        <f t="shared" si="9"/>
        <v>70</v>
      </c>
      <c r="Z71" s="5">
        <f t="shared" si="9"/>
        <v>1658</v>
      </c>
      <c r="AA71" s="5">
        <f t="shared" si="9"/>
        <v>1037</v>
      </c>
      <c r="AB71" s="5">
        <f t="shared" si="9"/>
        <v>277</v>
      </c>
      <c r="AC71" s="5">
        <f t="shared" si="9"/>
        <v>3320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12"/>
  <sheetViews>
    <sheetView topLeftCell="A46" zoomScaleNormal="100" workbookViewId="0">
      <selection activeCell="C71" sqref="C71:AC73"/>
    </sheetView>
  </sheetViews>
  <sheetFormatPr defaultRowHeight="14.4" x14ac:dyDescent="0.55000000000000004"/>
  <cols>
    <col min="1" max="1" width="34.41796875" bestFit="1" customWidth="1"/>
    <col min="2" max="2" width="4.7890625" bestFit="1" customWidth="1"/>
  </cols>
  <sheetData>
    <row r="1" spans="1:29" x14ac:dyDescent="0.55000000000000004">
      <c r="A1" s="1" t="s">
        <v>37</v>
      </c>
      <c r="B1" s="2"/>
    </row>
    <row r="2" spans="1:29" x14ac:dyDescent="0.55000000000000004">
      <c r="A2" s="1" t="s">
        <v>28</v>
      </c>
      <c r="B2" s="1" t="s">
        <v>40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11</v>
      </c>
      <c r="N2" s="4" t="s">
        <v>12</v>
      </c>
      <c r="O2" s="4" t="s">
        <v>13</v>
      </c>
      <c r="P2" s="4" t="s">
        <v>14</v>
      </c>
      <c r="Q2" s="4" t="s">
        <v>15</v>
      </c>
      <c r="R2" s="4" t="s">
        <v>16</v>
      </c>
      <c r="S2" s="4" t="s">
        <v>17</v>
      </c>
      <c r="T2" s="4" t="s">
        <v>18</v>
      </c>
      <c r="U2" s="4" t="s">
        <v>19</v>
      </c>
      <c r="V2" s="4" t="s">
        <v>20</v>
      </c>
      <c r="W2" s="4" t="s">
        <v>21</v>
      </c>
      <c r="X2" s="4" t="s">
        <v>22</v>
      </c>
      <c r="Y2" s="4" t="s">
        <v>23</v>
      </c>
      <c r="Z2" s="4" t="s">
        <v>24</v>
      </c>
      <c r="AA2" s="4" t="s">
        <v>25</v>
      </c>
      <c r="AB2" s="4" t="s">
        <v>26</v>
      </c>
      <c r="AC2" s="4" t="s">
        <v>27</v>
      </c>
    </row>
    <row r="3" spans="1:29" x14ac:dyDescent="0.55000000000000004">
      <c r="A3" s="2" t="s">
        <v>44</v>
      </c>
      <c r="B3" s="3" t="s">
        <v>0</v>
      </c>
      <c r="C3" s="5">
        <v>951552</v>
      </c>
      <c r="D3" s="5">
        <v>0</v>
      </c>
      <c r="E3" s="5">
        <v>0</v>
      </c>
      <c r="F3" s="5">
        <v>15000</v>
      </c>
      <c r="G3" s="5">
        <v>36000</v>
      </c>
      <c r="H3" s="5">
        <v>25000</v>
      </c>
      <c r="I3" s="5">
        <v>30000</v>
      </c>
      <c r="J3" s="5">
        <v>0</v>
      </c>
      <c r="K3" s="5">
        <v>26000</v>
      </c>
      <c r="L3" s="5">
        <v>0</v>
      </c>
      <c r="M3" s="5">
        <v>61000</v>
      </c>
      <c r="N3" s="5">
        <v>11000</v>
      </c>
      <c r="O3" s="5">
        <v>0</v>
      </c>
      <c r="P3" s="5">
        <v>21000</v>
      </c>
      <c r="Q3" s="5">
        <v>42000</v>
      </c>
      <c r="R3" s="5">
        <v>53000</v>
      </c>
      <c r="S3" s="5">
        <v>0</v>
      </c>
      <c r="T3" s="5">
        <v>15000</v>
      </c>
      <c r="U3" s="5">
        <v>252500</v>
      </c>
      <c r="V3" s="5">
        <v>61800</v>
      </c>
      <c r="W3" s="5">
        <v>34100</v>
      </c>
      <c r="X3" s="5">
        <v>57000</v>
      </c>
      <c r="Y3" s="5">
        <v>118300</v>
      </c>
      <c r="Z3" s="5">
        <v>70000</v>
      </c>
      <c r="AA3" s="5">
        <v>0</v>
      </c>
      <c r="AB3" s="5">
        <v>0</v>
      </c>
      <c r="AC3" s="5">
        <v>22852</v>
      </c>
    </row>
    <row r="4" spans="1:29" x14ac:dyDescent="0.55000000000000004">
      <c r="A4" s="2" t="s">
        <v>30</v>
      </c>
      <c r="B4" s="3" t="s">
        <v>0</v>
      </c>
      <c r="C4" s="5">
        <v>5186252</v>
      </c>
      <c r="D4" s="5">
        <v>0</v>
      </c>
      <c r="E4" s="5">
        <v>1332886</v>
      </c>
      <c r="F4" s="5">
        <v>122110</v>
      </c>
      <c r="G4" s="5">
        <v>24000</v>
      </c>
      <c r="H4" s="5">
        <v>30050</v>
      </c>
      <c r="I4" s="5">
        <v>0</v>
      </c>
      <c r="J4" s="5">
        <v>6913</v>
      </c>
      <c r="K4" s="5">
        <v>39760</v>
      </c>
      <c r="L4" s="5">
        <v>4750</v>
      </c>
      <c r="M4" s="5">
        <v>134044</v>
      </c>
      <c r="N4" s="5">
        <v>519277</v>
      </c>
      <c r="O4" s="5">
        <v>70030</v>
      </c>
      <c r="P4" s="5">
        <v>208905</v>
      </c>
      <c r="Q4" s="5">
        <v>64000</v>
      </c>
      <c r="R4" s="5">
        <v>53465</v>
      </c>
      <c r="S4" s="5">
        <v>0</v>
      </c>
      <c r="T4" s="5">
        <v>0</v>
      </c>
      <c r="U4" s="5">
        <v>421280</v>
      </c>
      <c r="V4" s="5">
        <v>63980</v>
      </c>
      <c r="W4" s="5">
        <v>123350</v>
      </c>
      <c r="X4" s="5">
        <v>120458</v>
      </c>
      <c r="Y4" s="5">
        <v>1247132</v>
      </c>
      <c r="Z4" s="5">
        <v>315732</v>
      </c>
      <c r="AA4" s="5">
        <v>180165</v>
      </c>
      <c r="AB4" s="5">
        <v>0</v>
      </c>
      <c r="AC4" s="5">
        <v>103965</v>
      </c>
    </row>
    <row r="5" spans="1:29" x14ac:dyDescent="0.55000000000000004">
      <c r="A5" s="2" t="s">
        <v>31</v>
      </c>
      <c r="B5" s="3" t="s">
        <v>0</v>
      </c>
      <c r="C5" s="5">
        <v>48740</v>
      </c>
      <c r="D5" s="5">
        <v>0</v>
      </c>
      <c r="E5" s="5">
        <v>6300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42440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</row>
    <row r="6" spans="1:29" x14ac:dyDescent="0.55000000000000004">
      <c r="A6" s="2" t="s">
        <v>32</v>
      </c>
      <c r="B6" s="3" t="s">
        <v>0</v>
      </c>
      <c r="C6" s="5">
        <v>97706583</v>
      </c>
      <c r="D6" s="5">
        <v>7283484</v>
      </c>
      <c r="E6" s="5">
        <v>14810665</v>
      </c>
      <c r="F6" s="5">
        <v>1750570</v>
      </c>
      <c r="G6" s="5">
        <v>86800</v>
      </c>
      <c r="H6" s="5">
        <v>1403910</v>
      </c>
      <c r="I6" s="5">
        <v>51000</v>
      </c>
      <c r="J6" s="5">
        <v>80637</v>
      </c>
      <c r="K6" s="5">
        <v>737927</v>
      </c>
      <c r="L6" s="5">
        <v>722500</v>
      </c>
      <c r="M6" s="5">
        <v>5690235</v>
      </c>
      <c r="N6" s="5">
        <v>6370240</v>
      </c>
      <c r="O6" s="5">
        <v>1707904</v>
      </c>
      <c r="P6" s="5">
        <v>9264144</v>
      </c>
      <c r="Q6" s="5">
        <v>991500</v>
      </c>
      <c r="R6" s="5">
        <v>1164635</v>
      </c>
      <c r="S6" s="5">
        <v>43967</v>
      </c>
      <c r="T6" s="5">
        <v>3769608</v>
      </c>
      <c r="U6" s="5">
        <v>2909310</v>
      </c>
      <c r="V6" s="5">
        <v>7037199</v>
      </c>
      <c r="W6" s="5">
        <v>4231550</v>
      </c>
      <c r="X6" s="5">
        <v>9286851</v>
      </c>
      <c r="Y6" s="5">
        <v>5536433</v>
      </c>
      <c r="Z6" s="5">
        <v>7554494</v>
      </c>
      <c r="AA6" s="5">
        <v>1811675</v>
      </c>
      <c r="AB6" s="5">
        <v>3197208</v>
      </c>
      <c r="AC6" s="5">
        <v>212137</v>
      </c>
    </row>
    <row r="7" spans="1:29" x14ac:dyDescent="0.55000000000000004">
      <c r="A7" s="2" t="s">
        <v>33</v>
      </c>
      <c r="B7" s="3" t="s">
        <v>0</v>
      </c>
      <c r="C7" s="5">
        <v>45352216</v>
      </c>
      <c r="D7" s="5">
        <v>10611639</v>
      </c>
      <c r="E7" s="5">
        <v>3665500</v>
      </c>
      <c r="F7" s="5">
        <v>2785727</v>
      </c>
      <c r="G7" s="5">
        <v>34000</v>
      </c>
      <c r="H7" s="5">
        <v>269714</v>
      </c>
      <c r="I7" s="5">
        <v>18000</v>
      </c>
      <c r="J7" s="5">
        <v>29115</v>
      </c>
      <c r="K7" s="5">
        <v>85179</v>
      </c>
      <c r="L7" s="5">
        <v>2681760</v>
      </c>
      <c r="M7" s="5">
        <v>2727025</v>
      </c>
      <c r="N7" s="5">
        <v>1487753</v>
      </c>
      <c r="O7" s="5">
        <v>3147093</v>
      </c>
      <c r="P7" s="5">
        <v>998844</v>
      </c>
      <c r="Q7" s="5">
        <v>352800</v>
      </c>
      <c r="R7" s="5">
        <v>409806</v>
      </c>
      <c r="S7" s="5">
        <v>63961</v>
      </c>
      <c r="T7" s="5">
        <v>3068160</v>
      </c>
      <c r="U7" s="5">
        <v>1639105</v>
      </c>
      <c r="V7" s="5">
        <v>1930967</v>
      </c>
      <c r="W7" s="5">
        <v>3840900</v>
      </c>
      <c r="X7" s="5">
        <v>51867</v>
      </c>
      <c r="Y7" s="5">
        <v>4861930</v>
      </c>
      <c r="Z7" s="5">
        <v>349006</v>
      </c>
      <c r="AA7" s="5">
        <v>102408</v>
      </c>
      <c r="AB7" s="5">
        <v>112248</v>
      </c>
      <c r="AC7" s="5">
        <v>27709</v>
      </c>
    </row>
    <row r="8" spans="1:29" x14ac:dyDescent="0.55000000000000004">
      <c r="A8" s="2" t="s">
        <v>34</v>
      </c>
      <c r="B8" s="3" t="s">
        <v>0</v>
      </c>
      <c r="C8" s="5">
        <v>6852625</v>
      </c>
      <c r="D8" s="5">
        <v>1020849</v>
      </c>
      <c r="E8" s="5">
        <v>1644742</v>
      </c>
      <c r="F8" s="5">
        <v>250117</v>
      </c>
      <c r="G8" s="5">
        <v>84000</v>
      </c>
      <c r="H8" s="5">
        <v>485526</v>
      </c>
      <c r="I8" s="5">
        <v>61000</v>
      </c>
      <c r="J8" s="5">
        <v>23488.5</v>
      </c>
      <c r="K8" s="5">
        <v>119010</v>
      </c>
      <c r="L8" s="5">
        <v>13690</v>
      </c>
      <c r="M8" s="5">
        <v>766909</v>
      </c>
      <c r="N8" s="5">
        <v>207509</v>
      </c>
      <c r="O8" s="5">
        <v>363164</v>
      </c>
      <c r="P8" s="5">
        <v>161690</v>
      </c>
      <c r="Q8" s="5">
        <v>572029</v>
      </c>
      <c r="R8" s="5">
        <v>110797.5</v>
      </c>
      <c r="S8" s="5">
        <v>0</v>
      </c>
      <c r="T8" s="5">
        <v>10000</v>
      </c>
      <c r="U8" s="5">
        <v>111760</v>
      </c>
      <c r="V8" s="5">
        <v>173846</v>
      </c>
      <c r="W8" s="5">
        <v>267598</v>
      </c>
      <c r="X8" s="5">
        <v>117550</v>
      </c>
      <c r="Y8" s="5">
        <v>134284</v>
      </c>
      <c r="Z8" s="5">
        <v>73571</v>
      </c>
      <c r="AA8" s="5">
        <v>63761</v>
      </c>
      <c r="AB8" s="5">
        <v>0</v>
      </c>
      <c r="AC8" s="5">
        <v>15734</v>
      </c>
    </row>
    <row r="9" spans="1:29" x14ac:dyDescent="0.55000000000000004">
      <c r="A9" s="2" t="s">
        <v>35</v>
      </c>
      <c r="B9" s="3" t="s">
        <v>0</v>
      </c>
      <c r="C9" s="5">
        <v>2258754.5</v>
      </c>
      <c r="D9" s="5">
        <v>31000</v>
      </c>
      <c r="E9" s="5">
        <v>213600</v>
      </c>
      <c r="F9" s="5">
        <v>128214</v>
      </c>
      <c r="G9" s="5">
        <v>16600</v>
      </c>
      <c r="H9" s="5">
        <v>17197</v>
      </c>
      <c r="I9" s="5">
        <v>0</v>
      </c>
      <c r="J9" s="5">
        <v>0</v>
      </c>
      <c r="K9" s="5">
        <v>13700</v>
      </c>
      <c r="L9" s="5">
        <v>0</v>
      </c>
      <c r="M9" s="5">
        <v>58519</v>
      </c>
      <c r="N9" s="5">
        <v>66592.5</v>
      </c>
      <c r="O9" s="5">
        <v>14372</v>
      </c>
      <c r="P9" s="5">
        <v>69661</v>
      </c>
      <c r="Q9" s="5">
        <v>0</v>
      </c>
      <c r="R9" s="5">
        <v>33585</v>
      </c>
      <c r="S9" s="5">
        <v>3670</v>
      </c>
      <c r="T9" s="5">
        <v>21000</v>
      </c>
      <c r="U9" s="5">
        <v>224777</v>
      </c>
      <c r="V9" s="5">
        <v>42858</v>
      </c>
      <c r="W9" s="5">
        <v>36420</v>
      </c>
      <c r="X9" s="5">
        <v>97519</v>
      </c>
      <c r="Y9" s="5">
        <v>956122</v>
      </c>
      <c r="Z9" s="5">
        <v>73413</v>
      </c>
      <c r="AA9" s="5">
        <v>64824</v>
      </c>
      <c r="AB9" s="5">
        <v>30583</v>
      </c>
      <c r="AC9" s="5">
        <v>44528</v>
      </c>
    </row>
    <row r="10" spans="1:29" x14ac:dyDescent="0.55000000000000004">
      <c r="A10" s="2" t="s">
        <v>36</v>
      </c>
      <c r="B10" s="3" t="s">
        <v>0</v>
      </c>
      <c r="C10" s="5">
        <v>39800</v>
      </c>
      <c r="D10" s="5">
        <v>0</v>
      </c>
      <c r="E10" s="5">
        <v>6000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15000</v>
      </c>
      <c r="V10" s="5">
        <v>0</v>
      </c>
      <c r="W10" s="5">
        <v>14000</v>
      </c>
      <c r="X10" s="5">
        <v>0</v>
      </c>
      <c r="Y10" s="5">
        <v>2400</v>
      </c>
      <c r="Z10" s="5">
        <v>0</v>
      </c>
      <c r="AA10" s="5">
        <v>0</v>
      </c>
      <c r="AB10" s="5">
        <v>2400</v>
      </c>
      <c r="AC10" s="5">
        <v>0</v>
      </c>
    </row>
    <row r="11" spans="1:29" x14ac:dyDescent="0.55000000000000004">
      <c r="A11" s="2"/>
      <c r="B11" s="3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2"/>
      <c r="Z11" s="2"/>
      <c r="AA11" s="2"/>
      <c r="AB11" s="2"/>
      <c r="AC11" s="2"/>
    </row>
    <row r="12" spans="1:29" x14ac:dyDescent="0.55000000000000004">
      <c r="A12" s="1" t="s">
        <v>39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x14ac:dyDescent="0.55000000000000004">
      <c r="A13" s="1" t="s">
        <v>28</v>
      </c>
      <c r="B13" s="1" t="s">
        <v>40</v>
      </c>
      <c r="C13" s="4" t="s">
        <v>1</v>
      </c>
      <c r="D13" s="4" t="s">
        <v>2</v>
      </c>
      <c r="E13" s="4" t="s">
        <v>3</v>
      </c>
      <c r="F13" s="4" t="s">
        <v>4</v>
      </c>
      <c r="G13" s="4" t="s">
        <v>5</v>
      </c>
      <c r="H13" s="4" t="s">
        <v>6</v>
      </c>
      <c r="I13" s="4" t="s">
        <v>7</v>
      </c>
      <c r="J13" s="4" t="s">
        <v>8</v>
      </c>
      <c r="K13" s="4" t="s">
        <v>9</v>
      </c>
      <c r="L13" s="4" t="s">
        <v>10</v>
      </c>
      <c r="M13" s="4" t="s">
        <v>11</v>
      </c>
      <c r="N13" s="4" t="s">
        <v>12</v>
      </c>
      <c r="O13" s="4" t="s">
        <v>13</v>
      </c>
      <c r="P13" s="4" t="s">
        <v>14</v>
      </c>
      <c r="Q13" s="4" t="s">
        <v>15</v>
      </c>
      <c r="R13" s="4" t="s">
        <v>16</v>
      </c>
      <c r="S13" s="4" t="s">
        <v>17</v>
      </c>
      <c r="T13" s="4" t="s">
        <v>18</v>
      </c>
      <c r="U13" s="4" t="s">
        <v>19</v>
      </c>
      <c r="V13" s="4" t="s">
        <v>20</v>
      </c>
      <c r="W13" s="4" t="s">
        <v>21</v>
      </c>
      <c r="X13" s="4" t="s">
        <v>22</v>
      </c>
      <c r="Y13" s="4" t="s">
        <v>23</v>
      </c>
      <c r="Z13" s="4" t="s">
        <v>24</v>
      </c>
      <c r="AA13" s="4" t="s">
        <v>25</v>
      </c>
      <c r="AB13" s="4" t="s">
        <v>26</v>
      </c>
      <c r="AC13" s="4" t="s">
        <v>27</v>
      </c>
    </row>
    <row r="14" spans="1:29" x14ac:dyDescent="0.55000000000000004">
      <c r="A14" s="2" t="s">
        <v>44</v>
      </c>
      <c r="B14" s="3" t="s">
        <v>0</v>
      </c>
      <c r="C14" s="5">
        <v>153490</v>
      </c>
      <c r="D14" s="5">
        <v>0</v>
      </c>
      <c r="E14" s="5">
        <v>0</v>
      </c>
      <c r="F14" s="5">
        <v>0</v>
      </c>
      <c r="G14" s="5">
        <v>28000</v>
      </c>
      <c r="H14" s="5">
        <v>10000</v>
      </c>
      <c r="I14" s="5">
        <v>0</v>
      </c>
      <c r="J14" s="5">
        <v>0</v>
      </c>
      <c r="K14" s="5">
        <v>10000</v>
      </c>
      <c r="L14" s="5">
        <v>0</v>
      </c>
      <c r="M14" s="5">
        <v>0</v>
      </c>
      <c r="N14" s="5">
        <v>2990</v>
      </c>
      <c r="O14" s="5">
        <v>0</v>
      </c>
      <c r="P14" s="5">
        <v>5000</v>
      </c>
      <c r="Q14" s="5">
        <v>0</v>
      </c>
      <c r="R14" s="5">
        <v>10000</v>
      </c>
      <c r="S14" s="5">
        <v>4000</v>
      </c>
      <c r="T14" s="5">
        <v>7500</v>
      </c>
      <c r="U14" s="5">
        <v>55000</v>
      </c>
      <c r="V14" s="5">
        <v>6000</v>
      </c>
      <c r="W14" s="5">
        <v>12000</v>
      </c>
      <c r="X14" s="5">
        <v>3000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</row>
    <row r="15" spans="1:29" x14ac:dyDescent="0.55000000000000004">
      <c r="A15" s="2" t="s">
        <v>30</v>
      </c>
      <c r="B15" s="3" t="s">
        <v>0</v>
      </c>
      <c r="C15" s="5">
        <v>3537372</v>
      </c>
      <c r="D15" s="5">
        <v>0</v>
      </c>
      <c r="E15" s="5">
        <v>558197</v>
      </c>
      <c r="F15" s="5">
        <v>183840</v>
      </c>
      <c r="G15" s="5">
        <v>18000</v>
      </c>
      <c r="H15" s="5">
        <v>15130</v>
      </c>
      <c r="I15" s="5">
        <v>0</v>
      </c>
      <c r="J15" s="5">
        <v>4625</v>
      </c>
      <c r="K15" s="5">
        <v>49240</v>
      </c>
      <c r="L15" s="5">
        <v>5125</v>
      </c>
      <c r="M15" s="5">
        <v>88616</v>
      </c>
      <c r="N15" s="5">
        <v>220309</v>
      </c>
      <c r="O15" s="5">
        <v>67260</v>
      </c>
      <c r="P15" s="5">
        <v>149035</v>
      </c>
      <c r="Q15" s="5">
        <v>94775</v>
      </c>
      <c r="R15" s="5">
        <v>8000</v>
      </c>
      <c r="S15" s="5">
        <v>4550</v>
      </c>
      <c r="T15" s="5">
        <v>0</v>
      </c>
      <c r="U15" s="5">
        <v>911920</v>
      </c>
      <c r="V15" s="5">
        <v>19953</v>
      </c>
      <c r="W15" s="5">
        <v>94750</v>
      </c>
      <c r="X15" s="5">
        <v>36720</v>
      </c>
      <c r="Y15" s="5">
        <v>369240</v>
      </c>
      <c r="Z15" s="5">
        <v>267867</v>
      </c>
      <c r="AA15" s="5">
        <v>303040</v>
      </c>
      <c r="AB15" s="5">
        <v>0</v>
      </c>
      <c r="AC15" s="5">
        <v>67180</v>
      </c>
    </row>
    <row r="16" spans="1:29" x14ac:dyDescent="0.55000000000000004">
      <c r="A16" s="2" t="s">
        <v>31</v>
      </c>
      <c r="B16" s="3" t="s">
        <v>0</v>
      </c>
      <c r="C16" s="5">
        <v>1268583</v>
      </c>
      <c r="D16" s="5">
        <v>0</v>
      </c>
      <c r="E16" s="5">
        <v>240260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147200</v>
      </c>
      <c r="N16" s="5">
        <v>0</v>
      </c>
      <c r="O16" s="5">
        <v>24100</v>
      </c>
      <c r="P16" s="5">
        <v>55520</v>
      </c>
      <c r="Q16" s="5">
        <v>0</v>
      </c>
      <c r="R16" s="5">
        <v>0</v>
      </c>
      <c r="S16" s="5">
        <v>0</v>
      </c>
      <c r="T16" s="5">
        <v>0</v>
      </c>
      <c r="U16" s="5">
        <v>555075</v>
      </c>
      <c r="V16" s="5">
        <v>0</v>
      </c>
      <c r="W16" s="5">
        <v>32750</v>
      </c>
      <c r="X16" s="5">
        <v>30460</v>
      </c>
      <c r="Y16" s="5">
        <v>59808</v>
      </c>
      <c r="Z16" s="5">
        <v>123410</v>
      </c>
      <c r="AA16" s="5">
        <v>0</v>
      </c>
      <c r="AB16" s="5">
        <v>0</v>
      </c>
      <c r="AC16" s="5">
        <v>0</v>
      </c>
    </row>
    <row r="17" spans="1:29" x14ac:dyDescent="0.55000000000000004">
      <c r="A17" s="2" t="s">
        <v>32</v>
      </c>
      <c r="B17" s="3" t="s">
        <v>0</v>
      </c>
      <c r="C17" s="5">
        <v>13770270</v>
      </c>
      <c r="D17" s="5">
        <v>1104723</v>
      </c>
      <c r="E17" s="5">
        <v>2342750</v>
      </c>
      <c r="F17" s="5">
        <v>497159</v>
      </c>
      <c r="G17" s="5">
        <v>37000</v>
      </c>
      <c r="H17" s="5">
        <v>430322</v>
      </c>
      <c r="I17" s="5">
        <v>0</v>
      </c>
      <c r="J17" s="5">
        <v>129421</v>
      </c>
      <c r="K17" s="5">
        <v>47020</v>
      </c>
      <c r="L17" s="5">
        <v>263500</v>
      </c>
      <c r="M17" s="5">
        <v>517882</v>
      </c>
      <c r="N17" s="5">
        <v>725483</v>
      </c>
      <c r="O17" s="5">
        <v>313327</v>
      </c>
      <c r="P17" s="5">
        <v>868524</v>
      </c>
      <c r="Q17" s="5">
        <v>81885</v>
      </c>
      <c r="R17" s="5">
        <v>69419</v>
      </c>
      <c r="S17" s="5">
        <v>11465</v>
      </c>
      <c r="T17" s="5">
        <v>103180</v>
      </c>
      <c r="U17" s="5">
        <v>1427488</v>
      </c>
      <c r="V17" s="5">
        <v>791767</v>
      </c>
      <c r="W17" s="5">
        <v>529449</v>
      </c>
      <c r="X17" s="5">
        <v>627887</v>
      </c>
      <c r="Y17" s="5">
        <v>406302</v>
      </c>
      <c r="Z17" s="5">
        <v>2228342</v>
      </c>
      <c r="AA17" s="5">
        <v>113156</v>
      </c>
      <c r="AB17" s="5">
        <v>87361</v>
      </c>
      <c r="AC17" s="5">
        <v>15458</v>
      </c>
    </row>
    <row r="18" spans="1:29" x14ac:dyDescent="0.55000000000000004">
      <c r="A18" s="2" t="s">
        <v>33</v>
      </c>
      <c r="B18" s="3" t="s">
        <v>0</v>
      </c>
      <c r="C18" s="5">
        <v>17617281</v>
      </c>
      <c r="D18" s="5">
        <v>4668524</v>
      </c>
      <c r="E18" s="5">
        <v>1277020</v>
      </c>
      <c r="F18" s="5">
        <v>2134794</v>
      </c>
      <c r="G18" s="5">
        <v>34000</v>
      </c>
      <c r="H18" s="5">
        <v>429070</v>
      </c>
      <c r="I18" s="5">
        <v>13530</v>
      </c>
      <c r="J18" s="5">
        <v>155248</v>
      </c>
      <c r="K18" s="5">
        <v>52128</v>
      </c>
      <c r="L18" s="5">
        <v>1279161</v>
      </c>
      <c r="M18" s="5">
        <v>684249</v>
      </c>
      <c r="N18" s="5">
        <v>646169</v>
      </c>
      <c r="O18" s="5">
        <v>284865</v>
      </c>
      <c r="P18" s="5">
        <v>281968</v>
      </c>
      <c r="Q18" s="5">
        <v>58600</v>
      </c>
      <c r="R18" s="5">
        <v>32988</v>
      </c>
      <c r="S18" s="5">
        <v>9660</v>
      </c>
      <c r="T18" s="5">
        <v>606818</v>
      </c>
      <c r="U18" s="5">
        <v>1955390</v>
      </c>
      <c r="V18" s="5">
        <v>556889</v>
      </c>
      <c r="W18" s="5">
        <v>1336684</v>
      </c>
      <c r="X18" s="5">
        <v>55134</v>
      </c>
      <c r="Y18" s="5">
        <v>708500</v>
      </c>
      <c r="Z18" s="5">
        <v>339527</v>
      </c>
      <c r="AA18" s="5">
        <v>8625</v>
      </c>
      <c r="AB18" s="5">
        <v>0</v>
      </c>
      <c r="AC18" s="5">
        <v>7740</v>
      </c>
    </row>
    <row r="19" spans="1:29" x14ac:dyDescent="0.55000000000000004">
      <c r="A19" s="2" t="s">
        <v>34</v>
      </c>
      <c r="B19" s="3" t="s">
        <v>0</v>
      </c>
      <c r="C19" s="5">
        <v>12434666.5</v>
      </c>
      <c r="D19" s="5">
        <v>968085</v>
      </c>
      <c r="E19" s="5">
        <v>1909506</v>
      </c>
      <c r="F19" s="5">
        <v>601826</v>
      </c>
      <c r="G19" s="5">
        <v>195940</v>
      </c>
      <c r="H19" s="5">
        <v>996405</v>
      </c>
      <c r="I19" s="5">
        <v>80600</v>
      </c>
      <c r="J19" s="5">
        <v>161872</v>
      </c>
      <c r="K19" s="5">
        <v>44220</v>
      </c>
      <c r="L19" s="5">
        <v>380540</v>
      </c>
      <c r="M19" s="5">
        <v>818030</v>
      </c>
      <c r="N19" s="5">
        <v>335986</v>
      </c>
      <c r="O19" s="5">
        <v>1772830</v>
      </c>
      <c r="P19" s="5">
        <v>492265</v>
      </c>
      <c r="Q19" s="5">
        <v>730345</v>
      </c>
      <c r="R19" s="5">
        <v>25490</v>
      </c>
      <c r="S19" s="5">
        <v>0</v>
      </c>
      <c r="T19" s="5">
        <v>0</v>
      </c>
      <c r="U19" s="5">
        <v>1010475</v>
      </c>
      <c r="V19" s="5">
        <v>190417</v>
      </c>
      <c r="W19" s="5">
        <v>308919</v>
      </c>
      <c r="X19" s="5">
        <v>161950</v>
      </c>
      <c r="Y19" s="5">
        <v>260099.5</v>
      </c>
      <c r="Z19" s="5">
        <v>872566</v>
      </c>
      <c r="AA19" s="5">
        <v>111700</v>
      </c>
      <c r="AB19" s="5">
        <v>0</v>
      </c>
      <c r="AC19" s="5">
        <v>4600</v>
      </c>
    </row>
    <row r="20" spans="1:29" x14ac:dyDescent="0.55000000000000004">
      <c r="A20" s="2" t="s">
        <v>35</v>
      </c>
      <c r="B20" s="3" t="s">
        <v>0</v>
      </c>
      <c r="C20" s="5">
        <v>1124959.55</v>
      </c>
      <c r="D20" s="5">
        <v>47581</v>
      </c>
      <c r="E20" s="5">
        <v>151300</v>
      </c>
      <c r="F20" s="5">
        <v>87606.55</v>
      </c>
      <c r="G20" s="5">
        <v>0</v>
      </c>
      <c r="H20" s="5">
        <v>27687</v>
      </c>
      <c r="I20" s="5">
        <v>0</v>
      </c>
      <c r="J20" s="5">
        <v>0</v>
      </c>
      <c r="K20" s="5">
        <v>0</v>
      </c>
      <c r="L20" s="5">
        <v>0</v>
      </c>
      <c r="M20" s="5">
        <v>26865</v>
      </c>
      <c r="N20" s="5">
        <v>5805</v>
      </c>
      <c r="O20" s="5">
        <v>14880</v>
      </c>
      <c r="P20" s="5">
        <v>31724</v>
      </c>
      <c r="Q20" s="5">
        <v>0</v>
      </c>
      <c r="R20" s="5">
        <v>14959</v>
      </c>
      <c r="S20" s="5">
        <v>5670</v>
      </c>
      <c r="T20" s="5">
        <v>8000</v>
      </c>
      <c r="U20" s="5">
        <v>123455</v>
      </c>
      <c r="V20" s="5">
        <v>0</v>
      </c>
      <c r="W20" s="5">
        <v>15173</v>
      </c>
      <c r="X20" s="5">
        <v>29736</v>
      </c>
      <c r="Y20" s="5">
        <v>325146</v>
      </c>
      <c r="Z20" s="5">
        <v>34288</v>
      </c>
      <c r="AA20" s="5">
        <v>41270</v>
      </c>
      <c r="AB20" s="5">
        <v>117520</v>
      </c>
      <c r="AC20" s="5">
        <v>16294</v>
      </c>
    </row>
    <row r="21" spans="1:29" x14ac:dyDescent="0.55000000000000004">
      <c r="A21" s="2" t="s">
        <v>36</v>
      </c>
      <c r="B21" s="3" t="s">
        <v>0</v>
      </c>
      <c r="C21" s="5">
        <v>506200</v>
      </c>
      <c r="D21" s="5">
        <v>0</v>
      </c>
      <c r="E21" s="5">
        <v>9000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52800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190000</v>
      </c>
      <c r="V21" s="5">
        <v>0</v>
      </c>
      <c r="W21" s="5">
        <v>0</v>
      </c>
      <c r="X21" s="5">
        <v>0</v>
      </c>
      <c r="Y21" s="5">
        <v>254400</v>
      </c>
      <c r="Z21" s="5">
        <v>0</v>
      </c>
      <c r="AA21" s="5">
        <v>0</v>
      </c>
      <c r="AB21" s="5">
        <v>0</v>
      </c>
      <c r="AC21" s="5">
        <v>0</v>
      </c>
    </row>
    <row r="22" spans="1:29" x14ac:dyDescent="0.55000000000000004">
      <c r="A22" s="2"/>
      <c r="B22" s="3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2"/>
      <c r="Z22" s="2"/>
      <c r="AA22" s="2"/>
      <c r="AB22" s="2"/>
      <c r="AC22" s="2"/>
    </row>
    <row r="23" spans="1:29" x14ac:dyDescent="0.55000000000000004">
      <c r="A23" s="1" t="s">
        <v>38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x14ac:dyDescent="0.55000000000000004">
      <c r="A24" s="1" t="s">
        <v>28</v>
      </c>
      <c r="B24" s="1" t="s">
        <v>40</v>
      </c>
      <c r="C24" s="4" t="s">
        <v>1</v>
      </c>
      <c r="D24" s="4" t="s">
        <v>2</v>
      </c>
      <c r="E24" s="4" t="s">
        <v>3</v>
      </c>
      <c r="F24" s="4" t="s">
        <v>4</v>
      </c>
      <c r="G24" s="4" t="s">
        <v>5</v>
      </c>
      <c r="H24" s="4" t="s">
        <v>6</v>
      </c>
      <c r="I24" s="4" t="s">
        <v>7</v>
      </c>
      <c r="J24" s="4" t="s">
        <v>8</v>
      </c>
      <c r="K24" s="4" t="s">
        <v>9</v>
      </c>
      <c r="L24" s="4" t="s">
        <v>10</v>
      </c>
      <c r="M24" s="4" t="s">
        <v>11</v>
      </c>
      <c r="N24" s="4" t="s">
        <v>12</v>
      </c>
      <c r="O24" s="4" t="s">
        <v>13</v>
      </c>
      <c r="P24" s="4" t="s">
        <v>14</v>
      </c>
      <c r="Q24" s="4" t="s">
        <v>15</v>
      </c>
      <c r="R24" s="4" t="s">
        <v>16</v>
      </c>
      <c r="S24" s="4" t="s">
        <v>17</v>
      </c>
      <c r="T24" s="4" t="s">
        <v>18</v>
      </c>
      <c r="U24" s="4" t="s">
        <v>19</v>
      </c>
      <c r="V24" s="4" t="s">
        <v>20</v>
      </c>
      <c r="W24" s="4" t="s">
        <v>21</v>
      </c>
      <c r="X24" s="4" t="s">
        <v>22</v>
      </c>
      <c r="Y24" s="4" t="s">
        <v>23</v>
      </c>
      <c r="Z24" s="4" t="s">
        <v>24</v>
      </c>
      <c r="AA24" s="4" t="s">
        <v>25</v>
      </c>
      <c r="AB24" s="4" t="s">
        <v>26</v>
      </c>
      <c r="AC24" s="4" t="s">
        <v>27</v>
      </c>
    </row>
    <row r="25" spans="1:29" x14ac:dyDescent="0.55000000000000004">
      <c r="A25" s="2" t="s">
        <v>44</v>
      </c>
      <c r="B25" s="3" t="s">
        <v>0</v>
      </c>
      <c r="C25" s="5">
        <v>35500</v>
      </c>
      <c r="D25" s="5">
        <v>0</v>
      </c>
      <c r="E25" s="5">
        <v>0</v>
      </c>
      <c r="F25" s="5">
        <v>10000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5500</v>
      </c>
      <c r="S25" s="5">
        <v>0</v>
      </c>
      <c r="T25" s="5">
        <v>0</v>
      </c>
      <c r="U25" s="5">
        <v>10000</v>
      </c>
      <c r="V25" s="5">
        <v>0</v>
      </c>
      <c r="W25" s="5">
        <v>10000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</row>
    <row r="26" spans="1:29" x14ac:dyDescent="0.55000000000000004">
      <c r="A26" s="2" t="s">
        <v>30</v>
      </c>
      <c r="B26" s="3" t="s">
        <v>0</v>
      </c>
      <c r="C26" s="5">
        <v>320308</v>
      </c>
      <c r="D26" s="5">
        <v>0</v>
      </c>
      <c r="E26" s="5">
        <v>34500</v>
      </c>
      <c r="F26" s="5">
        <v>17000</v>
      </c>
      <c r="G26" s="5">
        <v>0</v>
      </c>
      <c r="H26" s="5">
        <v>8200</v>
      </c>
      <c r="I26" s="5">
        <v>0</v>
      </c>
      <c r="J26" s="5">
        <v>0</v>
      </c>
      <c r="K26" s="5">
        <v>0</v>
      </c>
      <c r="L26" s="5">
        <v>6400</v>
      </c>
      <c r="M26" s="5">
        <v>4040</v>
      </c>
      <c r="N26" s="5">
        <v>24000</v>
      </c>
      <c r="O26" s="5">
        <v>0</v>
      </c>
      <c r="P26" s="5">
        <v>20150</v>
      </c>
      <c r="Q26" s="5">
        <v>0</v>
      </c>
      <c r="R26" s="5">
        <v>0</v>
      </c>
      <c r="S26" s="5">
        <v>0</v>
      </c>
      <c r="T26" s="5">
        <v>0</v>
      </c>
      <c r="U26" s="5">
        <v>11960</v>
      </c>
      <c r="V26" s="5">
        <v>4473</v>
      </c>
      <c r="W26" s="5">
        <v>0</v>
      </c>
      <c r="X26" s="5">
        <v>8250</v>
      </c>
      <c r="Y26" s="5">
        <v>42000</v>
      </c>
      <c r="Z26" s="5">
        <v>132135</v>
      </c>
      <c r="AA26" s="5">
        <v>7200</v>
      </c>
      <c r="AB26" s="5">
        <v>0</v>
      </c>
      <c r="AC26" s="5">
        <v>0</v>
      </c>
    </row>
    <row r="27" spans="1:29" x14ac:dyDescent="0.55000000000000004">
      <c r="A27" s="2" t="s">
        <v>31</v>
      </c>
      <c r="B27" s="3" t="s">
        <v>0</v>
      </c>
      <c r="C27" s="5">
        <v>291144</v>
      </c>
      <c r="D27" s="5">
        <v>0</v>
      </c>
      <c r="E27" s="5">
        <v>72680</v>
      </c>
      <c r="F27" s="5">
        <v>13986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33338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23940</v>
      </c>
      <c r="U27" s="5">
        <v>0</v>
      </c>
      <c r="V27" s="5">
        <v>0</v>
      </c>
      <c r="W27" s="5">
        <v>0</v>
      </c>
      <c r="X27" s="5">
        <v>0</v>
      </c>
      <c r="Y27" s="5">
        <v>20000</v>
      </c>
      <c r="Z27" s="5">
        <v>0</v>
      </c>
      <c r="AA27" s="5">
        <v>0</v>
      </c>
      <c r="AB27" s="5">
        <v>0</v>
      </c>
      <c r="AC27" s="5">
        <v>127200</v>
      </c>
    </row>
    <row r="28" spans="1:29" x14ac:dyDescent="0.55000000000000004">
      <c r="A28" s="2" t="s">
        <v>32</v>
      </c>
      <c r="B28" s="3" t="s">
        <v>0</v>
      </c>
      <c r="C28" s="5">
        <v>1980393</v>
      </c>
      <c r="D28" s="5">
        <v>176549</v>
      </c>
      <c r="E28" s="5">
        <v>146950</v>
      </c>
      <c r="F28" s="5">
        <v>47980</v>
      </c>
      <c r="G28" s="5">
        <v>0</v>
      </c>
      <c r="H28" s="5">
        <v>37012</v>
      </c>
      <c r="I28" s="5">
        <v>0</v>
      </c>
      <c r="J28" s="5">
        <v>3345</v>
      </c>
      <c r="K28" s="5">
        <v>0</v>
      </c>
      <c r="L28" s="5">
        <v>8500</v>
      </c>
      <c r="M28" s="5">
        <v>78245</v>
      </c>
      <c r="N28" s="5">
        <v>151267</v>
      </c>
      <c r="O28" s="5">
        <v>9500</v>
      </c>
      <c r="P28" s="5">
        <v>63035</v>
      </c>
      <c r="Q28" s="5">
        <v>7000</v>
      </c>
      <c r="R28" s="5">
        <v>39302</v>
      </c>
      <c r="S28" s="5">
        <v>2140</v>
      </c>
      <c r="T28" s="5">
        <v>33354</v>
      </c>
      <c r="U28" s="5">
        <v>187576</v>
      </c>
      <c r="V28" s="5">
        <v>120023</v>
      </c>
      <c r="W28" s="5">
        <v>142666</v>
      </c>
      <c r="X28" s="5">
        <v>249644</v>
      </c>
      <c r="Y28" s="5">
        <v>45738</v>
      </c>
      <c r="Z28" s="5">
        <v>345888</v>
      </c>
      <c r="AA28" s="5">
        <v>18893</v>
      </c>
      <c r="AB28" s="5">
        <v>62312</v>
      </c>
      <c r="AC28" s="5">
        <v>3474</v>
      </c>
    </row>
    <row r="29" spans="1:29" x14ac:dyDescent="0.55000000000000004">
      <c r="A29" s="2" t="s">
        <v>33</v>
      </c>
      <c r="B29" s="3" t="s">
        <v>0</v>
      </c>
      <c r="C29" s="5">
        <v>1534754</v>
      </c>
      <c r="D29" s="5">
        <v>160879</v>
      </c>
      <c r="E29" s="5">
        <v>20000</v>
      </c>
      <c r="F29" s="5">
        <v>98010</v>
      </c>
      <c r="G29" s="5">
        <v>13400</v>
      </c>
      <c r="H29" s="5">
        <v>18000</v>
      </c>
      <c r="I29" s="5">
        <v>0</v>
      </c>
      <c r="J29" s="5">
        <v>50000</v>
      </c>
      <c r="K29" s="5">
        <v>0</v>
      </c>
      <c r="L29" s="5">
        <v>62464</v>
      </c>
      <c r="M29" s="5">
        <v>72030</v>
      </c>
      <c r="N29" s="5">
        <v>251413</v>
      </c>
      <c r="O29" s="5">
        <v>0</v>
      </c>
      <c r="P29" s="5">
        <v>0</v>
      </c>
      <c r="Q29" s="5">
        <v>18000</v>
      </c>
      <c r="R29" s="5">
        <v>24284</v>
      </c>
      <c r="S29" s="5">
        <v>0</v>
      </c>
      <c r="T29" s="5">
        <v>115978</v>
      </c>
      <c r="U29" s="5">
        <v>82750</v>
      </c>
      <c r="V29" s="5">
        <v>61089</v>
      </c>
      <c r="W29" s="5">
        <v>183954</v>
      </c>
      <c r="X29" s="5">
        <v>0</v>
      </c>
      <c r="Y29" s="5">
        <v>0</v>
      </c>
      <c r="Z29" s="5">
        <v>225903</v>
      </c>
      <c r="AA29" s="5">
        <v>0</v>
      </c>
      <c r="AB29" s="5">
        <v>76600</v>
      </c>
      <c r="AC29" s="5">
        <v>0</v>
      </c>
    </row>
    <row r="30" spans="1:29" x14ac:dyDescent="0.55000000000000004">
      <c r="A30" s="2" t="s">
        <v>34</v>
      </c>
      <c r="B30" s="3" t="s">
        <v>0</v>
      </c>
      <c r="C30" s="5">
        <v>3264747</v>
      </c>
      <c r="D30" s="5">
        <v>206155</v>
      </c>
      <c r="E30" s="5">
        <v>408550</v>
      </c>
      <c r="F30" s="5">
        <v>352568</v>
      </c>
      <c r="G30" s="5">
        <v>0</v>
      </c>
      <c r="H30" s="5">
        <v>495960</v>
      </c>
      <c r="I30" s="5">
        <v>5000</v>
      </c>
      <c r="J30" s="5">
        <v>9332</v>
      </c>
      <c r="K30" s="5">
        <v>60124</v>
      </c>
      <c r="L30" s="5">
        <v>230920</v>
      </c>
      <c r="M30" s="5">
        <v>310812</v>
      </c>
      <c r="N30" s="5">
        <v>64375</v>
      </c>
      <c r="O30" s="5">
        <v>64600</v>
      </c>
      <c r="P30" s="5">
        <v>46540</v>
      </c>
      <c r="Q30" s="5">
        <v>206155</v>
      </c>
      <c r="R30" s="5">
        <v>5200</v>
      </c>
      <c r="S30" s="5">
        <v>0</v>
      </c>
      <c r="T30" s="5">
        <v>0</v>
      </c>
      <c r="U30" s="5">
        <v>342940</v>
      </c>
      <c r="V30" s="5">
        <v>81946</v>
      </c>
      <c r="W30" s="5">
        <v>114773</v>
      </c>
      <c r="X30" s="5">
        <v>53500</v>
      </c>
      <c r="Y30" s="5">
        <v>106772</v>
      </c>
      <c r="Z30" s="5">
        <v>76705</v>
      </c>
      <c r="AA30" s="5">
        <v>21820</v>
      </c>
      <c r="AB30" s="5">
        <v>0</v>
      </c>
      <c r="AC30" s="5">
        <v>0</v>
      </c>
    </row>
    <row r="31" spans="1:29" x14ac:dyDescent="0.55000000000000004">
      <c r="A31" s="2" t="s">
        <v>35</v>
      </c>
      <c r="B31" s="3" t="s">
        <v>0</v>
      </c>
      <c r="C31" s="5">
        <v>103639</v>
      </c>
      <c r="D31" s="5">
        <v>0</v>
      </c>
      <c r="E31" s="5">
        <v>17900</v>
      </c>
      <c r="F31" s="5">
        <v>0</v>
      </c>
      <c r="G31" s="5">
        <v>0</v>
      </c>
      <c r="H31" s="5">
        <v>7598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6084</v>
      </c>
      <c r="Q31" s="5">
        <v>0</v>
      </c>
      <c r="R31" s="5">
        <v>0</v>
      </c>
      <c r="S31" s="5">
        <v>0</v>
      </c>
      <c r="T31" s="5">
        <v>0</v>
      </c>
      <c r="U31" s="5">
        <v>13880</v>
      </c>
      <c r="V31" s="5">
        <v>0</v>
      </c>
      <c r="W31" s="5">
        <v>16758</v>
      </c>
      <c r="X31" s="5">
        <v>0</v>
      </c>
      <c r="Y31" s="5">
        <v>11760</v>
      </c>
      <c r="Z31" s="5">
        <v>6920</v>
      </c>
      <c r="AA31" s="5">
        <v>2784</v>
      </c>
      <c r="AB31" s="5">
        <v>7375</v>
      </c>
      <c r="AC31" s="5">
        <v>12580</v>
      </c>
    </row>
    <row r="32" spans="1:29" x14ac:dyDescent="0.55000000000000004">
      <c r="A32" s="2" t="s">
        <v>36</v>
      </c>
      <c r="B32" s="3" t="s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</row>
    <row r="34" spans="1:29" x14ac:dyDescent="0.55000000000000004">
      <c r="A34" s="1" t="s">
        <v>37</v>
      </c>
      <c r="B34" s="1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spans="1:29" x14ac:dyDescent="0.55000000000000004">
      <c r="A35" s="1" t="s">
        <v>28</v>
      </c>
      <c r="B35" s="1" t="s">
        <v>41</v>
      </c>
      <c r="D35" s="4" t="s">
        <v>20</v>
      </c>
      <c r="E35" s="4" t="s">
        <v>17</v>
      </c>
      <c r="F35" s="4" t="s">
        <v>16</v>
      </c>
      <c r="G35" s="4" t="s">
        <v>3</v>
      </c>
      <c r="H35" s="4" t="s">
        <v>14</v>
      </c>
      <c r="I35" s="4" t="s">
        <v>13</v>
      </c>
      <c r="J35" s="4" t="s">
        <v>11</v>
      </c>
      <c r="K35" s="4" t="s">
        <v>26</v>
      </c>
      <c r="L35" s="4" t="s">
        <v>9</v>
      </c>
      <c r="M35" s="4" t="s">
        <v>19</v>
      </c>
      <c r="N35" s="4" t="s">
        <v>27</v>
      </c>
      <c r="O35" s="4" t="s">
        <v>4</v>
      </c>
      <c r="P35" s="4" t="s">
        <v>25</v>
      </c>
      <c r="Q35" s="4" t="s">
        <v>8</v>
      </c>
      <c r="R35" s="4" t="s">
        <v>7</v>
      </c>
      <c r="S35" s="4" t="s">
        <v>18</v>
      </c>
      <c r="T35" s="4" t="s">
        <v>15</v>
      </c>
      <c r="U35" s="4" t="s">
        <v>12</v>
      </c>
      <c r="V35" s="4" t="s">
        <v>6</v>
      </c>
      <c r="W35" s="4" t="s">
        <v>21</v>
      </c>
      <c r="X35" s="4" t="s">
        <v>22</v>
      </c>
      <c r="Y35" s="4" t="s">
        <v>5</v>
      </c>
      <c r="Z35" s="4" t="s">
        <v>23</v>
      </c>
      <c r="AA35" s="4" t="s">
        <v>24</v>
      </c>
      <c r="AB35" s="4" t="s">
        <v>10</v>
      </c>
      <c r="AC35" s="4" t="s">
        <v>2</v>
      </c>
    </row>
    <row r="36" spans="1:29" x14ac:dyDescent="0.55000000000000004">
      <c r="A36" s="2" t="s">
        <v>44</v>
      </c>
      <c r="B36">
        <v>2</v>
      </c>
      <c r="D36" s="5">
        <f>HLOOKUP(D$35,$D$2:$AC$10,$B36,FALSE)</f>
        <v>61800</v>
      </c>
      <c r="E36" s="5">
        <f t="shared" ref="E36:AC43" si="0">HLOOKUP(E$35,$D$2:$AC$10,$B36,FALSE)</f>
        <v>0</v>
      </c>
      <c r="F36" s="5">
        <f t="shared" si="0"/>
        <v>53000</v>
      </c>
      <c r="G36" s="5">
        <f t="shared" si="0"/>
        <v>0</v>
      </c>
      <c r="H36" s="5">
        <f t="shared" si="0"/>
        <v>21000</v>
      </c>
      <c r="I36" s="5">
        <f t="shared" si="0"/>
        <v>0</v>
      </c>
      <c r="J36" s="5">
        <f t="shared" si="0"/>
        <v>61000</v>
      </c>
      <c r="K36" s="5">
        <f t="shared" si="0"/>
        <v>0</v>
      </c>
      <c r="L36" s="5">
        <f t="shared" si="0"/>
        <v>26000</v>
      </c>
      <c r="M36" s="5">
        <f t="shared" si="0"/>
        <v>252500</v>
      </c>
      <c r="N36" s="5">
        <f t="shared" si="0"/>
        <v>22852</v>
      </c>
      <c r="O36" s="5">
        <f t="shared" si="0"/>
        <v>15000</v>
      </c>
      <c r="P36" s="5">
        <f t="shared" si="0"/>
        <v>0</v>
      </c>
      <c r="Q36" s="5">
        <f t="shared" si="0"/>
        <v>0</v>
      </c>
      <c r="R36" s="5">
        <f t="shared" si="0"/>
        <v>30000</v>
      </c>
      <c r="S36" s="5">
        <f t="shared" si="0"/>
        <v>15000</v>
      </c>
      <c r="T36" s="5">
        <f t="shared" si="0"/>
        <v>42000</v>
      </c>
      <c r="U36" s="5">
        <f t="shared" si="0"/>
        <v>11000</v>
      </c>
      <c r="V36" s="5">
        <f t="shared" si="0"/>
        <v>25000</v>
      </c>
      <c r="W36" s="5">
        <f t="shared" si="0"/>
        <v>34100</v>
      </c>
      <c r="X36" s="5">
        <f t="shared" si="0"/>
        <v>57000</v>
      </c>
      <c r="Y36" s="5">
        <f t="shared" si="0"/>
        <v>36000</v>
      </c>
      <c r="Z36" s="5">
        <f t="shared" si="0"/>
        <v>118300</v>
      </c>
      <c r="AA36" s="5">
        <f t="shared" si="0"/>
        <v>70000</v>
      </c>
      <c r="AB36" s="5">
        <f t="shared" si="0"/>
        <v>0</v>
      </c>
      <c r="AC36" s="5">
        <f t="shared" si="0"/>
        <v>0</v>
      </c>
    </row>
    <row r="37" spans="1:29" x14ac:dyDescent="0.55000000000000004">
      <c r="A37" s="2" t="s">
        <v>30</v>
      </c>
      <c r="B37">
        <v>3</v>
      </c>
      <c r="D37" s="5">
        <f t="shared" ref="D37:D42" si="1">HLOOKUP(D$35,$D$2:$AC$10,$B37,FALSE)</f>
        <v>63980</v>
      </c>
      <c r="E37" s="5">
        <f t="shared" si="0"/>
        <v>0</v>
      </c>
      <c r="F37" s="5">
        <f t="shared" si="0"/>
        <v>53465</v>
      </c>
      <c r="G37" s="5">
        <f t="shared" si="0"/>
        <v>1332886</v>
      </c>
      <c r="H37" s="5">
        <f t="shared" si="0"/>
        <v>208905</v>
      </c>
      <c r="I37" s="5">
        <f t="shared" si="0"/>
        <v>70030</v>
      </c>
      <c r="J37" s="5">
        <f t="shared" si="0"/>
        <v>134044</v>
      </c>
      <c r="K37" s="5">
        <f t="shared" si="0"/>
        <v>0</v>
      </c>
      <c r="L37" s="5">
        <f t="shared" si="0"/>
        <v>39760</v>
      </c>
      <c r="M37" s="5">
        <f t="shared" si="0"/>
        <v>421280</v>
      </c>
      <c r="N37" s="5">
        <f t="shared" si="0"/>
        <v>103965</v>
      </c>
      <c r="O37" s="5">
        <f t="shared" si="0"/>
        <v>122110</v>
      </c>
      <c r="P37" s="5">
        <f t="shared" si="0"/>
        <v>180165</v>
      </c>
      <c r="Q37" s="5">
        <f t="shared" si="0"/>
        <v>6913</v>
      </c>
      <c r="R37" s="5">
        <f t="shared" si="0"/>
        <v>0</v>
      </c>
      <c r="S37" s="5">
        <f t="shared" si="0"/>
        <v>0</v>
      </c>
      <c r="T37" s="5">
        <f t="shared" si="0"/>
        <v>64000</v>
      </c>
      <c r="U37" s="5">
        <f t="shared" si="0"/>
        <v>519277</v>
      </c>
      <c r="V37" s="5">
        <f t="shared" si="0"/>
        <v>30050</v>
      </c>
      <c r="W37" s="5">
        <f t="shared" si="0"/>
        <v>123350</v>
      </c>
      <c r="X37" s="5">
        <f t="shared" si="0"/>
        <v>120458</v>
      </c>
      <c r="Y37" s="5">
        <f t="shared" si="0"/>
        <v>24000</v>
      </c>
      <c r="Z37" s="5">
        <f t="shared" si="0"/>
        <v>1247132</v>
      </c>
      <c r="AA37" s="5">
        <f t="shared" si="0"/>
        <v>315732</v>
      </c>
      <c r="AB37" s="5">
        <f t="shared" si="0"/>
        <v>4750</v>
      </c>
      <c r="AC37" s="5">
        <f t="shared" si="0"/>
        <v>0</v>
      </c>
    </row>
    <row r="38" spans="1:29" x14ac:dyDescent="0.55000000000000004">
      <c r="A38" s="2" t="s">
        <v>31</v>
      </c>
      <c r="B38">
        <v>4</v>
      </c>
      <c r="D38" s="5">
        <f t="shared" si="1"/>
        <v>0</v>
      </c>
      <c r="E38" s="5">
        <f t="shared" si="0"/>
        <v>0</v>
      </c>
      <c r="F38" s="5">
        <f t="shared" si="0"/>
        <v>0</v>
      </c>
      <c r="G38" s="5">
        <f t="shared" si="0"/>
        <v>6300</v>
      </c>
      <c r="H38" s="5">
        <f t="shared" si="0"/>
        <v>0</v>
      </c>
      <c r="I38" s="5">
        <f t="shared" si="0"/>
        <v>0</v>
      </c>
      <c r="J38" s="5">
        <f t="shared" si="0"/>
        <v>0</v>
      </c>
      <c r="K38" s="5">
        <f t="shared" si="0"/>
        <v>0</v>
      </c>
      <c r="L38" s="5">
        <f t="shared" si="0"/>
        <v>0</v>
      </c>
      <c r="M38" s="5">
        <f t="shared" si="0"/>
        <v>42440</v>
      </c>
      <c r="N38" s="5">
        <f t="shared" si="0"/>
        <v>0</v>
      </c>
      <c r="O38" s="5">
        <f t="shared" si="0"/>
        <v>0</v>
      </c>
      <c r="P38" s="5">
        <f t="shared" si="0"/>
        <v>0</v>
      </c>
      <c r="Q38" s="5">
        <f t="shared" si="0"/>
        <v>0</v>
      </c>
      <c r="R38" s="5">
        <f t="shared" si="0"/>
        <v>0</v>
      </c>
      <c r="S38" s="5">
        <f t="shared" si="0"/>
        <v>0</v>
      </c>
      <c r="T38" s="5">
        <f t="shared" si="0"/>
        <v>0</v>
      </c>
      <c r="U38" s="5">
        <f t="shared" si="0"/>
        <v>0</v>
      </c>
      <c r="V38" s="5">
        <f t="shared" si="0"/>
        <v>0</v>
      </c>
      <c r="W38" s="5">
        <f t="shared" si="0"/>
        <v>0</v>
      </c>
      <c r="X38" s="5">
        <f t="shared" si="0"/>
        <v>0</v>
      </c>
      <c r="Y38" s="5">
        <f t="shared" si="0"/>
        <v>0</v>
      </c>
      <c r="Z38" s="5">
        <f t="shared" si="0"/>
        <v>0</v>
      </c>
      <c r="AA38" s="5">
        <f t="shared" si="0"/>
        <v>0</v>
      </c>
      <c r="AB38" s="5">
        <f t="shared" si="0"/>
        <v>0</v>
      </c>
      <c r="AC38" s="5">
        <f t="shared" si="0"/>
        <v>0</v>
      </c>
    </row>
    <row r="39" spans="1:29" x14ac:dyDescent="0.55000000000000004">
      <c r="A39" s="2" t="s">
        <v>32</v>
      </c>
      <c r="B39">
        <v>5</v>
      </c>
      <c r="D39" s="5">
        <f t="shared" si="1"/>
        <v>7037199</v>
      </c>
      <c r="E39" s="5">
        <f t="shared" si="0"/>
        <v>43967</v>
      </c>
      <c r="F39" s="5">
        <f t="shared" si="0"/>
        <v>1164635</v>
      </c>
      <c r="G39" s="5">
        <f t="shared" si="0"/>
        <v>14810665</v>
      </c>
      <c r="H39" s="5">
        <f t="shared" si="0"/>
        <v>9264144</v>
      </c>
      <c r="I39" s="5">
        <f t="shared" si="0"/>
        <v>1707904</v>
      </c>
      <c r="J39" s="5">
        <f t="shared" si="0"/>
        <v>5690235</v>
      </c>
      <c r="K39" s="5">
        <f t="shared" si="0"/>
        <v>3197208</v>
      </c>
      <c r="L39" s="5">
        <f t="shared" si="0"/>
        <v>737927</v>
      </c>
      <c r="M39" s="5">
        <f t="shared" si="0"/>
        <v>2909310</v>
      </c>
      <c r="N39" s="5">
        <f t="shared" si="0"/>
        <v>212137</v>
      </c>
      <c r="O39" s="5">
        <f t="shared" si="0"/>
        <v>1750570</v>
      </c>
      <c r="P39" s="5">
        <f t="shared" si="0"/>
        <v>1811675</v>
      </c>
      <c r="Q39" s="5">
        <f t="shared" si="0"/>
        <v>80637</v>
      </c>
      <c r="R39" s="5">
        <f t="shared" si="0"/>
        <v>51000</v>
      </c>
      <c r="S39" s="5">
        <f t="shared" si="0"/>
        <v>3769608</v>
      </c>
      <c r="T39" s="5">
        <f t="shared" si="0"/>
        <v>991500</v>
      </c>
      <c r="U39" s="5">
        <f t="shared" si="0"/>
        <v>6370240</v>
      </c>
      <c r="V39" s="5">
        <f t="shared" si="0"/>
        <v>1403910</v>
      </c>
      <c r="W39" s="5">
        <f t="shared" si="0"/>
        <v>4231550</v>
      </c>
      <c r="X39" s="5">
        <f t="shared" si="0"/>
        <v>9286851</v>
      </c>
      <c r="Y39" s="5">
        <f t="shared" si="0"/>
        <v>86800</v>
      </c>
      <c r="Z39" s="5">
        <f t="shared" si="0"/>
        <v>5536433</v>
      </c>
      <c r="AA39" s="5">
        <f t="shared" si="0"/>
        <v>7554494</v>
      </c>
      <c r="AB39" s="5">
        <f t="shared" si="0"/>
        <v>722500</v>
      </c>
      <c r="AC39" s="5">
        <f t="shared" si="0"/>
        <v>7283484</v>
      </c>
    </row>
    <row r="40" spans="1:29" x14ac:dyDescent="0.55000000000000004">
      <c r="A40" s="2" t="s">
        <v>33</v>
      </c>
      <c r="B40">
        <v>6</v>
      </c>
      <c r="D40" s="5">
        <f t="shared" si="1"/>
        <v>1930967</v>
      </c>
      <c r="E40" s="5">
        <f t="shared" si="0"/>
        <v>63961</v>
      </c>
      <c r="F40" s="5">
        <f t="shared" si="0"/>
        <v>409806</v>
      </c>
      <c r="G40" s="5">
        <f t="shared" si="0"/>
        <v>3665500</v>
      </c>
      <c r="H40" s="5">
        <f t="shared" si="0"/>
        <v>998844</v>
      </c>
      <c r="I40" s="5">
        <f t="shared" si="0"/>
        <v>3147093</v>
      </c>
      <c r="J40" s="5">
        <f t="shared" si="0"/>
        <v>2727025</v>
      </c>
      <c r="K40" s="5">
        <f t="shared" si="0"/>
        <v>112248</v>
      </c>
      <c r="L40" s="5">
        <f t="shared" si="0"/>
        <v>85179</v>
      </c>
      <c r="M40" s="5">
        <f t="shared" si="0"/>
        <v>1639105</v>
      </c>
      <c r="N40" s="5">
        <f t="shared" si="0"/>
        <v>27709</v>
      </c>
      <c r="O40" s="5">
        <f t="shared" si="0"/>
        <v>2785727</v>
      </c>
      <c r="P40" s="5">
        <f t="shared" si="0"/>
        <v>102408</v>
      </c>
      <c r="Q40" s="5">
        <f t="shared" si="0"/>
        <v>29115</v>
      </c>
      <c r="R40" s="5">
        <f t="shared" si="0"/>
        <v>18000</v>
      </c>
      <c r="S40" s="5">
        <f t="shared" si="0"/>
        <v>3068160</v>
      </c>
      <c r="T40" s="5">
        <f t="shared" si="0"/>
        <v>352800</v>
      </c>
      <c r="U40" s="5">
        <f t="shared" si="0"/>
        <v>1487753</v>
      </c>
      <c r="V40" s="5">
        <f t="shared" si="0"/>
        <v>269714</v>
      </c>
      <c r="W40" s="5">
        <f t="shared" si="0"/>
        <v>3840900</v>
      </c>
      <c r="X40" s="5">
        <f t="shared" si="0"/>
        <v>51867</v>
      </c>
      <c r="Y40" s="5">
        <f t="shared" si="0"/>
        <v>34000</v>
      </c>
      <c r="Z40" s="5">
        <f t="shared" si="0"/>
        <v>4861930</v>
      </c>
      <c r="AA40" s="5">
        <f t="shared" si="0"/>
        <v>349006</v>
      </c>
      <c r="AB40" s="5">
        <f t="shared" si="0"/>
        <v>2681760</v>
      </c>
      <c r="AC40" s="5">
        <f t="shared" si="0"/>
        <v>10611639</v>
      </c>
    </row>
    <row r="41" spans="1:29" x14ac:dyDescent="0.55000000000000004">
      <c r="A41" s="2" t="s">
        <v>34</v>
      </c>
      <c r="B41">
        <v>7</v>
      </c>
      <c r="D41" s="5">
        <f t="shared" si="1"/>
        <v>173846</v>
      </c>
      <c r="E41" s="5">
        <f t="shared" si="0"/>
        <v>0</v>
      </c>
      <c r="F41" s="5">
        <f t="shared" si="0"/>
        <v>110797.5</v>
      </c>
      <c r="G41" s="5">
        <f t="shared" si="0"/>
        <v>1644742</v>
      </c>
      <c r="H41" s="5">
        <f t="shared" si="0"/>
        <v>161690</v>
      </c>
      <c r="I41" s="5">
        <f t="shared" si="0"/>
        <v>363164</v>
      </c>
      <c r="J41" s="5">
        <f t="shared" si="0"/>
        <v>766909</v>
      </c>
      <c r="K41" s="5">
        <f t="shared" si="0"/>
        <v>0</v>
      </c>
      <c r="L41" s="5">
        <f t="shared" si="0"/>
        <v>119010</v>
      </c>
      <c r="M41" s="5">
        <f t="shared" si="0"/>
        <v>111760</v>
      </c>
      <c r="N41" s="5">
        <f t="shared" si="0"/>
        <v>15734</v>
      </c>
      <c r="O41" s="5">
        <f t="shared" si="0"/>
        <v>250117</v>
      </c>
      <c r="P41" s="5">
        <f t="shared" si="0"/>
        <v>63761</v>
      </c>
      <c r="Q41" s="5">
        <f t="shared" si="0"/>
        <v>23488.5</v>
      </c>
      <c r="R41" s="5">
        <f t="shared" si="0"/>
        <v>61000</v>
      </c>
      <c r="S41" s="5">
        <f t="shared" si="0"/>
        <v>10000</v>
      </c>
      <c r="T41" s="5">
        <f t="shared" si="0"/>
        <v>572029</v>
      </c>
      <c r="U41" s="5">
        <f t="shared" si="0"/>
        <v>207509</v>
      </c>
      <c r="V41" s="5">
        <f t="shared" si="0"/>
        <v>485526</v>
      </c>
      <c r="W41" s="5">
        <f t="shared" si="0"/>
        <v>267598</v>
      </c>
      <c r="X41" s="5">
        <f t="shared" si="0"/>
        <v>117550</v>
      </c>
      <c r="Y41" s="5">
        <f t="shared" si="0"/>
        <v>84000</v>
      </c>
      <c r="Z41" s="5">
        <f t="shared" si="0"/>
        <v>134284</v>
      </c>
      <c r="AA41" s="5">
        <f t="shared" si="0"/>
        <v>73571</v>
      </c>
      <c r="AB41" s="5">
        <f t="shared" si="0"/>
        <v>13690</v>
      </c>
      <c r="AC41" s="5">
        <f t="shared" si="0"/>
        <v>1020849</v>
      </c>
    </row>
    <row r="42" spans="1:29" x14ac:dyDescent="0.55000000000000004">
      <c r="A42" s="2" t="s">
        <v>35</v>
      </c>
      <c r="B42">
        <v>8</v>
      </c>
      <c r="D42" s="5">
        <f t="shared" si="1"/>
        <v>42858</v>
      </c>
      <c r="E42" s="5">
        <f t="shared" si="0"/>
        <v>3670</v>
      </c>
      <c r="F42" s="5">
        <f t="shared" si="0"/>
        <v>33585</v>
      </c>
      <c r="G42" s="5">
        <f t="shared" si="0"/>
        <v>213600</v>
      </c>
      <c r="H42" s="5">
        <f t="shared" si="0"/>
        <v>69661</v>
      </c>
      <c r="I42" s="5">
        <f t="shared" si="0"/>
        <v>14372</v>
      </c>
      <c r="J42" s="5">
        <f t="shared" si="0"/>
        <v>58519</v>
      </c>
      <c r="K42" s="5">
        <f t="shared" si="0"/>
        <v>30583</v>
      </c>
      <c r="L42" s="5">
        <f t="shared" si="0"/>
        <v>13700</v>
      </c>
      <c r="M42" s="5">
        <f t="shared" si="0"/>
        <v>224777</v>
      </c>
      <c r="N42" s="5">
        <f t="shared" si="0"/>
        <v>44528</v>
      </c>
      <c r="O42" s="5">
        <f t="shared" si="0"/>
        <v>128214</v>
      </c>
      <c r="P42" s="5">
        <f t="shared" si="0"/>
        <v>64824</v>
      </c>
      <c r="Q42" s="5">
        <f t="shared" si="0"/>
        <v>0</v>
      </c>
      <c r="R42" s="5">
        <f t="shared" si="0"/>
        <v>0</v>
      </c>
      <c r="S42" s="5">
        <f t="shared" si="0"/>
        <v>21000</v>
      </c>
      <c r="T42" s="5">
        <f t="shared" si="0"/>
        <v>0</v>
      </c>
      <c r="U42" s="5">
        <f t="shared" si="0"/>
        <v>66592.5</v>
      </c>
      <c r="V42" s="5">
        <f t="shared" si="0"/>
        <v>17197</v>
      </c>
      <c r="W42" s="5">
        <f t="shared" si="0"/>
        <v>36420</v>
      </c>
      <c r="X42" s="5">
        <f t="shared" si="0"/>
        <v>97519</v>
      </c>
      <c r="Y42" s="5">
        <f t="shared" si="0"/>
        <v>16600</v>
      </c>
      <c r="Z42" s="5">
        <f t="shared" si="0"/>
        <v>956122</v>
      </c>
      <c r="AA42" s="5">
        <f t="shared" si="0"/>
        <v>73413</v>
      </c>
      <c r="AB42" s="5">
        <f t="shared" si="0"/>
        <v>0</v>
      </c>
      <c r="AC42" s="5">
        <f t="shared" si="0"/>
        <v>31000</v>
      </c>
    </row>
    <row r="43" spans="1:29" x14ac:dyDescent="0.55000000000000004">
      <c r="A43" s="2" t="s">
        <v>36</v>
      </c>
      <c r="B43">
        <v>9</v>
      </c>
      <c r="D43" s="5">
        <f>HLOOKUP(D$35,$D$2:$AC$10,$B43,FALSE)</f>
        <v>0</v>
      </c>
      <c r="E43" s="5">
        <f t="shared" si="0"/>
        <v>0</v>
      </c>
      <c r="F43" s="5">
        <f t="shared" si="0"/>
        <v>0</v>
      </c>
      <c r="G43" s="5">
        <f t="shared" si="0"/>
        <v>6000</v>
      </c>
      <c r="H43" s="5">
        <f t="shared" si="0"/>
        <v>0</v>
      </c>
      <c r="I43" s="5">
        <f t="shared" si="0"/>
        <v>0</v>
      </c>
      <c r="J43" s="5">
        <f t="shared" si="0"/>
        <v>0</v>
      </c>
      <c r="K43" s="5">
        <f t="shared" si="0"/>
        <v>2400</v>
      </c>
      <c r="L43" s="5">
        <f t="shared" si="0"/>
        <v>0</v>
      </c>
      <c r="M43" s="5">
        <f t="shared" si="0"/>
        <v>15000</v>
      </c>
      <c r="N43" s="5">
        <f t="shared" si="0"/>
        <v>0</v>
      </c>
      <c r="O43" s="5">
        <f t="shared" si="0"/>
        <v>0</v>
      </c>
      <c r="P43" s="5">
        <f t="shared" si="0"/>
        <v>0</v>
      </c>
      <c r="Q43" s="5">
        <f t="shared" si="0"/>
        <v>0</v>
      </c>
      <c r="R43" s="5">
        <f t="shared" si="0"/>
        <v>0</v>
      </c>
      <c r="S43" s="5">
        <f t="shared" si="0"/>
        <v>0</v>
      </c>
      <c r="T43" s="5">
        <f t="shared" si="0"/>
        <v>0</v>
      </c>
      <c r="U43" s="5">
        <f t="shared" si="0"/>
        <v>0</v>
      </c>
      <c r="V43" s="5">
        <f t="shared" si="0"/>
        <v>0</v>
      </c>
      <c r="W43" s="5">
        <f t="shared" si="0"/>
        <v>14000</v>
      </c>
      <c r="X43" s="5">
        <f t="shared" si="0"/>
        <v>0</v>
      </c>
      <c r="Y43" s="5">
        <f t="shared" si="0"/>
        <v>0</v>
      </c>
      <c r="Z43" s="5">
        <f t="shared" si="0"/>
        <v>2400</v>
      </c>
      <c r="AA43" s="5">
        <f t="shared" si="0"/>
        <v>0</v>
      </c>
      <c r="AB43" s="5">
        <f t="shared" si="0"/>
        <v>0</v>
      </c>
      <c r="AC43" s="5">
        <f t="shared" si="0"/>
        <v>0</v>
      </c>
    </row>
    <row r="44" spans="1:29" x14ac:dyDescent="0.55000000000000004">
      <c r="A44" s="2"/>
    </row>
    <row r="45" spans="1:29" x14ac:dyDescent="0.55000000000000004">
      <c r="A45" s="1" t="s">
        <v>39</v>
      </c>
      <c r="B45" s="1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spans="1:29" x14ac:dyDescent="0.55000000000000004">
      <c r="A46" s="1" t="s">
        <v>28</v>
      </c>
      <c r="B46" s="1" t="s">
        <v>41</v>
      </c>
      <c r="D46" s="4" t="s">
        <v>20</v>
      </c>
      <c r="E46" s="4" t="s">
        <v>17</v>
      </c>
      <c r="F46" s="4" t="s">
        <v>16</v>
      </c>
      <c r="G46" s="4" t="s">
        <v>3</v>
      </c>
      <c r="H46" s="4" t="s">
        <v>14</v>
      </c>
      <c r="I46" s="4" t="s">
        <v>13</v>
      </c>
      <c r="J46" s="4" t="s">
        <v>11</v>
      </c>
      <c r="K46" s="4" t="s">
        <v>26</v>
      </c>
      <c r="L46" s="4" t="s">
        <v>9</v>
      </c>
      <c r="M46" s="4" t="s">
        <v>19</v>
      </c>
      <c r="N46" s="4" t="s">
        <v>27</v>
      </c>
      <c r="O46" s="4" t="s">
        <v>4</v>
      </c>
      <c r="P46" s="4" t="s">
        <v>25</v>
      </c>
      <c r="Q46" s="4" t="s">
        <v>8</v>
      </c>
      <c r="R46" s="4" t="s">
        <v>7</v>
      </c>
      <c r="S46" s="4" t="s">
        <v>18</v>
      </c>
      <c r="T46" s="4" t="s">
        <v>15</v>
      </c>
      <c r="U46" s="4" t="s">
        <v>12</v>
      </c>
      <c r="V46" s="4" t="s">
        <v>6</v>
      </c>
      <c r="W46" s="4" t="s">
        <v>21</v>
      </c>
      <c r="X46" s="4" t="s">
        <v>22</v>
      </c>
      <c r="Y46" s="4" t="s">
        <v>5</v>
      </c>
      <c r="Z46" s="4" t="s">
        <v>23</v>
      </c>
      <c r="AA46" s="4" t="s">
        <v>24</v>
      </c>
      <c r="AB46" s="4" t="s">
        <v>10</v>
      </c>
      <c r="AC46" s="4" t="s">
        <v>2</v>
      </c>
    </row>
    <row r="47" spans="1:29" x14ac:dyDescent="0.55000000000000004">
      <c r="A47" s="2" t="s">
        <v>44</v>
      </c>
      <c r="B47">
        <v>2</v>
      </c>
      <c r="D47" s="5">
        <f>HLOOKUP(D$46,$D$13:$AC$21,$B47,FALSE)</f>
        <v>6000</v>
      </c>
      <c r="E47" s="5">
        <f t="shared" ref="E47:AC54" si="2">HLOOKUP(E$46,$D$13:$AC$21,$B47,FALSE)</f>
        <v>4000</v>
      </c>
      <c r="F47" s="5">
        <f t="shared" si="2"/>
        <v>10000</v>
      </c>
      <c r="G47" s="5">
        <f t="shared" si="2"/>
        <v>0</v>
      </c>
      <c r="H47" s="5">
        <f t="shared" si="2"/>
        <v>5000</v>
      </c>
      <c r="I47" s="5">
        <f t="shared" si="2"/>
        <v>0</v>
      </c>
      <c r="J47" s="5">
        <f t="shared" si="2"/>
        <v>0</v>
      </c>
      <c r="K47" s="5">
        <f t="shared" si="2"/>
        <v>0</v>
      </c>
      <c r="L47" s="5">
        <f t="shared" si="2"/>
        <v>10000</v>
      </c>
      <c r="M47" s="5">
        <f t="shared" si="2"/>
        <v>55000</v>
      </c>
      <c r="N47" s="5">
        <f t="shared" si="2"/>
        <v>0</v>
      </c>
      <c r="O47" s="5">
        <f t="shared" si="2"/>
        <v>0</v>
      </c>
      <c r="P47" s="5">
        <f t="shared" si="2"/>
        <v>0</v>
      </c>
      <c r="Q47" s="5">
        <f t="shared" si="2"/>
        <v>0</v>
      </c>
      <c r="R47" s="5">
        <f t="shared" si="2"/>
        <v>0</v>
      </c>
      <c r="S47" s="5">
        <f t="shared" si="2"/>
        <v>7500</v>
      </c>
      <c r="T47" s="5">
        <f t="shared" si="2"/>
        <v>0</v>
      </c>
      <c r="U47" s="5">
        <f t="shared" si="2"/>
        <v>2990</v>
      </c>
      <c r="V47" s="5">
        <f t="shared" si="2"/>
        <v>10000</v>
      </c>
      <c r="W47" s="5">
        <f t="shared" si="2"/>
        <v>12000</v>
      </c>
      <c r="X47" s="5">
        <f t="shared" si="2"/>
        <v>3000</v>
      </c>
      <c r="Y47" s="5">
        <f t="shared" si="2"/>
        <v>28000</v>
      </c>
      <c r="Z47" s="5">
        <f t="shared" si="2"/>
        <v>0</v>
      </c>
      <c r="AA47" s="5">
        <f t="shared" si="2"/>
        <v>0</v>
      </c>
      <c r="AB47" s="5">
        <f t="shared" si="2"/>
        <v>0</v>
      </c>
      <c r="AC47" s="5">
        <f t="shared" si="2"/>
        <v>0</v>
      </c>
    </row>
    <row r="48" spans="1:29" x14ac:dyDescent="0.55000000000000004">
      <c r="A48" s="2" t="s">
        <v>30</v>
      </c>
      <c r="B48">
        <v>3</v>
      </c>
      <c r="D48" s="5">
        <f t="shared" ref="D48:S54" si="3">HLOOKUP(D$46,$D$13:$AC$21,$B48,FALSE)</f>
        <v>19953</v>
      </c>
      <c r="E48" s="5">
        <f t="shared" si="3"/>
        <v>4550</v>
      </c>
      <c r="F48" s="5">
        <f t="shared" si="3"/>
        <v>8000</v>
      </c>
      <c r="G48" s="5">
        <f t="shared" si="3"/>
        <v>558197</v>
      </c>
      <c r="H48" s="5">
        <f t="shared" si="3"/>
        <v>149035</v>
      </c>
      <c r="I48" s="5">
        <f t="shared" si="3"/>
        <v>67260</v>
      </c>
      <c r="J48" s="5">
        <f t="shared" si="3"/>
        <v>88616</v>
      </c>
      <c r="K48" s="5">
        <f t="shared" si="3"/>
        <v>0</v>
      </c>
      <c r="L48" s="5">
        <f t="shared" si="3"/>
        <v>49240</v>
      </c>
      <c r="M48" s="5">
        <f t="shared" si="3"/>
        <v>911920</v>
      </c>
      <c r="N48" s="5">
        <f t="shared" si="3"/>
        <v>67180</v>
      </c>
      <c r="O48" s="5">
        <f t="shared" si="3"/>
        <v>183840</v>
      </c>
      <c r="P48" s="5">
        <f t="shared" si="3"/>
        <v>303040</v>
      </c>
      <c r="Q48" s="5">
        <f t="shared" si="3"/>
        <v>4625</v>
      </c>
      <c r="R48" s="5">
        <f t="shared" si="3"/>
        <v>0</v>
      </c>
      <c r="S48" s="5">
        <f t="shared" si="3"/>
        <v>0</v>
      </c>
      <c r="T48" s="5">
        <f t="shared" si="2"/>
        <v>94775</v>
      </c>
      <c r="U48" s="5">
        <f t="shared" si="2"/>
        <v>220309</v>
      </c>
      <c r="V48" s="5">
        <f t="shared" si="2"/>
        <v>15130</v>
      </c>
      <c r="W48" s="5">
        <f t="shared" si="2"/>
        <v>94750</v>
      </c>
      <c r="X48" s="5">
        <f t="shared" si="2"/>
        <v>36720</v>
      </c>
      <c r="Y48" s="5">
        <f t="shared" si="2"/>
        <v>18000</v>
      </c>
      <c r="Z48" s="5">
        <f t="shared" si="2"/>
        <v>369240</v>
      </c>
      <c r="AA48" s="5">
        <f t="shared" si="2"/>
        <v>267867</v>
      </c>
      <c r="AB48" s="5">
        <f t="shared" si="2"/>
        <v>5125</v>
      </c>
      <c r="AC48" s="5">
        <f t="shared" si="2"/>
        <v>0</v>
      </c>
    </row>
    <row r="49" spans="1:29" x14ac:dyDescent="0.55000000000000004">
      <c r="A49" s="2" t="s">
        <v>31</v>
      </c>
      <c r="B49">
        <v>4</v>
      </c>
      <c r="D49" s="5">
        <f t="shared" si="3"/>
        <v>0</v>
      </c>
      <c r="E49" s="5">
        <f t="shared" si="2"/>
        <v>0</v>
      </c>
      <c r="F49" s="5">
        <f t="shared" si="2"/>
        <v>0</v>
      </c>
      <c r="G49" s="5">
        <f t="shared" si="2"/>
        <v>240260</v>
      </c>
      <c r="H49" s="5">
        <f t="shared" si="2"/>
        <v>55520</v>
      </c>
      <c r="I49" s="5">
        <f t="shared" si="2"/>
        <v>24100</v>
      </c>
      <c r="J49" s="5">
        <f t="shared" si="2"/>
        <v>147200</v>
      </c>
      <c r="K49" s="5">
        <f t="shared" si="2"/>
        <v>0</v>
      </c>
      <c r="L49" s="5">
        <f t="shared" si="2"/>
        <v>0</v>
      </c>
      <c r="M49" s="5">
        <f t="shared" si="2"/>
        <v>555075</v>
      </c>
      <c r="N49" s="5">
        <f t="shared" si="2"/>
        <v>0</v>
      </c>
      <c r="O49" s="5">
        <f t="shared" si="2"/>
        <v>0</v>
      </c>
      <c r="P49" s="5">
        <f t="shared" si="2"/>
        <v>0</v>
      </c>
      <c r="Q49" s="5">
        <f t="shared" si="2"/>
        <v>0</v>
      </c>
      <c r="R49" s="5">
        <f t="shared" si="2"/>
        <v>0</v>
      </c>
      <c r="S49" s="5">
        <f t="shared" si="2"/>
        <v>0</v>
      </c>
      <c r="T49" s="5">
        <f t="shared" si="2"/>
        <v>0</v>
      </c>
      <c r="U49" s="5">
        <f t="shared" si="2"/>
        <v>0</v>
      </c>
      <c r="V49" s="5">
        <f t="shared" si="2"/>
        <v>0</v>
      </c>
      <c r="W49" s="5">
        <f t="shared" si="2"/>
        <v>32750</v>
      </c>
      <c r="X49" s="5">
        <f t="shared" si="2"/>
        <v>30460</v>
      </c>
      <c r="Y49" s="5">
        <f t="shared" si="2"/>
        <v>0</v>
      </c>
      <c r="Z49" s="5">
        <f t="shared" si="2"/>
        <v>59808</v>
      </c>
      <c r="AA49" s="5">
        <f t="shared" si="2"/>
        <v>123410</v>
      </c>
      <c r="AB49" s="5">
        <f t="shared" si="2"/>
        <v>0</v>
      </c>
      <c r="AC49" s="5">
        <f t="shared" si="2"/>
        <v>0</v>
      </c>
    </row>
    <row r="50" spans="1:29" x14ac:dyDescent="0.55000000000000004">
      <c r="A50" s="2" t="s">
        <v>32</v>
      </c>
      <c r="B50">
        <v>5</v>
      </c>
      <c r="D50" s="5">
        <f t="shared" si="3"/>
        <v>791767</v>
      </c>
      <c r="E50" s="5">
        <f t="shared" si="2"/>
        <v>11465</v>
      </c>
      <c r="F50" s="5">
        <f t="shared" si="2"/>
        <v>69419</v>
      </c>
      <c r="G50" s="5">
        <f t="shared" si="2"/>
        <v>2342750</v>
      </c>
      <c r="H50" s="5">
        <f t="shared" si="2"/>
        <v>868524</v>
      </c>
      <c r="I50" s="5">
        <f t="shared" si="2"/>
        <v>313327</v>
      </c>
      <c r="J50" s="5">
        <f t="shared" si="2"/>
        <v>517882</v>
      </c>
      <c r="K50" s="5">
        <f t="shared" si="2"/>
        <v>87361</v>
      </c>
      <c r="L50" s="5">
        <f t="shared" si="2"/>
        <v>47020</v>
      </c>
      <c r="M50" s="5">
        <f t="shared" si="2"/>
        <v>1427488</v>
      </c>
      <c r="N50" s="5">
        <f t="shared" si="2"/>
        <v>15458</v>
      </c>
      <c r="O50" s="5">
        <f t="shared" si="2"/>
        <v>497159</v>
      </c>
      <c r="P50" s="5">
        <f t="shared" si="2"/>
        <v>113156</v>
      </c>
      <c r="Q50" s="5">
        <f t="shared" si="2"/>
        <v>129421</v>
      </c>
      <c r="R50" s="5">
        <f t="shared" si="2"/>
        <v>0</v>
      </c>
      <c r="S50" s="5">
        <f t="shared" si="2"/>
        <v>103180</v>
      </c>
      <c r="T50" s="5">
        <f t="shared" si="2"/>
        <v>81885</v>
      </c>
      <c r="U50" s="5">
        <f t="shared" si="2"/>
        <v>725483</v>
      </c>
      <c r="V50" s="5">
        <f t="shared" si="2"/>
        <v>430322</v>
      </c>
      <c r="W50" s="5">
        <f t="shared" si="2"/>
        <v>529449</v>
      </c>
      <c r="X50" s="5">
        <f t="shared" si="2"/>
        <v>627887</v>
      </c>
      <c r="Y50" s="5">
        <f t="shared" si="2"/>
        <v>37000</v>
      </c>
      <c r="Z50" s="5">
        <f t="shared" si="2"/>
        <v>406302</v>
      </c>
      <c r="AA50" s="5">
        <f t="shared" si="2"/>
        <v>2228342</v>
      </c>
      <c r="AB50" s="5">
        <f t="shared" si="2"/>
        <v>263500</v>
      </c>
      <c r="AC50" s="5">
        <f t="shared" si="2"/>
        <v>1104723</v>
      </c>
    </row>
    <row r="51" spans="1:29" x14ac:dyDescent="0.55000000000000004">
      <c r="A51" s="2" t="s">
        <v>33</v>
      </c>
      <c r="B51">
        <v>6</v>
      </c>
      <c r="D51" s="5">
        <f t="shared" si="3"/>
        <v>556889</v>
      </c>
      <c r="E51" s="5">
        <f t="shared" si="2"/>
        <v>9660</v>
      </c>
      <c r="F51" s="5">
        <f t="shared" si="2"/>
        <v>32988</v>
      </c>
      <c r="G51" s="5">
        <f t="shared" si="2"/>
        <v>1277020</v>
      </c>
      <c r="H51" s="5">
        <f t="shared" si="2"/>
        <v>281968</v>
      </c>
      <c r="I51" s="5">
        <f t="shared" si="2"/>
        <v>284865</v>
      </c>
      <c r="J51" s="5">
        <f t="shared" si="2"/>
        <v>684249</v>
      </c>
      <c r="K51" s="5">
        <f t="shared" si="2"/>
        <v>0</v>
      </c>
      <c r="L51" s="5">
        <f t="shared" si="2"/>
        <v>52128</v>
      </c>
      <c r="M51" s="5">
        <f t="shared" si="2"/>
        <v>1955390</v>
      </c>
      <c r="N51" s="5">
        <f t="shared" si="2"/>
        <v>7740</v>
      </c>
      <c r="O51" s="5">
        <f t="shared" si="2"/>
        <v>2134794</v>
      </c>
      <c r="P51" s="5">
        <f t="shared" si="2"/>
        <v>8625</v>
      </c>
      <c r="Q51" s="5">
        <f t="shared" si="2"/>
        <v>155248</v>
      </c>
      <c r="R51" s="5">
        <f t="shared" si="2"/>
        <v>13530</v>
      </c>
      <c r="S51" s="5">
        <f t="shared" si="2"/>
        <v>606818</v>
      </c>
      <c r="T51" s="5">
        <f t="shared" si="2"/>
        <v>58600</v>
      </c>
      <c r="U51" s="5">
        <f t="shared" si="2"/>
        <v>646169</v>
      </c>
      <c r="V51" s="5">
        <f t="shared" si="2"/>
        <v>429070</v>
      </c>
      <c r="W51" s="5">
        <f t="shared" si="2"/>
        <v>1336684</v>
      </c>
      <c r="X51" s="5">
        <f t="shared" si="2"/>
        <v>55134</v>
      </c>
      <c r="Y51" s="5">
        <f t="shared" si="2"/>
        <v>34000</v>
      </c>
      <c r="Z51" s="5">
        <f t="shared" si="2"/>
        <v>708500</v>
      </c>
      <c r="AA51" s="5">
        <f t="shared" si="2"/>
        <v>339527</v>
      </c>
      <c r="AB51" s="5">
        <f t="shared" si="2"/>
        <v>1279161</v>
      </c>
      <c r="AC51" s="5">
        <f t="shared" si="2"/>
        <v>4668524</v>
      </c>
    </row>
    <row r="52" spans="1:29" x14ac:dyDescent="0.55000000000000004">
      <c r="A52" s="2" t="s">
        <v>34</v>
      </c>
      <c r="B52">
        <v>7</v>
      </c>
      <c r="D52" s="5">
        <f t="shared" si="3"/>
        <v>190417</v>
      </c>
      <c r="E52" s="5">
        <f t="shared" si="2"/>
        <v>0</v>
      </c>
      <c r="F52" s="5">
        <f t="shared" si="2"/>
        <v>25490</v>
      </c>
      <c r="G52" s="5">
        <f t="shared" si="2"/>
        <v>1909506</v>
      </c>
      <c r="H52" s="5">
        <f t="shared" si="2"/>
        <v>492265</v>
      </c>
      <c r="I52" s="5">
        <f t="shared" si="2"/>
        <v>1772830</v>
      </c>
      <c r="J52" s="5">
        <f t="shared" si="2"/>
        <v>818030</v>
      </c>
      <c r="K52" s="5">
        <f t="shared" si="2"/>
        <v>0</v>
      </c>
      <c r="L52" s="5">
        <f t="shared" si="2"/>
        <v>44220</v>
      </c>
      <c r="M52" s="5">
        <f t="shared" si="2"/>
        <v>1010475</v>
      </c>
      <c r="N52" s="5">
        <f t="shared" si="2"/>
        <v>4600</v>
      </c>
      <c r="O52" s="5">
        <f t="shared" si="2"/>
        <v>601826</v>
      </c>
      <c r="P52" s="5">
        <f t="shared" si="2"/>
        <v>111700</v>
      </c>
      <c r="Q52" s="5">
        <f t="shared" si="2"/>
        <v>161872</v>
      </c>
      <c r="R52" s="5">
        <f t="shared" si="2"/>
        <v>80600</v>
      </c>
      <c r="S52" s="5">
        <f t="shared" si="2"/>
        <v>0</v>
      </c>
      <c r="T52" s="5">
        <f t="shared" si="2"/>
        <v>730345</v>
      </c>
      <c r="U52" s="5">
        <f t="shared" si="2"/>
        <v>335986</v>
      </c>
      <c r="V52" s="5">
        <f t="shared" si="2"/>
        <v>996405</v>
      </c>
      <c r="W52" s="5">
        <f t="shared" si="2"/>
        <v>308919</v>
      </c>
      <c r="X52" s="5">
        <f t="shared" si="2"/>
        <v>161950</v>
      </c>
      <c r="Y52" s="5">
        <f t="shared" si="2"/>
        <v>195940</v>
      </c>
      <c r="Z52" s="5">
        <f t="shared" si="2"/>
        <v>260099.5</v>
      </c>
      <c r="AA52" s="5">
        <f t="shared" si="2"/>
        <v>872566</v>
      </c>
      <c r="AB52" s="5">
        <f t="shared" si="2"/>
        <v>380540</v>
      </c>
      <c r="AC52" s="5">
        <f t="shared" si="2"/>
        <v>968085</v>
      </c>
    </row>
    <row r="53" spans="1:29" x14ac:dyDescent="0.55000000000000004">
      <c r="A53" s="2" t="s">
        <v>35</v>
      </c>
      <c r="B53">
        <v>8</v>
      </c>
      <c r="D53" s="5">
        <f t="shared" si="3"/>
        <v>0</v>
      </c>
      <c r="E53" s="5">
        <f t="shared" si="2"/>
        <v>5670</v>
      </c>
      <c r="F53" s="5">
        <f t="shared" si="2"/>
        <v>14959</v>
      </c>
      <c r="G53" s="5">
        <f t="shared" si="2"/>
        <v>151300</v>
      </c>
      <c r="H53" s="5">
        <f t="shared" si="2"/>
        <v>31724</v>
      </c>
      <c r="I53" s="5">
        <f t="shared" si="2"/>
        <v>14880</v>
      </c>
      <c r="J53" s="5">
        <f t="shared" si="2"/>
        <v>26865</v>
      </c>
      <c r="K53" s="5">
        <f t="shared" si="2"/>
        <v>117520</v>
      </c>
      <c r="L53" s="5">
        <f t="shared" si="2"/>
        <v>0</v>
      </c>
      <c r="M53" s="5">
        <f t="shared" si="2"/>
        <v>123455</v>
      </c>
      <c r="N53" s="5">
        <f t="shared" si="2"/>
        <v>16294</v>
      </c>
      <c r="O53" s="5">
        <f t="shared" si="2"/>
        <v>87606.55</v>
      </c>
      <c r="P53" s="5">
        <f t="shared" si="2"/>
        <v>41270</v>
      </c>
      <c r="Q53" s="5">
        <f t="shared" si="2"/>
        <v>0</v>
      </c>
      <c r="R53" s="5">
        <f t="shared" si="2"/>
        <v>0</v>
      </c>
      <c r="S53" s="5">
        <f t="shared" si="2"/>
        <v>8000</v>
      </c>
      <c r="T53" s="5">
        <f t="shared" si="2"/>
        <v>0</v>
      </c>
      <c r="U53" s="5">
        <f t="shared" si="2"/>
        <v>5805</v>
      </c>
      <c r="V53" s="5">
        <f t="shared" si="2"/>
        <v>27687</v>
      </c>
      <c r="W53" s="5">
        <f t="shared" si="2"/>
        <v>15173</v>
      </c>
      <c r="X53" s="5">
        <f t="shared" si="2"/>
        <v>29736</v>
      </c>
      <c r="Y53" s="5">
        <f t="shared" si="2"/>
        <v>0</v>
      </c>
      <c r="Z53" s="5">
        <f t="shared" si="2"/>
        <v>325146</v>
      </c>
      <c r="AA53" s="5">
        <f t="shared" si="2"/>
        <v>34288</v>
      </c>
      <c r="AB53" s="5">
        <f t="shared" si="2"/>
        <v>0</v>
      </c>
      <c r="AC53" s="5">
        <f t="shared" si="2"/>
        <v>47581</v>
      </c>
    </row>
    <row r="54" spans="1:29" x14ac:dyDescent="0.55000000000000004">
      <c r="A54" s="2" t="s">
        <v>36</v>
      </c>
      <c r="B54">
        <v>9</v>
      </c>
      <c r="D54" s="5">
        <f t="shared" si="3"/>
        <v>0</v>
      </c>
      <c r="E54" s="5">
        <f t="shared" si="2"/>
        <v>0</v>
      </c>
      <c r="F54" s="5">
        <f t="shared" si="2"/>
        <v>0</v>
      </c>
      <c r="G54" s="5">
        <f t="shared" si="2"/>
        <v>9000</v>
      </c>
      <c r="H54" s="5">
        <f t="shared" si="2"/>
        <v>0</v>
      </c>
      <c r="I54" s="5">
        <f t="shared" si="2"/>
        <v>52800</v>
      </c>
      <c r="J54" s="5">
        <f t="shared" si="2"/>
        <v>0</v>
      </c>
      <c r="K54" s="5">
        <f t="shared" si="2"/>
        <v>0</v>
      </c>
      <c r="L54" s="5">
        <f t="shared" si="2"/>
        <v>0</v>
      </c>
      <c r="M54" s="5">
        <f t="shared" si="2"/>
        <v>190000</v>
      </c>
      <c r="N54" s="5">
        <f t="shared" si="2"/>
        <v>0</v>
      </c>
      <c r="O54" s="5">
        <f t="shared" si="2"/>
        <v>0</v>
      </c>
      <c r="P54" s="5">
        <f t="shared" si="2"/>
        <v>0</v>
      </c>
      <c r="Q54" s="5">
        <f t="shared" si="2"/>
        <v>0</v>
      </c>
      <c r="R54" s="5">
        <f t="shared" si="2"/>
        <v>0</v>
      </c>
      <c r="S54" s="5">
        <f t="shared" si="2"/>
        <v>0</v>
      </c>
      <c r="T54" s="5">
        <f t="shared" si="2"/>
        <v>0</v>
      </c>
      <c r="U54" s="5">
        <f t="shared" si="2"/>
        <v>0</v>
      </c>
      <c r="V54" s="5">
        <f t="shared" si="2"/>
        <v>0</v>
      </c>
      <c r="W54" s="5">
        <f t="shared" si="2"/>
        <v>0</v>
      </c>
      <c r="X54" s="5">
        <f t="shared" si="2"/>
        <v>0</v>
      </c>
      <c r="Y54" s="5">
        <f t="shared" si="2"/>
        <v>0</v>
      </c>
      <c r="Z54" s="5">
        <f t="shared" si="2"/>
        <v>254400</v>
      </c>
      <c r="AA54" s="5">
        <f t="shared" si="2"/>
        <v>0</v>
      </c>
      <c r="AB54" s="5">
        <f t="shared" si="2"/>
        <v>0</v>
      </c>
      <c r="AC54" s="5">
        <f t="shared" si="2"/>
        <v>0</v>
      </c>
    </row>
    <row r="55" spans="1:29" x14ac:dyDescent="0.55000000000000004">
      <c r="A55" s="2"/>
    </row>
    <row r="56" spans="1:29" x14ac:dyDescent="0.55000000000000004">
      <c r="A56" s="1" t="s">
        <v>38</v>
      </c>
      <c r="B56" s="1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spans="1:29" x14ac:dyDescent="0.55000000000000004">
      <c r="A57" s="1" t="s">
        <v>28</v>
      </c>
      <c r="B57" s="1" t="s">
        <v>41</v>
      </c>
      <c r="D57" s="4" t="s">
        <v>20</v>
      </c>
      <c r="E57" s="4" t="s">
        <v>17</v>
      </c>
      <c r="F57" s="4" t="s">
        <v>16</v>
      </c>
      <c r="G57" s="4" t="s">
        <v>3</v>
      </c>
      <c r="H57" s="4" t="s">
        <v>14</v>
      </c>
      <c r="I57" s="4" t="s">
        <v>13</v>
      </c>
      <c r="J57" s="4" t="s">
        <v>11</v>
      </c>
      <c r="K57" s="4" t="s">
        <v>26</v>
      </c>
      <c r="L57" s="4" t="s">
        <v>9</v>
      </c>
      <c r="M57" s="4" t="s">
        <v>19</v>
      </c>
      <c r="N57" s="4" t="s">
        <v>27</v>
      </c>
      <c r="O57" s="4" t="s">
        <v>4</v>
      </c>
      <c r="P57" s="4" t="s">
        <v>25</v>
      </c>
      <c r="Q57" s="4" t="s">
        <v>8</v>
      </c>
      <c r="R57" s="4" t="s">
        <v>7</v>
      </c>
      <c r="S57" s="4" t="s">
        <v>18</v>
      </c>
      <c r="T57" s="4" t="s">
        <v>15</v>
      </c>
      <c r="U57" s="4" t="s">
        <v>12</v>
      </c>
      <c r="V57" s="4" t="s">
        <v>6</v>
      </c>
      <c r="W57" s="4" t="s">
        <v>21</v>
      </c>
      <c r="X57" s="4" t="s">
        <v>22</v>
      </c>
      <c r="Y57" s="4" t="s">
        <v>5</v>
      </c>
      <c r="Z57" s="4" t="s">
        <v>23</v>
      </c>
      <c r="AA57" s="4" t="s">
        <v>24</v>
      </c>
      <c r="AB57" s="4" t="s">
        <v>10</v>
      </c>
      <c r="AC57" s="4" t="s">
        <v>2</v>
      </c>
    </row>
    <row r="58" spans="1:29" x14ac:dyDescent="0.55000000000000004">
      <c r="A58" s="2" t="s">
        <v>44</v>
      </c>
      <c r="B58">
        <v>2</v>
      </c>
      <c r="D58" s="5">
        <f>HLOOKUP(D$57,$D$24:$AC$32,$B58,FALSE)</f>
        <v>0</v>
      </c>
      <c r="E58" s="5">
        <f t="shared" ref="E58:AC65" si="4">HLOOKUP(E$57,$D$24:$AC$32,$B58,FALSE)</f>
        <v>0</v>
      </c>
      <c r="F58" s="5">
        <f t="shared" si="4"/>
        <v>5500</v>
      </c>
      <c r="G58" s="5">
        <f t="shared" si="4"/>
        <v>0</v>
      </c>
      <c r="H58" s="5">
        <f t="shared" si="4"/>
        <v>0</v>
      </c>
      <c r="I58" s="5">
        <f t="shared" si="4"/>
        <v>0</v>
      </c>
      <c r="J58" s="5">
        <f t="shared" si="4"/>
        <v>0</v>
      </c>
      <c r="K58" s="5">
        <f t="shared" si="4"/>
        <v>0</v>
      </c>
      <c r="L58" s="5">
        <f t="shared" si="4"/>
        <v>0</v>
      </c>
      <c r="M58" s="5">
        <f t="shared" si="4"/>
        <v>10000</v>
      </c>
      <c r="N58" s="5">
        <f t="shared" si="4"/>
        <v>0</v>
      </c>
      <c r="O58" s="5">
        <f t="shared" si="4"/>
        <v>10000</v>
      </c>
      <c r="P58" s="5">
        <f t="shared" si="4"/>
        <v>0</v>
      </c>
      <c r="Q58" s="5">
        <f t="shared" si="4"/>
        <v>0</v>
      </c>
      <c r="R58" s="5">
        <f t="shared" si="4"/>
        <v>0</v>
      </c>
      <c r="S58" s="5">
        <f t="shared" si="4"/>
        <v>0</v>
      </c>
      <c r="T58" s="5">
        <f t="shared" si="4"/>
        <v>0</v>
      </c>
      <c r="U58" s="5">
        <f t="shared" si="4"/>
        <v>0</v>
      </c>
      <c r="V58" s="5">
        <f t="shared" si="4"/>
        <v>0</v>
      </c>
      <c r="W58" s="5">
        <f t="shared" si="4"/>
        <v>10000</v>
      </c>
      <c r="X58" s="5">
        <f t="shared" si="4"/>
        <v>0</v>
      </c>
      <c r="Y58" s="5">
        <f t="shared" si="4"/>
        <v>0</v>
      </c>
      <c r="Z58" s="5">
        <f t="shared" si="4"/>
        <v>0</v>
      </c>
      <c r="AA58" s="5">
        <f t="shared" si="4"/>
        <v>0</v>
      </c>
      <c r="AB58" s="5">
        <f t="shared" si="4"/>
        <v>0</v>
      </c>
      <c r="AC58" s="5">
        <f t="shared" si="4"/>
        <v>0</v>
      </c>
    </row>
    <row r="59" spans="1:29" x14ac:dyDescent="0.55000000000000004">
      <c r="A59" s="2" t="s">
        <v>30</v>
      </c>
      <c r="B59">
        <v>3</v>
      </c>
      <c r="D59" s="5">
        <f>HLOOKUP(D$57,$D$24:$AC$32,$B59,FALSE)</f>
        <v>4473</v>
      </c>
      <c r="E59" s="5">
        <f t="shared" ref="D59:S65" si="5">HLOOKUP(E$57,$D$24:$AC$32,$B59,FALSE)</f>
        <v>0</v>
      </c>
      <c r="F59" s="5">
        <f t="shared" si="5"/>
        <v>0</v>
      </c>
      <c r="G59" s="5">
        <f t="shared" si="5"/>
        <v>34500</v>
      </c>
      <c r="H59" s="5">
        <f t="shared" si="5"/>
        <v>20150</v>
      </c>
      <c r="I59" s="5">
        <f t="shared" si="5"/>
        <v>0</v>
      </c>
      <c r="J59" s="5">
        <f t="shared" si="5"/>
        <v>4040</v>
      </c>
      <c r="K59" s="5">
        <f t="shared" si="5"/>
        <v>0</v>
      </c>
      <c r="L59" s="5">
        <f t="shared" si="5"/>
        <v>0</v>
      </c>
      <c r="M59" s="5">
        <f t="shared" si="5"/>
        <v>11960</v>
      </c>
      <c r="N59" s="5">
        <f t="shared" si="5"/>
        <v>0</v>
      </c>
      <c r="O59" s="5">
        <f t="shared" si="5"/>
        <v>17000</v>
      </c>
      <c r="P59" s="5">
        <f t="shared" si="5"/>
        <v>7200</v>
      </c>
      <c r="Q59" s="5">
        <f t="shared" si="5"/>
        <v>0</v>
      </c>
      <c r="R59" s="5">
        <f t="shared" si="5"/>
        <v>0</v>
      </c>
      <c r="S59" s="5">
        <f t="shared" si="5"/>
        <v>0</v>
      </c>
      <c r="T59" s="5">
        <f t="shared" si="4"/>
        <v>0</v>
      </c>
      <c r="U59" s="5">
        <f t="shared" si="4"/>
        <v>24000</v>
      </c>
      <c r="V59" s="5">
        <f t="shared" si="4"/>
        <v>8200</v>
      </c>
      <c r="W59" s="5">
        <f t="shared" si="4"/>
        <v>0</v>
      </c>
      <c r="X59" s="5">
        <f t="shared" si="4"/>
        <v>8250</v>
      </c>
      <c r="Y59" s="5">
        <f t="shared" si="4"/>
        <v>0</v>
      </c>
      <c r="Z59" s="5">
        <f t="shared" si="4"/>
        <v>42000</v>
      </c>
      <c r="AA59" s="5">
        <f t="shared" si="4"/>
        <v>132135</v>
      </c>
      <c r="AB59" s="5">
        <f t="shared" si="4"/>
        <v>6400</v>
      </c>
      <c r="AC59" s="5">
        <f t="shared" si="4"/>
        <v>0</v>
      </c>
    </row>
    <row r="60" spans="1:29" x14ac:dyDescent="0.55000000000000004">
      <c r="A60" s="2" t="s">
        <v>31</v>
      </c>
      <c r="B60">
        <v>4</v>
      </c>
      <c r="D60" s="5">
        <f>HLOOKUP(D$57,$D$24:$AC$32,$B60,FALSE)</f>
        <v>0</v>
      </c>
      <c r="E60" s="5">
        <f t="shared" si="4"/>
        <v>0</v>
      </c>
      <c r="F60" s="5">
        <f t="shared" si="4"/>
        <v>0</v>
      </c>
      <c r="G60" s="5">
        <f t="shared" si="4"/>
        <v>72680</v>
      </c>
      <c r="H60" s="5">
        <f t="shared" si="4"/>
        <v>0</v>
      </c>
      <c r="I60" s="5">
        <f t="shared" si="4"/>
        <v>0</v>
      </c>
      <c r="J60" s="5">
        <f t="shared" si="4"/>
        <v>0</v>
      </c>
      <c r="K60" s="5">
        <f t="shared" si="4"/>
        <v>0</v>
      </c>
      <c r="L60" s="5">
        <f t="shared" si="4"/>
        <v>0</v>
      </c>
      <c r="M60" s="5">
        <f t="shared" si="4"/>
        <v>0</v>
      </c>
      <c r="N60" s="5">
        <f t="shared" si="4"/>
        <v>127200</v>
      </c>
      <c r="O60" s="5">
        <f t="shared" si="4"/>
        <v>13986</v>
      </c>
      <c r="P60" s="5">
        <f t="shared" si="4"/>
        <v>0</v>
      </c>
      <c r="Q60" s="5">
        <f t="shared" si="4"/>
        <v>0</v>
      </c>
      <c r="R60" s="5">
        <f t="shared" si="4"/>
        <v>0</v>
      </c>
      <c r="S60" s="5">
        <f t="shared" si="4"/>
        <v>23940</v>
      </c>
      <c r="T60" s="5">
        <f t="shared" si="4"/>
        <v>0</v>
      </c>
      <c r="U60" s="5">
        <f t="shared" si="4"/>
        <v>33338</v>
      </c>
      <c r="V60" s="5">
        <f t="shared" si="4"/>
        <v>0</v>
      </c>
      <c r="W60" s="5">
        <f t="shared" si="4"/>
        <v>0</v>
      </c>
      <c r="X60" s="5">
        <f t="shared" si="4"/>
        <v>0</v>
      </c>
      <c r="Y60" s="5">
        <f t="shared" si="4"/>
        <v>0</v>
      </c>
      <c r="Z60" s="5">
        <f t="shared" si="4"/>
        <v>20000</v>
      </c>
      <c r="AA60" s="5">
        <f t="shared" si="4"/>
        <v>0</v>
      </c>
      <c r="AB60" s="5">
        <f t="shared" si="4"/>
        <v>0</v>
      </c>
      <c r="AC60" s="5">
        <f t="shared" si="4"/>
        <v>0</v>
      </c>
    </row>
    <row r="61" spans="1:29" x14ac:dyDescent="0.55000000000000004">
      <c r="A61" s="2" t="s">
        <v>32</v>
      </c>
      <c r="B61">
        <v>5</v>
      </c>
      <c r="D61" s="5">
        <f t="shared" si="5"/>
        <v>120023</v>
      </c>
      <c r="E61" s="5">
        <f t="shared" si="4"/>
        <v>2140</v>
      </c>
      <c r="F61" s="5">
        <f t="shared" si="4"/>
        <v>39302</v>
      </c>
      <c r="G61" s="5">
        <f t="shared" si="4"/>
        <v>146950</v>
      </c>
      <c r="H61" s="5">
        <f t="shared" si="4"/>
        <v>63035</v>
      </c>
      <c r="I61" s="5">
        <f t="shared" si="4"/>
        <v>9500</v>
      </c>
      <c r="J61" s="5">
        <f t="shared" si="4"/>
        <v>78245</v>
      </c>
      <c r="K61" s="5">
        <f t="shared" si="4"/>
        <v>62312</v>
      </c>
      <c r="L61" s="5">
        <f t="shared" si="4"/>
        <v>0</v>
      </c>
      <c r="M61" s="5">
        <f t="shared" si="4"/>
        <v>187576</v>
      </c>
      <c r="N61" s="5">
        <f t="shared" si="4"/>
        <v>3474</v>
      </c>
      <c r="O61" s="5">
        <f t="shared" si="4"/>
        <v>47980</v>
      </c>
      <c r="P61" s="5">
        <f t="shared" si="4"/>
        <v>18893</v>
      </c>
      <c r="Q61" s="5">
        <f t="shared" si="4"/>
        <v>3345</v>
      </c>
      <c r="R61" s="5">
        <f t="shared" si="4"/>
        <v>0</v>
      </c>
      <c r="S61" s="5">
        <f t="shared" si="4"/>
        <v>33354</v>
      </c>
      <c r="T61" s="5">
        <f t="shared" si="4"/>
        <v>7000</v>
      </c>
      <c r="U61" s="5">
        <f t="shared" si="4"/>
        <v>151267</v>
      </c>
      <c r="V61" s="5">
        <f t="shared" si="4"/>
        <v>37012</v>
      </c>
      <c r="W61" s="5">
        <f t="shared" si="4"/>
        <v>142666</v>
      </c>
      <c r="X61" s="5">
        <f t="shared" si="4"/>
        <v>249644</v>
      </c>
      <c r="Y61" s="5">
        <f t="shared" si="4"/>
        <v>0</v>
      </c>
      <c r="Z61" s="5">
        <f t="shared" si="4"/>
        <v>45738</v>
      </c>
      <c r="AA61" s="5">
        <f t="shared" si="4"/>
        <v>345888</v>
      </c>
      <c r="AB61" s="5">
        <f t="shared" si="4"/>
        <v>8500</v>
      </c>
      <c r="AC61" s="5">
        <f t="shared" si="4"/>
        <v>176549</v>
      </c>
    </row>
    <row r="62" spans="1:29" x14ac:dyDescent="0.55000000000000004">
      <c r="A62" s="2" t="s">
        <v>33</v>
      </c>
      <c r="B62">
        <v>6</v>
      </c>
      <c r="D62" s="5">
        <f t="shared" si="5"/>
        <v>61089</v>
      </c>
      <c r="E62" s="5">
        <f t="shared" si="4"/>
        <v>0</v>
      </c>
      <c r="F62" s="5">
        <f t="shared" si="4"/>
        <v>24284</v>
      </c>
      <c r="G62" s="5">
        <f t="shared" si="4"/>
        <v>20000</v>
      </c>
      <c r="H62" s="5">
        <f t="shared" si="4"/>
        <v>0</v>
      </c>
      <c r="I62" s="5">
        <f t="shared" si="4"/>
        <v>0</v>
      </c>
      <c r="J62" s="5">
        <f t="shared" si="4"/>
        <v>72030</v>
      </c>
      <c r="K62" s="5">
        <f t="shared" si="4"/>
        <v>76600</v>
      </c>
      <c r="L62" s="5">
        <f t="shared" si="4"/>
        <v>0</v>
      </c>
      <c r="M62" s="5">
        <f t="shared" si="4"/>
        <v>82750</v>
      </c>
      <c r="N62" s="5">
        <f t="shared" si="4"/>
        <v>0</v>
      </c>
      <c r="O62" s="5">
        <f t="shared" si="4"/>
        <v>98010</v>
      </c>
      <c r="P62" s="5">
        <f t="shared" si="4"/>
        <v>0</v>
      </c>
      <c r="Q62" s="5">
        <f t="shared" si="4"/>
        <v>50000</v>
      </c>
      <c r="R62" s="5">
        <f t="shared" si="4"/>
        <v>0</v>
      </c>
      <c r="S62" s="5">
        <f t="shared" si="4"/>
        <v>115978</v>
      </c>
      <c r="T62" s="5">
        <f>HLOOKUP(T$57,$D$24:$AC$32,$B62,FALSE)</f>
        <v>18000</v>
      </c>
      <c r="U62" s="5">
        <f t="shared" si="4"/>
        <v>251413</v>
      </c>
      <c r="V62" s="5">
        <f t="shared" si="4"/>
        <v>18000</v>
      </c>
      <c r="W62" s="5">
        <f t="shared" si="4"/>
        <v>183954</v>
      </c>
      <c r="X62" s="5">
        <f t="shared" si="4"/>
        <v>0</v>
      </c>
      <c r="Y62" s="5">
        <f t="shared" si="4"/>
        <v>13400</v>
      </c>
      <c r="Z62" s="5">
        <f t="shared" si="4"/>
        <v>0</v>
      </c>
      <c r="AA62" s="5">
        <f t="shared" si="4"/>
        <v>225903</v>
      </c>
      <c r="AB62" s="5">
        <f t="shared" si="4"/>
        <v>62464</v>
      </c>
      <c r="AC62" s="5">
        <f t="shared" si="4"/>
        <v>160879</v>
      </c>
    </row>
    <row r="63" spans="1:29" x14ac:dyDescent="0.55000000000000004">
      <c r="A63" s="2" t="s">
        <v>34</v>
      </c>
      <c r="B63">
        <v>7</v>
      </c>
      <c r="D63" s="5">
        <f t="shared" si="5"/>
        <v>81946</v>
      </c>
      <c r="E63" s="5">
        <f t="shared" si="4"/>
        <v>0</v>
      </c>
      <c r="F63" s="5">
        <f t="shared" si="4"/>
        <v>5200</v>
      </c>
      <c r="G63" s="5">
        <f t="shared" si="4"/>
        <v>408550</v>
      </c>
      <c r="H63" s="5">
        <f t="shared" si="4"/>
        <v>46540</v>
      </c>
      <c r="I63" s="5">
        <f t="shared" si="4"/>
        <v>64600</v>
      </c>
      <c r="J63" s="5">
        <f t="shared" si="4"/>
        <v>310812</v>
      </c>
      <c r="K63" s="5">
        <f t="shared" si="4"/>
        <v>0</v>
      </c>
      <c r="L63" s="5">
        <f t="shared" si="4"/>
        <v>60124</v>
      </c>
      <c r="M63" s="5">
        <f t="shared" si="4"/>
        <v>342940</v>
      </c>
      <c r="N63" s="5">
        <f t="shared" si="4"/>
        <v>0</v>
      </c>
      <c r="O63" s="5">
        <f t="shared" si="4"/>
        <v>352568</v>
      </c>
      <c r="P63" s="5">
        <f t="shared" si="4"/>
        <v>21820</v>
      </c>
      <c r="Q63" s="5">
        <f t="shared" si="4"/>
        <v>9332</v>
      </c>
      <c r="R63" s="5">
        <f t="shared" si="4"/>
        <v>5000</v>
      </c>
      <c r="S63" s="5">
        <f t="shared" si="4"/>
        <v>0</v>
      </c>
      <c r="T63" s="5">
        <f t="shared" si="4"/>
        <v>206155</v>
      </c>
      <c r="U63" s="5">
        <f t="shared" si="4"/>
        <v>64375</v>
      </c>
      <c r="V63" s="5">
        <f t="shared" si="4"/>
        <v>495960</v>
      </c>
      <c r="W63" s="5">
        <f t="shared" si="4"/>
        <v>114773</v>
      </c>
      <c r="X63" s="5">
        <f t="shared" si="4"/>
        <v>53500</v>
      </c>
      <c r="Y63" s="5">
        <f t="shared" si="4"/>
        <v>0</v>
      </c>
      <c r="Z63" s="5">
        <f t="shared" si="4"/>
        <v>106772</v>
      </c>
      <c r="AA63" s="5">
        <f t="shared" si="4"/>
        <v>76705</v>
      </c>
      <c r="AB63" s="5">
        <f t="shared" si="4"/>
        <v>230920</v>
      </c>
      <c r="AC63" s="5">
        <f t="shared" si="4"/>
        <v>206155</v>
      </c>
    </row>
    <row r="64" spans="1:29" x14ac:dyDescent="0.55000000000000004">
      <c r="A64" s="2" t="s">
        <v>35</v>
      </c>
      <c r="B64">
        <v>8</v>
      </c>
      <c r="D64" s="5">
        <f t="shared" si="5"/>
        <v>0</v>
      </c>
      <c r="E64" s="5">
        <f t="shared" si="4"/>
        <v>0</v>
      </c>
      <c r="F64" s="5">
        <f t="shared" si="4"/>
        <v>0</v>
      </c>
      <c r="G64" s="5">
        <f t="shared" si="4"/>
        <v>17900</v>
      </c>
      <c r="H64" s="5">
        <f t="shared" si="4"/>
        <v>6084</v>
      </c>
      <c r="I64" s="5">
        <f t="shared" si="4"/>
        <v>0</v>
      </c>
      <c r="J64" s="5">
        <f t="shared" si="4"/>
        <v>0</v>
      </c>
      <c r="K64" s="5">
        <f t="shared" si="4"/>
        <v>7375</v>
      </c>
      <c r="L64" s="5">
        <f t="shared" si="4"/>
        <v>0</v>
      </c>
      <c r="M64" s="5">
        <f t="shared" si="4"/>
        <v>13880</v>
      </c>
      <c r="N64" s="5">
        <f t="shared" si="4"/>
        <v>12580</v>
      </c>
      <c r="O64" s="5">
        <f t="shared" si="4"/>
        <v>0</v>
      </c>
      <c r="P64" s="5">
        <f t="shared" si="4"/>
        <v>2784</v>
      </c>
      <c r="Q64" s="5">
        <f t="shared" si="4"/>
        <v>0</v>
      </c>
      <c r="R64" s="5">
        <f t="shared" si="4"/>
        <v>0</v>
      </c>
      <c r="S64" s="5">
        <f t="shared" si="4"/>
        <v>0</v>
      </c>
      <c r="T64" s="5">
        <f t="shared" si="4"/>
        <v>0</v>
      </c>
      <c r="U64" s="5">
        <f t="shared" si="4"/>
        <v>0</v>
      </c>
      <c r="V64" s="5">
        <f t="shared" si="4"/>
        <v>7598</v>
      </c>
      <c r="W64" s="5">
        <f t="shared" si="4"/>
        <v>16758</v>
      </c>
      <c r="X64" s="5">
        <f t="shared" si="4"/>
        <v>0</v>
      </c>
      <c r="Y64" s="5">
        <f t="shared" si="4"/>
        <v>0</v>
      </c>
      <c r="Z64" s="5">
        <f t="shared" si="4"/>
        <v>11760</v>
      </c>
      <c r="AA64" s="5">
        <f t="shared" si="4"/>
        <v>6920</v>
      </c>
      <c r="AB64" s="5">
        <f t="shared" si="4"/>
        <v>0</v>
      </c>
      <c r="AC64" s="5">
        <f t="shared" si="4"/>
        <v>0</v>
      </c>
    </row>
    <row r="65" spans="1:29" x14ac:dyDescent="0.55000000000000004">
      <c r="A65" s="2" t="s">
        <v>36</v>
      </c>
      <c r="B65">
        <v>9</v>
      </c>
      <c r="D65" s="5">
        <f t="shared" si="5"/>
        <v>0</v>
      </c>
      <c r="E65" s="5">
        <f t="shared" si="4"/>
        <v>0</v>
      </c>
      <c r="F65" s="5">
        <f t="shared" si="4"/>
        <v>0</v>
      </c>
      <c r="G65" s="5">
        <f t="shared" si="4"/>
        <v>0</v>
      </c>
      <c r="H65" s="5">
        <f t="shared" si="4"/>
        <v>0</v>
      </c>
      <c r="I65" s="5">
        <f t="shared" si="4"/>
        <v>0</v>
      </c>
      <c r="J65" s="5">
        <f t="shared" si="4"/>
        <v>0</v>
      </c>
      <c r="K65" s="5">
        <f t="shared" si="4"/>
        <v>0</v>
      </c>
      <c r="L65" s="5">
        <f t="shared" si="4"/>
        <v>0</v>
      </c>
      <c r="M65" s="5">
        <f t="shared" si="4"/>
        <v>0</v>
      </c>
      <c r="N65" s="5">
        <f t="shared" si="4"/>
        <v>0</v>
      </c>
      <c r="O65" s="5">
        <f t="shared" si="4"/>
        <v>0</v>
      </c>
      <c r="P65" s="5">
        <f t="shared" si="4"/>
        <v>0</v>
      </c>
      <c r="Q65" s="5">
        <f t="shared" si="4"/>
        <v>0</v>
      </c>
      <c r="R65" s="5">
        <f t="shared" si="4"/>
        <v>0</v>
      </c>
      <c r="S65" s="5">
        <f t="shared" si="4"/>
        <v>0</v>
      </c>
      <c r="T65" s="5">
        <f t="shared" si="4"/>
        <v>0</v>
      </c>
      <c r="U65" s="5">
        <f t="shared" si="4"/>
        <v>0</v>
      </c>
      <c r="V65" s="5">
        <f t="shared" si="4"/>
        <v>0</v>
      </c>
      <c r="W65" s="5">
        <f t="shared" si="4"/>
        <v>0</v>
      </c>
      <c r="X65" s="5">
        <f t="shared" si="4"/>
        <v>0</v>
      </c>
      <c r="Y65" s="5">
        <f t="shared" si="4"/>
        <v>0</v>
      </c>
      <c r="Z65" s="5">
        <f t="shared" si="4"/>
        <v>0</v>
      </c>
      <c r="AA65" s="5">
        <f t="shared" si="4"/>
        <v>0</v>
      </c>
      <c r="AB65" s="5">
        <f t="shared" si="4"/>
        <v>0</v>
      </c>
      <c r="AC65" s="5">
        <f t="shared" si="4"/>
        <v>0</v>
      </c>
    </row>
    <row r="66" spans="1:29" x14ac:dyDescent="0.55000000000000004"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 spans="1:29" x14ac:dyDescent="0.55000000000000004">
      <c r="B67">
        <v>11</v>
      </c>
      <c r="C67" t="s">
        <v>42</v>
      </c>
      <c r="D67" s="5">
        <f>SUM(D39:D40,D50:D51,D61:D62)/1000</f>
        <v>10497.933999999999</v>
      </c>
      <c r="E67" s="5">
        <f t="shared" ref="E67:AB67" si="6">SUM(E39:E40,E50:E51,E61:E62)/1000</f>
        <v>131.19300000000001</v>
      </c>
      <c r="F67" s="5">
        <f t="shared" si="6"/>
        <v>1740.434</v>
      </c>
      <c r="G67" s="5">
        <f t="shared" si="6"/>
        <v>22262.884999999998</v>
      </c>
      <c r="H67" s="5">
        <f t="shared" si="6"/>
        <v>11476.514999999999</v>
      </c>
      <c r="I67" s="5">
        <f t="shared" si="6"/>
        <v>5462.6890000000003</v>
      </c>
      <c r="J67" s="5">
        <f t="shared" si="6"/>
        <v>9769.6659999999993</v>
      </c>
      <c r="K67" s="5">
        <f t="shared" si="6"/>
        <v>3535.7289999999998</v>
      </c>
      <c r="L67" s="5">
        <f t="shared" si="6"/>
        <v>922.25400000000002</v>
      </c>
      <c r="M67" s="5">
        <f t="shared" si="6"/>
        <v>8201.6190000000006</v>
      </c>
      <c r="N67" s="5">
        <f t="shared" si="6"/>
        <v>266.51799999999997</v>
      </c>
      <c r="O67" s="5">
        <f t="shared" si="6"/>
        <v>7314.24</v>
      </c>
      <c r="P67" s="5">
        <f t="shared" si="6"/>
        <v>2054.7570000000001</v>
      </c>
      <c r="Q67" s="5">
        <f t="shared" si="6"/>
        <v>447.76600000000002</v>
      </c>
      <c r="R67" s="5">
        <f t="shared" si="6"/>
        <v>82.53</v>
      </c>
      <c r="S67" s="5">
        <f t="shared" si="6"/>
        <v>7697.098</v>
      </c>
      <c r="T67" s="5">
        <f t="shared" si="6"/>
        <v>1509.7850000000001</v>
      </c>
      <c r="U67" s="5">
        <f t="shared" si="6"/>
        <v>9632.3250000000007</v>
      </c>
      <c r="V67" s="5">
        <f t="shared" si="6"/>
        <v>2588.0279999999998</v>
      </c>
      <c r="W67" s="5">
        <f t="shared" si="6"/>
        <v>10265.203</v>
      </c>
      <c r="X67" s="5">
        <f t="shared" si="6"/>
        <v>10271.383</v>
      </c>
      <c r="Y67" s="5">
        <f t="shared" si="6"/>
        <v>205.2</v>
      </c>
      <c r="Z67" s="5">
        <f t="shared" si="6"/>
        <v>11558.903</v>
      </c>
      <c r="AA67" s="5">
        <f t="shared" si="6"/>
        <v>11043.16</v>
      </c>
      <c r="AB67" s="5">
        <f t="shared" si="6"/>
        <v>5017.8850000000002</v>
      </c>
      <c r="AC67" s="5">
        <f>SUM(AC39:AC40,AC50:AC51,AC61:AC62)/1000</f>
        <v>24005.797999999999</v>
      </c>
    </row>
    <row r="68" spans="1:29" x14ac:dyDescent="0.55000000000000004">
      <c r="B68">
        <v>12</v>
      </c>
      <c r="C68" t="s">
        <v>45</v>
      </c>
      <c r="D68" s="5">
        <f>SUM(D36:D37,D47:D48,D58:D59)/1000</f>
        <v>156.20599999999999</v>
      </c>
      <c r="E68" s="5">
        <f t="shared" ref="E68:AC68" si="7">SUM(E36:E37,E47:E48,E58:E59)/1000</f>
        <v>8.5500000000000007</v>
      </c>
      <c r="F68" s="5">
        <f t="shared" si="7"/>
        <v>129.965</v>
      </c>
      <c r="G68" s="5">
        <f t="shared" si="7"/>
        <v>1925.5830000000001</v>
      </c>
      <c r="H68" s="5">
        <f t="shared" si="7"/>
        <v>404.09</v>
      </c>
      <c r="I68" s="5">
        <f t="shared" si="7"/>
        <v>137.29</v>
      </c>
      <c r="J68" s="5">
        <f t="shared" si="7"/>
        <v>287.7</v>
      </c>
      <c r="K68" s="5">
        <f t="shared" si="7"/>
        <v>0</v>
      </c>
      <c r="L68" s="5">
        <f t="shared" si="7"/>
        <v>125</v>
      </c>
      <c r="M68" s="5">
        <f t="shared" si="7"/>
        <v>1662.66</v>
      </c>
      <c r="N68" s="5">
        <f t="shared" si="7"/>
        <v>193.99700000000001</v>
      </c>
      <c r="O68" s="5">
        <f t="shared" si="7"/>
        <v>347.95</v>
      </c>
      <c r="P68" s="5">
        <f t="shared" si="7"/>
        <v>490.40499999999997</v>
      </c>
      <c r="Q68" s="5">
        <f t="shared" si="7"/>
        <v>11.538</v>
      </c>
      <c r="R68" s="5">
        <f t="shared" si="7"/>
        <v>30</v>
      </c>
      <c r="S68" s="5">
        <f t="shared" si="7"/>
        <v>22.5</v>
      </c>
      <c r="T68" s="5">
        <f t="shared" si="7"/>
        <v>200.77500000000001</v>
      </c>
      <c r="U68" s="5">
        <f t="shared" si="7"/>
        <v>777.57600000000002</v>
      </c>
      <c r="V68" s="5">
        <f t="shared" si="7"/>
        <v>88.38</v>
      </c>
      <c r="W68" s="5">
        <f t="shared" si="7"/>
        <v>274.2</v>
      </c>
      <c r="X68" s="5">
        <f t="shared" si="7"/>
        <v>225.428</v>
      </c>
      <c r="Y68" s="5">
        <f t="shared" si="7"/>
        <v>106</v>
      </c>
      <c r="Z68" s="5">
        <f t="shared" si="7"/>
        <v>1776.672</v>
      </c>
      <c r="AA68" s="5">
        <f t="shared" si="7"/>
        <v>785.73400000000004</v>
      </c>
      <c r="AB68" s="5">
        <f t="shared" si="7"/>
        <v>16.274999999999999</v>
      </c>
      <c r="AC68" s="5">
        <f t="shared" si="7"/>
        <v>0</v>
      </c>
    </row>
    <row r="69" spans="1:29" x14ac:dyDescent="0.55000000000000004">
      <c r="B69">
        <v>13</v>
      </c>
      <c r="C69" t="s">
        <v>35</v>
      </c>
      <c r="D69" s="5">
        <f>SUM(D42,D53,D64)/1000</f>
        <v>42.857999999999997</v>
      </c>
      <c r="E69" s="5">
        <f t="shared" ref="E69:AC69" si="8">SUM(E42,E53,E64)/1000</f>
        <v>9.34</v>
      </c>
      <c r="F69" s="5">
        <f t="shared" si="8"/>
        <v>48.543999999999997</v>
      </c>
      <c r="G69" s="5">
        <f t="shared" si="8"/>
        <v>382.8</v>
      </c>
      <c r="H69" s="5">
        <f t="shared" si="8"/>
        <v>107.46899999999999</v>
      </c>
      <c r="I69" s="5">
        <f t="shared" si="8"/>
        <v>29.251999999999999</v>
      </c>
      <c r="J69" s="5">
        <f t="shared" si="8"/>
        <v>85.384</v>
      </c>
      <c r="K69" s="5">
        <f t="shared" si="8"/>
        <v>155.47800000000001</v>
      </c>
      <c r="L69" s="5">
        <f t="shared" si="8"/>
        <v>13.7</v>
      </c>
      <c r="M69" s="5">
        <f t="shared" si="8"/>
        <v>362.11200000000002</v>
      </c>
      <c r="N69" s="5">
        <f t="shared" si="8"/>
        <v>73.402000000000001</v>
      </c>
      <c r="O69" s="5">
        <f t="shared" si="8"/>
        <v>215.82055</v>
      </c>
      <c r="P69" s="5">
        <f t="shared" si="8"/>
        <v>108.878</v>
      </c>
      <c r="Q69" s="5">
        <f t="shared" si="8"/>
        <v>0</v>
      </c>
      <c r="R69" s="5">
        <f t="shared" si="8"/>
        <v>0</v>
      </c>
      <c r="S69" s="5">
        <f t="shared" si="8"/>
        <v>29</v>
      </c>
      <c r="T69" s="5">
        <f t="shared" si="8"/>
        <v>0</v>
      </c>
      <c r="U69" s="5">
        <f t="shared" si="8"/>
        <v>72.397499999999994</v>
      </c>
      <c r="V69" s="5">
        <f t="shared" si="8"/>
        <v>52.481999999999999</v>
      </c>
      <c r="W69" s="5">
        <f t="shared" si="8"/>
        <v>68.350999999999999</v>
      </c>
      <c r="X69" s="5">
        <f t="shared" si="8"/>
        <v>127.255</v>
      </c>
      <c r="Y69" s="5">
        <f t="shared" si="8"/>
        <v>16.600000000000001</v>
      </c>
      <c r="Z69" s="5">
        <f t="shared" si="8"/>
        <v>1293.028</v>
      </c>
      <c r="AA69" s="5">
        <f t="shared" si="8"/>
        <v>114.621</v>
      </c>
      <c r="AB69" s="5">
        <f t="shared" si="8"/>
        <v>0</v>
      </c>
      <c r="AC69" s="5">
        <f t="shared" si="8"/>
        <v>78.581000000000003</v>
      </c>
    </row>
    <row r="70" spans="1:29" x14ac:dyDescent="0.55000000000000004"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 spans="1:29" x14ac:dyDescent="0.55000000000000004">
      <c r="B71">
        <v>15</v>
      </c>
      <c r="C71" t="s">
        <v>56</v>
      </c>
      <c r="D71" s="5">
        <f>SUM(D39:D40)/1000</f>
        <v>8968.1659999999993</v>
      </c>
      <c r="E71" s="5">
        <f t="shared" ref="E71:AC71" si="9">SUM(E39:E40)/1000</f>
        <v>107.928</v>
      </c>
      <c r="F71" s="5">
        <f t="shared" si="9"/>
        <v>1574.441</v>
      </c>
      <c r="G71" s="5">
        <f t="shared" si="9"/>
        <v>18476.165000000001</v>
      </c>
      <c r="H71" s="5">
        <f t="shared" si="9"/>
        <v>10262.987999999999</v>
      </c>
      <c r="I71" s="5">
        <f t="shared" si="9"/>
        <v>4854.9970000000003</v>
      </c>
      <c r="J71" s="5">
        <f t="shared" si="9"/>
        <v>8417.26</v>
      </c>
      <c r="K71" s="5">
        <f t="shared" si="9"/>
        <v>3309.4560000000001</v>
      </c>
      <c r="L71" s="5">
        <f t="shared" si="9"/>
        <v>823.10599999999999</v>
      </c>
      <c r="M71" s="5">
        <f t="shared" si="9"/>
        <v>4548.415</v>
      </c>
      <c r="N71" s="5">
        <f t="shared" si="9"/>
        <v>239.846</v>
      </c>
      <c r="O71" s="5">
        <f t="shared" si="9"/>
        <v>4536.2969999999996</v>
      </c>
      <c r="P71" s="5">
        <f t="shared" si="9"/>
        <v>1914.0830000000001</v>
      </c>
      <c r="Q71" s="5">
        <f t="shared" si="9"/>
        <v>109.752</v>
      </c>
      <c r="R71" s="5">
        <f t="shared" si="9"/>
        <v>69</v>
      </c>
      <c r="S71" s="5">
        <f t="shared" si="9"/>
        <v>6837.768</v>
      </c>
      <c r="T71" s="5">
        <f t="shared" si="9"/>
        <v>1344.3</v>
      </c>
      <c r="U71" s="5">
        <f t="shared" si="9"/>
        <v>7857.9930000000004</v>
      </c>
      <c r="V71" s="5">
        <f t="shared" si="9"/>
        <v>1673.624</v>
      </c>
      <c r="W71" s="5">
        <f t="shared" si="9"/>
        <v>8072.45</v>
      </c>
      <c r="X71" s="5">
        <f t="shared" si="9"/>
        <v>9338.7180000000008</v>
      </c>
      <c r="Y71" s="5">
        <f t="shared" si="9"/>
        <v>120.8</v>
      </c>
      <c r="Z71" s="5">
        <f t="shared" si="9"/>
        <v>10398.362999999999</v>
      </c>
      <c r="AA71" s="5">
        <f t="shared" si="9"/>
        <v>7903.5</v>
      </c>
      <c r="AB71" s="5">
        <f t="shared" si="9"/>
        <v>3404.26</v>
      </c>
      <c r="AC71" s="5">
        <f t="shared" si="9"/>
        <v>17895.123</v>
      </c>
    </row>
    <row r="72" spans="1:29" x14ac:dyDescent="0.55000000000000004">
      <c r="B72">
        <v>16</v>
      </c>
      <c r="C72" t="s">
        <v>58</v>
      </c>
      <c r="D72" s="5">
        <f>SUM(D50:D51)/1000</f>
        <v>1348.6559999999999</v>
      </c>
      <c r="E72" s="5">
        <f t="shared" ref="E72:AC72" si="10">SUM(E50:E51)/1000</f>
        <v>21.125</v>
      </c>
      <c r="F72" s="5">
        <f t="shared" si="10"/>
        <v>102.407</v>
      </c>
      <c r="G72" s="5">
        <f t="shared" si="10"/>
        <v>3619.77</v>
      </c>
      <c r="H72" s="5">
        <f t="shared" si="10"/>
        <v>1150.492</v>
      </c>
      <c r="I72" s="5">
        <f t="shared" si="10"/>
        <v>598.19200000000001</v>
      </c>
      <c r="J72" s="5">
        <f t="shared" si="10"/>
        <v>1202.1310000000001</v>
      </c>
      <c r="K72" s="5">
        <f t="shared" si="10"/>
        <v>87.361000000000004</v>
      </c>
      <c r="L72" s="5">
        <f t="shared" si="10"/>
        <v>99.147999999999996</v>
      </c>
      <c r="M72" s="5">
        <f t="shared" si="10"/>
        <v>3382.8780000000002</v>
      </c>
      <c r="N72" s="5">
        <f t="shared" si="10"/>
        <v>23.198</v>
      </c>
      <c r="O72" s="5">
        <f t="shared" si="10"/>
        <v>2631.953</v>
      </c>
      <c r="P72" s="5">
        <f t="shared" si="10"/>
        <v>121.78100000000001</v>
      </c>
      <c r="Q72" s="5">
        <f t="shared" si="10"/>
        <v>284.66899999999998</v>
      </c>
      <c r="R72" s="5">
        <f t="shared" si="10"/>
        <v>13.53</v>
      </c>
      <c r="S72" s="5">
        <f t="shared" si="10"/>
        <v>709.99800000000005</v>
      </c>
      <c r="T72" s="5">
        <f t="shared" si="10"/>
        <v>140.48500000000001</v>
      </c>
      <c r="U72" s="5">
        <f t="shared" si="10"/>
        <v>1371.652</v>
      </c>
      <c r="V72" s="5">
        <f t="shared" si="10"/>
        <v>859.39200000000005</v>
      </c>
      <c r="W72" s="5">
        <f t="shared" si="10"/>
        <v>1866.133</v>
      </c>
      <c r="X72" s="5">
        <f t="shared" si="10"/>
        <v>683.02099999999996</v>
      </c>
      <c r="Y72" s="5">
        <f t="shared" si="10"/>
        <v>71</v>
      </c>
      <c r="Z72" s="5">
        <f t="shared" si="10"/>
        <v>1114.8019999999999</v>
      </c>
      <c r="AA72" s="5">
        <f t="shared" si="10"/>
        <v>2567.8690000000001</v>
      </c>
      <c r="AB72" s="5">
        <f t="shared" si="10"/>
        <v>1542.6610000000001</v>
      </c>
      <c r="AC72" s="5">
        <f t="shared" si="10"/>
        <v>5773.2470000000003</v>
      </c>
    </row>
    <row r="73" spans="1:29" x14ac:dyDescent="0.55000000000000004">
      <c r="B73">
        <v>17</v>
      </c>
      <c r="C73" t="s">
        <v>57</v>
      </c>
      <c r="D73" s="5">
        <f>SUM(D61:D62)/1000</f>
        <v>181.11199999999999</v>
      </c>
      <c r="E73" s="5">
        <f t="shared" ref="E73:AC73" si="11">SUM(E61:E62)/1000</f>
        <v>2.14</v>
      </c>
      <c r="F73" s="5">
        <f t="shared" si="11"/>
        <v>63.585999999999999</v>
      </c>
      <c r="G73" s="5">
        <f t="shared" si="11"/>
        <v>166.95</v>
      </c>
      <c r="H73" s="5">
        <f t="shared" si="11"/>
        <v>63.034999999999997</v>
      </c>
      <c r="I73" s="5">
        <f t="shared" si="11"/>
        <v>9.5</v>
      </c>
      <c r="J73" s="5">
        <f t="shared" si="11"/>
        <v>150.27500000000001</v>
      </c>
      <c r="K73" s="5">
        <f t="shared" si="11"/>
        <v>138.91200000000001</v>
      </c>
      <c r="L73" s="5">
        <f t="shared" si="11"/>
        <v>0</v>
      </c>
      <c r="M73" s="5">
        <f t="shared" si="11"/>
        <v>270.32600000000002</v>
      </c>
      <c r="N73" s="5">
        <f t="shared" si="11"/>
        <v>3.4740000000000002</v>
      </c>
      <c r="O73" s="5">
        <f t="shared" si="11"/>
        <v>145.99</v>
      </c>
      <c r="P73" s="5">
        <f t="shared" si="11"/>
        <v>18.893000000000001</v>
      </c>
      <c r="Q73" s="5">
        <f t="shared" si="11"/>
        <v>53.344999999999999</v>
      </c>
      <c r="R73" s="5">
        <f t="shared" si="11"/>
        <v>0</v>
      </c>
      <c r="S73" s="5">
        <f t="shared" si="11"/>
        <v>149.33199999999999</v>
      </c>
      <c r="T73" s="5">
        <f t="shared" si="11"/>
        <v>25</v>
      </c>
      <c r="U73" s="5">
        <f t="shared" si="11"/>
        <v>402.68</v>
      </c>
      <c r="V73" s="5">
        <f t="shared" si="11"/>
        <v>55.012</v>
      </c>
      <c r="W73" s="5">
        <f t="shared" si="11"/>
        <v>326.62</v>
      </c>
      <c r="X73" s="5">
        <f t="shared" si="11"/>
        <v>249.64400000000001</v>
      </c>
      <c r="Y73" s="5">
        <f t="shared" si="11"/>
        <v>13.4</v>
      </c>
      <c r="Z73" s="5">
        <f t="shared" si="11"/>
        <v>45.738</v>
      </c>
      <c r="AA73" s="5">
        <f t="shared" si="11"/>
        <v>571.79100000000005</v>
      </c>
      <c r="AB73" s="5">
        <f t="shared" si="11"/>
        <v>70.963999999999999</v>
      </c>
      <c r="AC73" s="5">
        <f t="shared" si="11"/>
        <v>337.428</v>
      </c>
    </row>
    <row r="74" spans="1:29" x14ac:dyDescent="0.55000000000000004"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 spans="1:29" x14ac:dyDescent="0.55000000000000004">
      <c r="C75" t="s">
        <v>43</v>
      </c>
      <c r="D75" s="5">
        <f>SUM(D36:D43,D47:D54,D58:D65)/1000</f>
        <v>11143.207</v>
      </c>
      <c r="E75" s="5">
        <f t="shared" ref="E75:AC75" si="12">SUM(E36:E43,E47:E54,E58:E65)/1000</f>
        <v>149.083</v>
      </c>
      <c r="F75" s="5">
        <f t="shared" si="12"/>
        <v>2060.4304999999999</v>
      </c>
      <c r="G75" s="5">
        <f t="shared" si="12"/>
        <v>28868.306</v>
      </c>
      <c r="H75" s="5">
        <f t="shared" si="12"/>
        <v>12744.089</v>
      </c>
      <c r="I75" s="5">
        <f t="shared" si="12"/>
        <v>7906.7250000000004</v>
      </c>
      <c r="J75" s="5">
        <f t="shared" si="12"/>
        <v>12185.700999999999</v>
      </c>
      <c r="K75" s="5">
        <f t="shared" si="12"/>
        <v>3693.607</v>
      </c>
      <c r="L75" s="5">
        <f t="shared" si="12"/>
        <v>1284.308</v>
      </c>
      <c r="M75" s="5">
        <f t="shared" si="12"/>
        <v>12494.081</v>
      </c>
      <c r="N75" s="5">
        <f t="shared" si="12"/>
        <v>681.45100000000002</v>
      </c>
      <c r="O75" s="5">
        <f t="shared" si="12"/>
        <v>9096.5075500000003</v>
      </c>
      <c r="P75" s="5">
        <f t="shared" si="12"/>
        <v>2851.3209999999999</v>
      </c>
      <c r="Q75" s="5">
        <f t="shared" si="12"/>
        <v>653.99649999999997</v>
      </c>
      <c r="R75" s="5">
        <f t="shared" si="12"/>
        <v>259.13</v>
      </c>
      <c r="S75" s="5">
        <f t="shared" si="12"/>
        <v>7782.5379999999996</v>
      </c>
      <c r="T75" s="5">
        <f t="shared" si="12"/>
        <v>3219.0889999999999</v>
      </c>
      <c r="U75" s="5">
        <f t="shared" si="12"/>
        <v>11123.5065</v>
      </c>
      <c r="V75" s="5">
        <f t="shared" si="12"/>
        <v>4706.7809999999999</v>
      </c>
      <c r="W75" s="5">
        <f t="shared" si="12"/>
        <v>11345.794</v>
      </c>
      <c r="X75" s="5">
        <f t="shared" si="12"/>
        <v>10987.526</v>
      </c>
      <c r="Y75" s="5">
        <f t="shared" si="12"/>
        <v>607.74</v>
      </c>
      <c r="Z75" s="5">
        <f t="shared" si="12"/>
        <v>15466.3665</v>
      </c>
      <c r="AA75" s="5">
        <f t="shared" si="12"/>
        <v>13089.767</v>
      </c>
      <c r="AB75" s="5">
        <f t="shared" si="12"/>
        <v>5659.31</v>
      </c>
      <c r="AC75" s="5">
        <f t="shared" si="12"/>
        <v>26279.468000000001</v>
      </c>
    </row>
    <row r="77" spans="1:29" x14ac:dyDescent="0.55000000000000004">
      <c r="A77" s="9" t="s">
        <v>46</v>
      </c>
      <c r="B77" s="9" t="s">
        <v>47</v>
      </c>
      <c r="C77" s="6" t="s">
        <v>1</v>
      </c>
      <c r="D77" s="6" t="s">
        <v>2</v>
      </c>
      <c r="E77" s="6" t="s">
        <v>3</v>
      </c>
      <c r="F77" s="6" t="s">
        <v>4</v>
      </c>
      <c r="G77" s="6" t="s">
        <v>5</v>
      </c>
      <c r="H77" s="6" t="s">
        <v>6</v>
      </c>
      <c r="I77" s="6" t="s">
        <v>7</v>
      </c>
      <c r="J77" s="6" t="s">
        <v>8</v>
      </c>
      <c r="K77" s="6" t="s">
        <v>9</v>
      </c>
      <c r="L77" s="6" t="s">
        <v>10</v>
      </c>
      <c r="M77" s="6" t="s">
        <v>11</v>
      </c>
      <c r="N77" s="6" t="s">
        <v>12</v>
      </c>
      <c r="O77" s="6" t="s">
        <v>13</v>
      </c>
      <c r="P77" s="6" t="s">
        <v>14</v>
      </c>
      <c r="Q77" s="6" t="s">
        <v>15</v>
      </c>
      <c r="R77" s="6" t="s">
        <v>16</v>
      </c>
      <c r="S77" s="6" t="s">
        <v>17</v>
      </c>
      <c r="T77" s="6" t="s">
        <v>18</v>
      </c>
      <c r="U77" s="6" t="s">
        <v>19</v>
      </c>
      <c r="V77" s="6" t="s">
        <v>20</v>
      </c>
      <c r="W77" s="6" t="s">
        <v>21</v>
      </c>
      <c r="X77" s="6" t="s">
        <v>22</v>
      </c>
      <c r="Y77" s="6" t="s">
        <v>23</v>
      </c>
      <c r="Z77" s="6" t="s">
        <v>24</v>
      </c>
      <c r="AA77" s="6" t="s">
        <v>25</v>
      </c>
      <c r="AB77" s="6" t="s">
        <v>26</v>
      </c>
      <c r="AC77" s="6" t="s">
        <v>27</v>
      </c>
    </row>
    <row r="78" spans="1:29" x14ac:dyDescent="0.55000000000000004">
      <c r="A78" s="2" t="s">
        <v>48</v>
      </c>
      <c r="B78" s="10" t="s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</row>
    <row r="79" spans="1:29" x14ac:dyDescent="0.55000000000000004">
      <c r="A79" s="2" t="s">
        <v>49</v>
      </c>
      <c r="B79" s="10" t="s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</row>
    <row r="80" spans="1:29" x14ac:dyDescent="0.55000000000000004">
      <c r="A80" s="2" t="s">
        <v>50</v>
      </c>
      <c r="B80" s="10" t="s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</row>
    <row r="81" spans="1:29" x14ac:dyDescent="0.55000000000000004">
      <c r="A81" s="2" t="s">
        <v>51</v>
      </c>
      <c r="B81" s="10" t="s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</row>
    <row r="82" spans="1:29" x14ac:dyDescent="0.55000000000000004">
      <c r="A82" s="2" t="s">
        <v>52</v>
      </c>
      <c r="B82" s="10" t="s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</row>
    <row r="83" spans="1:29" x14ac:dyDescent="0.55000000000000004">
      <c r="A83" s="2" t="s">
        <v>53</v>
      </c>
      <c r="B83" s="10" t="s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</row>
    <row r="84" spans="1:29" x14ac:dyDescent="0.55000000000000004">
      <c r="A84" s="2" t="s">
        <v>32</v>
      </c>
      <c r="B84" s="10" t="s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</row>
    <row r="85" spans="1:29" x14ac:dyDescent="0.55000000000000004">
      <c r="A85" s="2" t="s">
        <v>33</v>
      </c>
      <c r="B85" s="10" t="s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</row>
    <row r="86" spans="1:29" x14ac:dyDescent="0.55000000000000004">
      <c r="A86" s="8" t="s">
        <v>35</v>
      </c>
      <c r="B86" s="10" t="s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</row>
    <row r="87" spans="1:29" x14ac:dyDescent="0.55000000000000004">
      <c r="A87" s="8" t="s">
        <v>35</v>
      </c>
      <c r="B87" s="10" t="s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</row>
    <row r="88" spans="1:29" x14ac:dyDescent="0.55000000000000004">
      <c r="A88" s="8" t="s">
        <v>35</v>
      </c>
      <c r="B88" s="10" t="s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</row>
    <row r="89" spans="1:29" x14ac:dyDescent="0.55000000000000004">
      <c r="A89" s="2" t="s">
        <v>36</v>
      </c>
      <c r="B89" s="10" t="s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</row>
    <row r="90" spans="1:29" x14ac:dyDescent="0.55000000000000004">
      <c r="A90" s="8" t="s">
        <v>54</v>
      </c>
      <c r="B90" s="10" t="s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</row>
    <row r="93" spans="1:29" x14ac:dyDescent="0.55000000000000004">
      <c r="A93" s="1" t="s">
        <v>28</v>
      </c>
      <c r="B93" s="1" t="s">
        <v>41</v>
      </c>
      <c r="D93" s="4" t="s">
        <v>20</v>
      </c>
      <c r="E93" s="4" t="s">
        <v>17</v>
      </c>
      <c r="F93" s="4" t="s">
        <v>16</v>
      </c>
      <c r="G93" s="4" t="s">
        <v>3</v>
      </c>
      <c r="H93" s="4" t="s">
        <v>14</v>
      </c>
      <c r="I93" s="4" t="s">
        <v>13</v>
      </c>
      <c r="J93" s="4" t="s">
        <v>11</v>
      </c>
      <c r="K93" s="4" t="s">
        <v>26</v>
      </c>
      <c r="L93" s="4" t="s">
        <v>9</v>
      </c>
      <c r="M93" s="4" t="s">
        <v>19</v>
      </c>
      <c r="N93" s="4" t="s">
        <v>27</v>
      </c>
      <c r="O93" s="4" t="s">
        <v>4</v>
      </c>
      <c r="P93" s="4" t="s">
        <v>25</v>
      </c>
      <c r="Q93" s="4" t="s">
        <v>8</v>
      </c>
      <c r="R93" s="4" t="s">
        <v>7</v>
      </c>
      <c r="S93" s="4" t="s">
        <v>18</v>
      </c>
      <c r="T93" s="4" t="s">
        <v>15</v>
      </c>
      <c r="U93" s="4" t="s">
        <v>12</v>
      </c>
      <c r="V93" s="4" t="s">
        <v>6</v>
      </c>
      <c r="W93" s="4" t="s">
        <v>21</v>
      </c>
      <c r="X93" s="4" t="s">
        <v>22</v>
      </c>
      <c r="Y93" s="4" t="s">
        <v>5</v>
      </c>
      <c r="Z93" s="4" t="s">
        <v>23</v>
      </c>
      <c r="AA93" s="4" t="s">
        <v>24</v>
      </c>
      <c r="AB93" s="4" t="s">
        <v>10</v>
      </c>
      <c r="AC93" s="4" t="s">
        <v>2</v>
      </c>
    </row>
    <row r="94" spans="1:29" x14ac:dyDescent="0.55000000000000004">
      <c r="A94" s="2" t="s">
        <v>48</v>
      </c>
      <c r="B94">
        <v>2</v>
      </c>
      <c r="D94" s="7">
        <f>HLOOKUP(D$93,$D$77:$AC$90,$B94,FALSE)</f>
        <v>0</v>
      </c>
      <c r="E94" s="7">
        <f t="shared" ref="E94:AC104" si="13">HLOOKUP(E$93,$D$77:$AC$90,$B94,FALSE)</f>
        <v>0</v>
      </c>
      <c r="F94" s="7">
        <f t="shared" si="13"/>
        <v>0</v>
      </c>
      <c r="G94" s="7">
        <f t="shared" si="13"/>
        <v>0</v>
      </c>
      <c r="H94" s="7">
        <f t="shared" si="13"/>
        <v>0</v>
      </c>
      <c r="I94" s="7">
        <f t="shared" si="13"/>
        <v>0</v>
      </c>
      <c r="J94" s="7">
        <f t="shared" si="13"/>
        <v>0</v>
      </c>
      <c r="K94" s="7">
        <f t="shared" si="13"/>
        <v>0</v>
      </c>
      <c r="L94" s="7">
        <f t="shared" si="13"/>
        <v>0</v>
      </c>
      <c r="M94" s="7">
        <f t="shared" si="13"/>
        <v>0</v>
      </c>
      <c r="N94" s="7">
        <f t="shared" si="13"/>
        <v>0</v>
      </c>
      <c r="O94" s="7">
        <f t="shared" si="13"/>
        <v>0</v>
      </c>
      <c r="P94" s="7">
        <f t="shared" si="13"/>
        <v>0</v>
      </c>
      <c r="Q94" s="7">
        <f t="shared" si="13"/>
        <v>0</v>
      </c>
      <c r="R94" s="7">
        <f t="shared" si="13"/>
        <v>0</v>
      </c>
      <c r="S94" s="7">
        <f t="shared" si="13"/>
        <v>0</v>
      </c>
      <c r="T94" s="7">
        <f t="shared" si="13"/>
        <v>0</v>
      </c>
      <c r="U94" s="7">
        <f t="shared" si="13"/>
        <v>0</v>
      </c>
      <c r="V94" s="7">
        <f t="shared" si="13"/>
        <v>0</v>
      </c>
      <c r="W94" s="7">
        <f t="shared" si="13"/>
        <v>0</v>
      </c>
      <c r="X94" s="7">
        <f t="shared" si="13"/>
        <v>0</v>
      </c>
      <c r="Y94" s="7">
        <f t="shared" si="13"/>
        <v>0</v>
      </c>
      <c r="Z94" s="7">
        <f t="shared" si="13"/>
        <v>0</v>
      </c>
      <c r="AA94" s="7">
        <f t="shared" si="13"/>
        <v>0</v>
      </c>
      <c r="AB94" s="7">
        <f t="shared" si="13"/>
        <v>0</v>
      </c>
      <c r="AC94" s="7">
        <f t="shared" si="13"/>
        <v>0</v>
      </c>
    </row>
    <row r="95" spans="1:29" x14ac:dyDescent="0.55000000000000004">
      <c r="A95" s="2" t="s">
        <v>49</v>
      </c>
      <c r="B95">
        <v>3</v>
      </c>
      <c r="D95" s="7">
        <f t="shared" ref="D95:S106" si="14">HLOOKUP(D$93,$D$77:$AC$90,$B95,FALSE)</f>
        <v>0</v>
      </c>
      <c r="E95" s="7">
        <f t="shared" si="14"/>
        <v>0</v>
      </c>
      <c r="F95" s="7">
        <f t="shared" si="14"/>
        <v>0</v>
      </c>
      <c r="G95" s="7">
        <f t="shared" si="14"/>
        <v>0</v>
      </c>
      <c r="H95" s="7">
        <f t="shared" si="14"/>
        <v>0</v>
      </c>
      <c r="I95" s="7">
        <f t="shared" si="14"/>
        <v>0</v>
      </c>
      <c r="J95" s="7">
        <f t="shared" si="14"/>
        <v>0</v>
      </c>
      <c r="K95" s="7">
        <f t="shared" si="14"/>
        <v>0</v>
      </c>
      <c r="L95" s="7">
        <f t="shared" si="14"/>
        <v>0</v>
      </c>
      <c r="M95" s="7">
        <f t="shared" si="14"/>
        <v>0</v>
      </c>
      <c r="N95" s="7">
        <f t="shared" si="14"/>
        <v>0</v>
      </c>
      <c r="O95" s="7">
        <f t="shared" si="14"/>
        <v>0</v>
      </c>
      <c r="P95" s="7">
        <f t="shared" si="14"/>
        <v>0</v>
      </c>
      <c r="Q95" s="7">
        <f t="shared" si="14"/>
        <v>0</v>
      </c>
      <c r="R95" s="7">
        <f t="shared" si="14"/>
        <v>0</v>
      </c>
      <c r="S95" s="7">
        <f t="shared" si="14"/>
        <v>0</v>
      </c>
      <c r="T95" s="7">
        <f t="shared" si="13"/>
        <v>0</v>
      </c>
      <c r="U95" s="7">
        <f t="shared" si="13"/>
        <v>0</v>
      </c>
      <c r="V95" s="7">
        <f t="shared" si="13"/>
        <v>0</v>
      </c>
      <c r="W95" s="7">
        <f t="shared" si="13"/>
        <v>0</v>
      </c>
      <c r="X95" s="7">
        <f t="shared" si="13"/>
        <v>0</v>
      </c>
      <c r="Y95" s="7">
        <f t="shared" si="13"/>
        <v>0</v>
      </c>
      <c r="Z95" s="7">
        <f t="shared" si="13"/>
        <v>0</v>
      </c>
      <c r="AA95" s="7">
        <f t="shared" si="13"/>
        <v>0</v>
      </c>
      <c r="AB95" s="7">
        <f t="shared" si="13"/>
        <v>0</v>
      </c>
      <c r="AC95" s="7">
        <f t="shared" si="13"/>
        <v>0</v>
      </c>
    </row>
    <row r="96" spans="1:29" x14ac:dyDescent="0.55000000000000004">
      <c r="A96" s="2" t="s">
        <v>50</v>
      </c>
      <c r="B96">
        <v>4</v>
      </c>
      <c r="D96" s="7">
        <f t="shared" si="14"/>
        <v>0</v>
      </c>
      <c r="E96" s="7">
        <f t="shared" si="13"/>
        <v>0</v>
      </c>
      <c r="F96" s="7">
        <f t="shared" si="13"/>
        <v>0</v>
      </c>
      <c r="G96" s="7">
        <f t="shared" si="13"/>
        <v>0</v>
      </c>
      <c r="H96" s="7">
        <f t="shared" si="13"/>
        <v>0</v>
      </c>
      <c r="I96" s="7">
        <f t="shared" si="13"/>
        <v>0</v>
      </c>
      <c r="J96" s="7">
        <f t="shared" si="13"/>
        <v>0</v>
      </c>
      <c r="K96" s="7">
        <f t="shared" si="13"/>
        <v>0</v>
      </c>
      <c r="L96" s="7">
        <f t="shared" si="13"/>
        <v>0</v>
      </c>
      <c r="M96" s="7">
        <f t="shared" si="13"/>
        <v>0</v>
      </c>
      <c r="N96" s="7">
        <f t="shared" si="13"/>
        <v>0</v>
      </c>
      <c r="O96" s="7">
        <f t="shared" si="13"/>
        <v>0</v>
      </c>
      <c r="P96" s="7">
        <f t="shared" si="13"/>
        <v>0</v>
      </c>
      <c r="Q96" s="7">
        <f t="shared" si="13"/>
        <v>0</v>
      </c>
      <c r="R96" s="7">
        <f t="shared" si="13"/>
        <v>0</v>
      </c>
      <c r="S96" s="7">
        <f t="shared" si="13"/>
        <v>0</v>
      </c>
      <c r="T96" s="7">
        <f t="shared" si="13"/>
        <v>0</v>
      </c>
      <c r="U96" s="7">
        <f t="shared" si="13"/>
        <v>0</v>
      </c>
      <c r="V96" s="7">
        <f t="shared" si="13"/>
        <v>0</v>
      </c>
      <c r="W96" s="7">
        <f t="shared" si="13"/>
        <v>0</v>
      </c>
      <c r="X96" s="7">
        <f t="shared" si="13"/>
        <v>0</v>
      </c>
      <c r="Y96" s="7">
        <f t="shared" si="13"/>
        <v>0</v>
      </c>
      <c r="Z96" s="7">
        <f t="shared" si="13"/>
        <v>0</v>
      </c>
      <c r="AA96" s="7">
        <f t="shared" si="13"/>
        <v>0</v>
      </c>
      <c r="AB96" s="7">
        <f t="shared" si="13"/>
        <v>0</v>
      </c>
      <c r="AC96" s="7">
        <f t="shared" si="13"/>
        <v>0</v>
      </c>
    </row>
    <row r="97" spans="1:29" x14ac:dyDescent="0.55000000000000004">
      <c r="A97" s="2" t="s">
        <v>51</v>
      </c>
      <c r="B97">
        <v>5</v>
      </c>
      <c r="D97" s="7">
        <f t="shared" si="14"/>
        <v>0</v>
      </c>
      <c r="E97" s="7">
        <f>HLOOKUP(E$93,$D$77:$AC$90,$B97,FALSE)</f>
        <v>0</v>
      </c>
      <c r="F97" s="7">
        <f t="shared" si="13"/>
        <v>0</v>
      </c>
      <c r="G97" s="7">
        <f t="shared" si="13"/>
        <v>0</v>
      </c>
      <c r="H97" s="7">
        <f t="shared" si="13"/>
        <v>0</v>
      </c>
      <c r="I97" s="7">
        <f t="shared" si="13"/>
        <v>0</v>
      </c>
      <c r="J97" s="7">
        <f t="shared" si="13"/>
        <v>0</v>
      </c>
      <c r="K97" s="7">
        <f t="shared" si="13"/>
        <v>0</v>
      </c>
      <c r="L97" s="7">
        <f t="shared" si="13"/>
        <v>0</v>
      </c>
      <c r="M97" s="7">
        <f t="shared" si="13"/>
        <v>0</v>
      </c>
      <c r="N97" s="7">
        <f t="shared" si="13"/>
        <v>0</v>
      </c>
      <c r="O97" s="7">
        <f t="shared" si="13"/>
        <v>0</v>
      </c>
      <c r="P97" s="7">
        <f t="shared" si="13"/>
        <v>0</v>
      </c>
      <c r="Q97" s="7">
        <f t="shared" si="13"/>
        <v>0</v>
      </c>
      <c r="R97" s="7">
        <f t="shared" si="13"/>
        <v>0</v>
      </c>
      <c r="S97" s="7">
        <f t="shared" si="13"/>
        <v>0</v>
      </c>
      <c r="T97" s="7">
        <f t="shared" si="13"/>
        <v>0</v>
      </c>
      <c r="U97" s="7">
        <f t="shared" si="13"/>
        <v>0</v>
      </c>
      <c r="V97" s="7">
        <f t="shared" si="13"/>
        <v>0</v>
      </c>
      <c r="W97" s="7">
        <f t="shared" si="13"/>
        <v>0</v>
      </c>
      <c r="X97" s="7">
        <f t="shared" si="13"/>
        <v>0</v>
      </c>
      <c r="Y97" s="7">
        <f t="shared" si="13"/>
        <v>0</v>
      </c>
      <c r="Z97" s="7">
        <f t="shared" si="13"/>
        <v>0</v>
      </c>
      <c r="AA97" s="7">
        <f t="shared" si="13"/>
        <v>0</v>
      </c>
      <c r="AB97" s="7">
        <f t="shared" si="13"/>
        <v>0</v>
      </c>
      <c r="AC97" s="7">
        <f t="shared" si="13"/>
        <v>0</v>
      </c>
    </row>
    <row r="98" spans="1:29" x14ac:dyDescent="0.55000000000000004">
      <c r="A98" s="2" t="s">
        <v>52</v>
      </c>
      <c r="B98">
        <v>6</v>
      </c>
      <c r="D98" s="7">
        <f t="shared" si="14"/>
        <v>0</v>
      </c>
      <c r="E98" s="7">
        <f t="shared" si="13"/>
        <v>0</v>
      </c>
      <c r="F98" s="7">
        <f t="shared" si="13"/>
        <v>0</v>
      </c>
      <c r="G98" s="7">
        <f t="shared" si="13"/>
        <v>0</v>
      </c>
      <c r="H98" s="7">
        <f t="shared" si="13"/>
        <v>0</v>
      </c>
      <c r="I98" s="7">
        <f t="shared" si="13"/>
        <v>0</v>
      </c>
      <c r="J98" s="7">
        <f t="shared" si="13"/>
        <v>0</v>
      </c>
      <c r="K98" s="7">
        <f t="shared" si="13"/>
        <v>0</v>
      </c>
      <c r="L98" s="7">
        <f t="shared" si="13"/>
        <v>0</v>
      </c>
      <c r="M98" s="7">
        <f t="shared" si="13"/>
        <v>0</v>
      </c>
      <c r="N98" s="7">
        <f t="shared" si="13"/>
        <v>0</v>
      </c>
      <c r="O98" s="7">
        <f t="shared" si="13"/>
        <v>0</v>
      </c>
      <c r="P98" s="7">
        <f t="shared" si="13"/>
        <v>0</v>
      </c>
      <c r="Q98" s="7">
        <f t="shared" si="13"/>
        <v>0</v>
      </c>
      <c r="R98" s="7">
        <f t="shared" si="13"/>
        <v>0</v>
      </c>
      <c r="S98" s="7">
        <f t="shared" si="13"/>
        <v>0</v>
      </c>
      <c r="T98" s="7">
        <f t="shared" si="13"/>
        <v>0</v>
      </c>
      <c r="U98" s="7">
        <f t="shared" si="13"/>
        <v>0</v>
      </c>
      <c r="V98" s="7">
        <f t="shared" si="13"/>
        <v>0</v>
      </c>
      <c r="W98" s="7">
        <f t="shared" si="13"/>
        <v>0</v>
      </c>
      <c r="X98" s="7">
        <f t="shared" si="13"/>
        <v>0</v>
      </c>
      <c r="Y98" s="7">
        <f t="shared" si="13"/>
        <v>0</v>
      </c>
      <c r="Z98" s="7">
        <f t="shared" si="13"/>
        <v>0</v>
      </c>
      <c r="AA98" s="7">
        <f t="shared" si="13"/>
        <v>0</v>
      </c>
      <c r="AB98" s="7">
        <f t="shared" si="13"/>
        <v>0</v>
      </c>
      <c r="AC98" s="7">
        <f t="shared" si="13"/>
        <v>0</v>
      </c>
    </row>
    <row r="99" spans="1:29" x14ac:dyDescent="0.55000000000000004">
      <c r="A99" s="2" t="s">
        <v>53</v>
      </c>
      <c r="B99">
        <v>7</v>
      </c>
      <c r="D99" s="7">
        <f t="shared" si="14"/>
        <v>0</v>
      </c>
      <c r="E99" s="7">
        <f t="shared" si="13"/>
        <v>0</v>
      </c>
      <c r="F99" s="7">
        <f t="shared" si="13"/>
        <v>0</v>
      </c>
      <c r="G99" s="7">
        <f t="shared" si="13"/>
        <v>0</v>
      </c>
      <c r="H99" s="7">
        <f t="shared" si="13"/>
        <v>0</v>
      </c>
      <c r="I99" s="7">
        <f t="shared" si="13"/>
        <v>0</v>
      </c>
      <c r="J99" s="7">
        <f t="shared" si="13"/>
        <v>0</v>
      </c>
      <c r="K99" s="7">
        <f t="shared" si="13"/>
        <v>0</v>
      </c>
      <c r="L99" s="7">
        <f t="shared" si="13"/>
        <v>0</v>
      </c>
      <c r="M99" s="7">
        <f t="shared" si="13"/>
        <v>0</v>
      </c>
      <c r="N99" s="7">
        <f t="shared" si="13"/>
        <v>0</v>
      </c>
      <c r="O99" s="7">
        <f t="shared" si="13"/>
        <v>0</v>
      </c>
      <c r="P99" s="7">
        <f t="shared" si="13"/>
        <v>0</v>
      </c>
      <c r="Q99" s="7">
        <f t="shared" si="13"/>
        <v>0</v>
      </c>
      <c r="R99" s="7">
        <f t="shared" si="13"/>
        <v>0</v>
      </c>
      <c r="S99" s="7">
        <f t="shared" si="13"/>
        <v>0</v>
      </c>
      <c r="T99" s="7">
        <f t="shared" si="13"/>
        <v>0</v>
      </c>
      <c r="U99" s="7">
        <f t="shared" si="13"/>
        <v>0</v>
      </c>
      <c r="V99" s="7">
        <f t="shared" si="13"/>
        <v>0</v>
      </c>
      <c r="W99" s="7">
        <f t="shared" si="13"/>
        <v>0</v>
      </c>
      <c r="X99" s="7">
        <f t="shared" si="13"/>
        <v>0</v>
      </c>
      <c r="Y99" s="7">
        <f t="shared" si="13"/>
        <v>0</v>
      </c>
      <c r="Z99" s="7">
        <f t="shared" si="13"/>
        <v>0</v>
      </c>
      <c r="AA99" s="7">
        <f t="shared" si="13"/>
        <v>0</v>
      </c>
      <c r="AB99" s="7">
        <f t="shared" si="13"/>
        <v>0</v>
      </c>
      <c r="AC99" s="7">
        <f t="shared" si="13"/>
        <v>0</v>
      </c>
    </row>
    <row r="100" spans="1:29" x14ac:dyDescent="0.55000000000000004">
      <c r="A100" s="2" t="s">
        <v>32</v>
      </c>
      <c r="B100">
        <v>8</v>
      </c>
      <c r="D100" s="7">
        <f>HLOOKUP(D$93,$D$77:$AC$90,$B100,FALSE)</f>
        <v>0</v>
      </c>
      <c r="E100" s="7">
        <f t="shared" si="13"/>
        <v>0</v>
      </c>
      <c r="F100" s="7">
        <f t="shared" si="13"/>
        <v>0</v>
      </c>
      <c r="G100" s="7">
        <f t="shared" si="13"/>
        <v>0</v>
      </c>
      <c r="H100" s="7">
        <f t="shared" si="13"/>
        <v>0</v>
      </c>
      <c r="I100" s="7">
        <f t="shared" si="13"/>
        <v>0</v>
      </c>
      <c r="J100" s="7">
        <f t="shared" si="13"/>
        <v>0</v>
      </c>
      <c r="K100" s="7">
        <f t="shared" si="13"/>
        <v>0</v>
      </c>
      <c r="L100" s="7">
        <f t="shared" si="13"/>
        <v>0</v>
      </c>
      <c r="M100" s="7">
        <f t="shared" si="13"/>
        <v>0</v>
      </c>
      <c r="N100" s="7">
        <f t="shared" si="13"/>
        <v>0</v>
      </c>
      <c r="O100" s="7">
        <f t="shared" si="13"/>
        <v>0</v>
      </c>
      <c r="P100" s="7">
        <f t="shared" si="13"/>
        <v>0</v>
      </c>
      <c r="Q100" s="7">
        <f t="shared" si="13"/>
        <v>0</v>
      </c>
      <c r="R100" s="7">
        <f t="shared" si="13"/>
        <v>0</v>
      </c>
      <c r="S100" s="7">
        <f t="shared" si="13"/>
        <v>0</v>
      </c>
      <c r="T100" s="7">
        <f t="shared" si="13"/>
        <v>0</v>
      </c>
      <c r="U100" s="7">
        <f t="shared" si="13"/>
        <v>0</v>
      </c>
      <c r="V100" s="7">
        <f t="shared" si="13"/>
        <v>0</v>
      </c>
      <c r="W100" s="7">
        <f t="shared" si="13"/>
        <v>0</v>
      </c>
      <c r="X100" s="7">
        <f t="shared" si="13"/>
        <v>0</v>
      </c>
      <c r="Y100" s="7">
        <f t="shared" si="13"/>
        <v>0</v>
      </c>
      <c r="Z100" s="7">
        <f t="shared" si="13"/>
        <v>0</v>
      </c>
      <c r="AA100" s="7">
        <f t="shared" si="13"/>
        <v>0</v>
      </c>
      <c r="AB100" s="7">
        <f t="shared" si="13"/>
        <v>0</v>
      </c>
      <c r="AC100" s="7">
        <f t="shared" si="13"/>
        <v>0</v>
      </c>
    </row>
    <row r="101" spans="1:29" x14ac:dyDescent="0.55000000000000004">
      <c r="A101" s="2" t="s">
        <v>33</v>
      </c>
      <c r="B101">
        <v>9</v>
      </c>
      <c r="D101" s="7">
        <f t="shared" si="14"/>
        <v>0</v>
      </c>
      <c r="E101" s="7">
        <f t="shared" si="13"/>
        <v>0</v>
      </c>
      <c r="F101" s="7">
        <f t="shared" si="13"/>
        <v>0</v>
      </c>
      <c r="G101" s="7">
        <f t="shared" si="13"/>
        <v>0</v>
      </c>
      <c r="H101" s="7">
        <f t="shared" si="13"/>
        <v>0</v>
      </c>
      <c r="I101" s="7">
        <f t="shared" si="13"/>
        <v>0</v>
      </c>
      <c r="J101" s="7">
        <f t="shared" si="13"/>
        <v>0</v>
      </c>
      <c r="K101" s="7">
        <f t="shared" si="13"/>
        <v>0</v>
      </c>
      <c r="L101" s="7">
        <f t="shared" si="13"/>
        <v>0</v>
      </c>
      <c r="M101" s="7">
        <f t="shared" si="13"/>
        <v>0</v>
      </c>
      <c r="N101" s="7">
        <f t="shared" si="13"/>
        <v>0</v>
      </c>
      <c r="O101" s="7">
        <f t="shared" si="13"/>
        <v>0</v>
      </c>
      <c r="P101" s="7">
        <f t="shared" si="13"/>
        <v>0</v>
      </c>
      <c r="Q101" s="7">
        <f t="shared" si="13"/>
        <v>0</v>
      </c>
      <c r="R101" s="7">
        <f t="shared" si="13"/>
        <v>0</v>
      </c>
      <c r="S101" s="7">
        <f t="shared" si="13"/>
        <v>0</v>
      </c>
      <c r="T101" s="7">
        <f t="shared" si="13"/>
        <v>0</v>
      </c>
      <c r="U101" s="7">
        <f t="shared" si="13"/>
        <v>0</v>
      </c>
      <c r="V101" s="7">
        <f t="shared" si="13"/>
        <v>0</v>
      </c>
      <c r="W101" s="7">
        <f t="shared" si="13"/>
        <v>0</v>
      </c>
      <c r="X101" s="7">
        <f t="shared" si="13"/>
        <v>0</v>
      </c>
      <c r="Y101" s="7">
        <f t="shared" si="13"/>
        <v>0</v>
      </c>
      <c r="Z101" s="7">
        <f t="shared" si="13"/>
        <v>0</v>
      </c>
      <c r="AA101" s="7">
        <f t="shared" si="13"/>
        <v>0</v>
      </c>
      <c r="AB101" s="7">
        <f t="shared" si="13"/>
        <v>0</v>
      </c>
      <c r="AC101" s="7">
        <f t="shared" si="13"/>
        <v>0</v>
      </c>
    </row>
    <row r="102" spans="1:29" x14ac:dyDescent="0.55000000000000004">
      <c r="A102" s="8" t="s">
        <v>35</v>
      </c>
      <c r="B102">
        <v>10</v>
      </c>
      <c r="D102" s="7">
        <f t="shared" si="14"/>
        <v>0</v>
      </c>
      <c r="E102" s="7">
        <f t="shared" si="13"/>
        <v>0</v>
      </c>
      <c r="F102" s="7">
        <f t="shared" si="13"/>
        <v>0</v>
      </c>
      <c r="G102" s="7">
        <f t="shared" si="13"/>
        <v>0</v>
      </c>
      <c r="H102" s="7">
        <f t="shared" si="13"/>
        <v>0</v>
      </c>
      <c r="I102" s="7">
        <f t="shared" si="13"/>
        <v>0</v>
      </c>
      <c r="J102" s="7">
        <f t="shared" si="13"/>
        <v>0</v>
      </c>
      <c r="K102" s="7">
        <f t="shared" si="13"/>
        <v>0</v>
      </c>
      <c r="L102" s="7">
        <f t="shared" si="13"/>
        <v>0</v>
      </c>
      <c r="M102" s="7">
        <f t="shared" si="13"/>
        <v>0</v>
      </c>
      <c r="N102" s="7">
        <f t="shared" si="13"/>
        <v>0</v>
      </c>
      <c r="O102" s="7">
        <f t="shared" si="13"/>
        <v>0</v>
      </c>
      <c r="P102" s="7">
        <f t="shared" si="13"/>
        <v>0</v>
      </c>
      <c r="Q102" s="7">
        <f t="shared" si="13"/>
        <v>0</v>
      </c>
      <c r="R102" s="7">
        <f t="shared" si="13"/>
        <v>0</v>
      </c>
      <c r="S102" s="7">
        <f t="shared" si="13"/>
        <v>0</v>
      </c>
      <c r="T102" s="7">
        <f t="shared" si="13"/>
        <v>0</v>
      </c>
      <c r="U102" s="7">
        <f t="shared" si="13"/>
        <v>0</v>
      </c>
      <c r="V102" s="7">
        <f t="shared" si="13"/>
        <v>0</v>
      </c>
      <c r="W102" s="7">
        <f t="shared" si="13"/>
        <v>0</v>
      </c>
      <c r="X102" s="7">
        <f t="shared" si="13"/>
        <v>0</v>
      </c>
      <c r="Y102" s="7">
        <f t="shared" si="13"/>
        <v>0</v>
      </c>
      <c r="Z102" s="7">
        <f t="shared" si="13"/>
        <v>0</v>
      </c>
      <c r="AA102" s="7">
        <f t="shared" si="13"/>
        <v>0</v>
      </c>
      <c r="AB102" s="7">
        <f t="shared" si="13"/>
        <v>0</v>
      </c>
      <c r="AC102" s="7">
        <f t="shared" si="13"/>
        <v>0</v>
      </c>
    </row>
    <row r="103" spans="1:29" x14ac:dyDescent="0.55000000000000004">
      <c r="A103" s="8" t="s">
        <v>35</v>
      </c>
      <c r="B103">
        <v>11</v>
      </c>
      <c r="D103" s="7">
        <f t="shared" si="14"/>
        <v>0</v>
      </c>
      <c r="E103" s="7">
        <f t="shared" si="13"/>
        <v>0</v>
      </c>
      <c r="F103" s="7">
        <f t="shared" si="13"/>
        <v>0</v>
      </c>
      <c r="G103" s="7">
        <f t="shared" si="13"/>
        <v>0</v>
      </c>
      <c r="H103" s="7">
        <f t="shared" si="13"/>
        <v>0</v>
      </c>
      <c r="I103" s="7">
        <f t="shared" si="13"/>
        <v>0</v>
      </c>
      <c r="J103" s="7">
        <f t="shared" si="13"/>
        <v>0</v>
      </c>
      <c r="K103" s="7">
        <f t="shared" si="13"/>
        <v>0</v>
      </c>
      <c r="L103" s="7">
        <f t="shared" si="13"/>
        <v>0</v>
      </c>
      <c r="M103" s="7">
        <f t="shared" si="13"/>
        <v>0</v>
      </c>
      <c r="N103" s="7">
        <f t="shared" si="13"/>
        <v>0</v>
      </c>
      <c r="O103" s="7">
        <f t="shared" si="13"/>
        <v>0</v>
      </c>
      <c r="P103" s="7">
        <f t="shared" si="13"/>
        <v>0</v>
      </c>
      <c r="Q103" s="7">
        <f t="shared" si="13"/>
        <v>0</v>
      </c>
      <c r="R103" s="7">
        <f t="shared" si="13"/>
        <v>0</v>
      </c>
      <c r="S103" s="7">
        <f t="shared" si="13"/>
        <v>0</v>
      </c>
      <c r="T103" s="7">
        <f t="shared" si="13"/>
        <v>0</v>
      </c>
      <c r="U103" s="7">
        <f t="shared" si="13"/>
        <v>0</v>
      </c>
      <c r="V103" s="7">
        <f t="shared" si="13"/>
        <v>0</v>
      </c>
      <c r="W103" s="7">
        <f t="shared" si="13"/>
        <v>0</v>
      </c>
      <c r="X103" s="7">
        <f t="shared" si="13"/>
        <v>0</v>
      </c>
      <c r="Y103" s="7">
        <f t="shared" si="13"/>
        <v>0</v>
      </c>
      <c r="Z103" s="7">
        <f t="shared" si="13"/>
        <v>0</v>
      </c>
      <c r="AA103" s="7">
        <f t="shared" si="13"/>
        <v>0</v>
      </c>
      <c r="AB103" s="7">
        <f t="shared" si="13"/>
        <v>0</v>
      </c>
      <c r="AC103" s="7">
        <f t="shared" si="13"/>
        <v>0</v>
      </c>
    </row>
    <row r="104" spans="1:29" x14ac:dyDescent="0.55000000000000004">
      <c r="A104" s="8" t="s">
        <v>35</v>
      </c>
      <c r="B104">
        <v>12</v>
      </c>
      <c r="D104" s="7">
        <f t="shared" si="14"/>
        <v>0</v>
      </c>
      <c r="E104" s="7">
        <f t="shared" si="13"/>
        <v>0</v>
      </c>
      <c r="F104" s="7">
        <f t="shared" si="13"/>
        <v>0</v>
      </c>
      <c r="G104" s="7">
        <f t="shared" si="13"/>
        <v>0</v>
      </c>
      <c r="H104" s="7">
        <f t="shared" si="13"/>
        <v>0</v>
      </c>
      <c r="I104" s="7">
        <f t="shared" si="13"/>
        <v>0</v>
      </c>
      <c r="J104" s="7">
        <f t="shared" si="13"/>
        <v>0</v>
      </c>
      <c r="K104" s="7">
        <f t="shared" si="13"/>
        <v>0</v>
      </c>
      <c r="L104" s="7">
        <f t="shared" si="13"/>
        <v>0</v>
      </c>
      <c r="M104" s="7">
        <f t="shared" si="13"/>
        <v>0</v>
      </c>
      <c r="N104" s="7">
        <f t="shared" si="13"/>
        <v>0</v>
      </c>
      <c r="O104" s="7">
        <f t="shared" si="13"/>
        <v>0</v>
      </c>
      <c r="P104" s="7">
        <f t="shared" si="13"/>
        <v>0</v>
      </c>
      <c r="Q104" s="7">
        <f t="shared" si="13"/>
        <v>0</v>
      </c>
      <c r="R104" s="7">
        <f t="shared" si="13"/>
        <v>0</v>
      </c>
      <c r="S104" s="7">
        <f t="shared" si="13"/>
        <v>0</v>
      </c>
      <c r="T104" s="7">
        <f t="shared" si="13"/>
        <v>0</v>
      </c>
      <c r="U104" s="7">
        <f t="shared" si="13"/>
        <v>0</v>
      </c>
      <c r="V104" s="7">
        <f t="shared" si="13"/>
        <v>0</v>
      </c>
      <c r="W104" s="7">
        <f t="shared" si="13"/>
        <v>0</v>
      </c>
      <c r="X104" s="7">
        <f t="shared" si="13"/>
        <v>0</v>
      </c>
      <c r="Y104" s="7">
        <f t="shared" ref="Y104:AC104" si="15">HLOOKUP(Y$93,$D$77:$AC$90,$B104,FALSE)</f>
        <v>0</v>
      </c>
      <c r="Z104" s="7">
        <f t="shared" si="15"/>
        <v>0</v>
      </c>
      <c r="AA104" s="7">
        <f t="shared" si="15"/>
        <v>0</v>
      </c>
      <c r="AB104" s="7">
        <f t="shared" si="15"/>
        <v>0</v>
      </c>
      <c r="AC104" s="7">
        <f t="shared" si="15"/>
        <v>0</v>
      </c>
    </row>
    <row r="105" spans="1:29" x14ac:dyDescent="0.55000000000000004">
      <c r="A105" s="2" t="s">
        <v>36</v>
      </c>
      <c r="B105">
        <v>13</v>
      </c>
      <c r="D105" s="7">
        <f t="shared" si="14"/>
        <v>0</v>
      </c>
      <c r="E105" s="7">
        <f t="shared" si="14"/>
        <v>0</v>
      </c>
      <c r="F105" s="7">
        <f t="shared" si="14"/>
        <v>0</v>
      </c>
      <c r="G105" s="7">
        <f t="shared" si="14"/>
        <v>0</v>
      </c>
      <c r="H105" s="7">
        <f t="shared" si="14"/>
        <v>0</v>
      </c>
      <c r="I105" s="7">
        <f t="shared" si="14"/>
        <v>0</v>
      </c>
      <c r="J105" s="7">
        <f t="shared" si="14"/>
        <v>0</v>
      </c>
      <c r="K105" s="7">
        <f t="shared" si="14"/>
        <v>0</v>
      </c>
      <c r="L105" s="7">
        <f t="shared" si="14"/>
        <v>0</v>
      </c>
      <c r="M105" s="7">
        <f t="shared" si="14"/>
        <v>0</v>
      </c>
      <c r="N105" s="7">
        <f t="shared" si="14"/>
        <v>0</v>
      </c>
      <c r="O105" s="7">
        <f t="shared" si="14"/>
        <v>0</v>
      </c>
      <c r="P105" s="7">
        <f t="shared" si="14"/>
        <v>0</v>
      </c>
      <c r="Q105" s="7">
        <f t="shared" si="14"/>
        <v>0</v>
      </c>
      <c r="R105" s="7">
        <f t="shared" si="14"/>
        <v>0</v>
      </c>
      <c r="S105" s="7">
        <f t="shared" si="14"/>
        <v>0</v>
      </c>
      <c r="T105" s="7">
        <f t="shared" ref="T105:AC106" si="16">HLOOKUP(T$93,$D$77:$AC$90,$B105,FALSE)</f>
        <v>0</v>
      </c>
      <c r="U105" s="7">
        <f t="shared" si="16"/>
        <v>0</v>
      </c>
      <c r="V105" s="7">
        <f t="shared" si="16"/>
        <v>0</v>
      </c>
      <c r="W105" s="7">
        <f t="shared" si="16"/>
        <v>0</v>
      </c>
      <c r="X105" s="7">
        <f t="shared" si="16"/>
        <v>0</v>
      </c>
      <c r="Y105" s="7">
        <f t="shared" si="16"/>
        <v>0</v>
      </c>
      <c r="Z105" s="7">
        <f t="shared" si="16"/>
        <v>0</v>
      </c>
      <c r="AA105" s="7">
        <f t="shared" si="16"/>
        <v>0</v>
      </c>
      <c r="AB105" s="7">
        <f t="shared" si="16"/>
        <v>0</v>
      </c>
      <c r="AC105" s="7">
        <f t="shared" si="16"/>
        <v>0</v>
      </c>
    </row>
    <row r="106" spans="1:29" x14ac:dyDescent="0.55000000000000004">
      <c r="A106" s="8" t="s">
        <v>54</v>
      </c>
      <c r="B106">
        <v>14</v>
      </c>
      <c r="D106" s="7">
        <f t="shared" si="14"/>
        <v>0</v>
      </c>
      <c r="E106" s="7">
        <f t="shared" si="14"/>
        <v>0</v>
      </c>
      <c r="F106" s="7">
        <f t="shared" si="14"/>
        <v>0</v>
      </c>
      <c r="G106" s="7">
        <f t="shared" si="14"/>
        <v>0</v>
      </c>
      <c r="H106" s="7">
        <f t="shared" si="14"/>
        <v>0</v>
      </c>
      <c r="I106" s="7">
        <f t="shared" si="14"/>
        <v>0</v>
      </c>
      <c r="J106" s="7">
        <f t="shared" si="14"/>
        <v>0</v>
      </c>
      <c r="K106" s="7">
        <f t="shared" si="14"/>
        <v>0</v>
      </c>
      <c r="L106" s="7">
        <f t="shared" si="14"/>
        <v>0</v>
      </c>
      <c r="M106" s="7">
        <f t="shared" si="14"/>
        <v>0</v>
      </c>
      <c r="N106" s="7">
        <f t="shared" si="14"/>
        <v>0</v>
      </c>
      <c r="O106" s="7">
        <f t="shared" si="14"/>
        <v>0</v>
      </c>
      <c r="P106" s="7">
        <f t="shared" si="14"/>
        <v>0</v>
      </c>
      <c r="Q106" s="7">
        <f t="shared" si="14"/>
        <v>0</v>
      </c>
      <c r="R106" s="7">
        <f t="shared" si="14"/>
        <v>0</v>
      </c>
      <c r="S106" s="7">
        <f t="shared" si="14"/>
        <v>0</v>
      </c>
      <c r="T106" s="7">
        <f t="shared" si="16"/>
        <v>0</v>
      </c>
      <c r="U106" s="7">
        <f t="shared" si="16"/>
        <v>0</v>
      </c>
      <c r="V106" s="7">
        <f t="shared" si="16"/>
        <v>0</v>
      </c>
      <c r="W106" s="7">
        <f t="shared" si="16"/>
        <v>0</v>
      </c>
      <c r="X106" s="7">
        <f t="shared" si="16"/>
        <v>0</v>
      </c>
      <c r="Y106" s="7">
        <f t="shared" si="16"/>
        <v>0</v>
      </c>
      <c r="Z106" s="7">
        <f t="shared" si="16"/>
        <v>0</v>
      </c>
      <c r="AA106" s="7">
        <f t="shared" si="16"/>
        <v>0</v>
      </c>
      <c r="AB106" s="7">
        <f t="shared" si="16"/>
        <v>0</v>
      </c>
      <c r="AC106" s="7">
        <f t="shared" si="16"/>
        <v>0</v>
      </c>
    </row>
    <row r="108" spans="1:29" x14ac:dyDescent="0.55000000000000004">
      <c r="B108">
        <v>16</v>
      </c>
      <c r="C108" t="s">
        <v>42</v>
      </c>
      <c r="D108" s="7">
        <f>SUM(D100:D101)/1000</f>
        <v>0</v>
      </c>
      <c r="E108" s="7">
        <f t="shared" ref="E108:AC108" si="17">SUM(E100:E101)/1000</f>
        <v>0</v>
      </c>
      <c r="F108" s="7">
        <f t="shared" si="17"/>
        <v>0</v>
      </c>
      <c r="G108" s="7">
        <f t="shared" si="17"/>
        <v>0</v>
      </c>
      <c r="H108" s="7">
        <f t="shared" si="17"/>
        <v>0</v>
      </c>
      <c r="I108" s="7">
        <f t="shared" si="17"/>
        <v>0</v>
      </c>
      <c r="J108" s="7">
        <f t="shared" si="17"/>
        <v>0</v>
      </c>
      <c r="K108" s="7">
        <f t="shared" si="17"/>
        <v>0</v>
      </c>
      <c r="L108" s="7">
        <f t="shared" si="17"/>
        <v>0</v>
      </c>
      <c r="M108" s="7">
        <f t="shared" si="17"/>
        <v>0</v>
      </c>
      <c r="N108" s="7">
        <f t="shared" si="17"/>
        <v>0</v>
      </c>
      <c r="O108" s="7">
        <f t="shared" si="17"/>
        <v>0</v>
      </c>
      <c r="P108" s="7">
        <f t="shared" si="17"/>
        <v>0</v>
      </c>
      <c r="Q108" s="7">
        <f t="shared" si="17"/>
        <v>0</v>
      </c>
      <c r="R108" s="7">
        <f t="shared" si="17"/>
        <v>0</v>
      </c>
      <c r="S108" s="7">
        <f t="shared" si="17"/>
        <v>0</v>
      </c>
      <c r="T108" s="7">
        <f t="shared" si="17"/>
        <v>0</v>
      </c>
      <c r="U108" s="7">
        <f t="shared" si="17"/>
        <v>0</v>
      </c>
      <c r="V108" s="7">
        <f t="shared" si="17"/>
        <v>0</v>
      </c>
      <c r="W108" s="7">
        <f t="shared" si="17"/>
        <v>0</v>
      </c>
      <c r="X108" s="7">
        <f t="shared" si="17"/>
        <v>0</v>
      </c>
      <c r="Y108" s="7">
        <f t="shared" si="17"/>
        <v>0</v>
      </c>
      <c r="Z108" s="7">
        <f t="shared" si="17"/>
        <v>0</v>
      </c>
      <c r="AA108" s="7">
        <f t="shared" si="17"/>
        <v>0</v>
      </c>
      <c r="AB108" s="7">
        <f t="shared" si="17"/>
        <v>0</v>
      </c>
      <c r="AC108" s="7">
        <f t="shared" si="17"/>
        <v>0</v>
      </c>
    </row>
    <row r="109" spans="1:29" x14ac:dyDescent="0.55000000000000004">
      <c r="B109">
        <v>17</v>
      </c>
      <c r="C109" t="s">
        <v>45</v>
      </c>
      <c r="D109" s="7">
        <f>SUM(D94:D97)/1000</f>
        <v>0</v>
      </c>
      <c r="E109" s="7">
        <f t="shared" ref="E109:AC109" si="18">SUM(E94:E97)/1000</f>
        <v>0</v>
      </c>
      <c r="F109" s="7">
        <f t="shared" si="18"/>
        <v>0</v>
      </c>
      <c r="G109" s="7">
        <f t="shared" si="18"/>
        <v>0</v>
      </c>
      <c r="H109" s="7">
        <f t="shared" si="18"/>
        <v>0</v>
      </c>
      <c r="I109" s="7">
        <f t="shared" si="18"/>
        <v>0</v>
      </c>
      <c r="J109" s="7">
        <f t="shared" si="18"/>
        <v>0</v>
      </c>
      <c r="K109" s="7">
        <f t="shared" si="18"/>
        <v>0</v>
      </c>
      <c r="L109" s="7">
        <f t="shared" si="18"/>
        <v>0</v>
      </c>
      <c r="M109" s="7">
        <f t="shared" si="18"/>
        <v>0</v>
      </c>
      <c r="N109" s="7">
        <f t="shared" si="18"/>
        <v>0</v>
      </c>
      <c r="O109" s="7">
        <f t="shared" si="18"/>
        <v>0</v>
      </c>
      <c r="P109" s="7">
        <f t="shared" si="18"/>
        <v>0</v>
      </c>
      <c r="Q109" s="7">
        <f t="shared" si="18"/>
        <v>0</v>
      </c>
      <c r="R109" s="7">
        <f t="shared" si="18"/>
        <v>0</v>
      </c>
      <c r="S109" s="7">
        <f t="shared" si="18"/>
        <v>0</v>
      </c>
      <c r="T109" s="7">
        <f t="shared" si="18"/>
        <v>0</v>
      </c>
      <c r="U109" s="7">
        <f t="shared" si="18"/>
        <v>0</v>
      </c>
      <c r="V109" s="7">
        <f t="shared" si="18"/>
        <v>0</v>
      </c>
      <c r="W109" s="7">
        <f t="shared" si="18"/>
        <v>0</v>
      </c>
      <c r="X109" s="7">
        <f t="shared" si="18"/>
        <v>0</v>
      </c>
      <c r="Y109" s="7">
        <f t="shared" si="18"/>
        <v>0</v>
      </c>
      <c r="Z109" s="7">
        <f t="shared" si="18"/>
        <v>0</v>
      </c>
      <c r="AA109" s="7">
        <f t="shared" si="18"/>
        <v>0</v>
      </c>
      <c r="AB109" s="7">
        <f t="shared" si="18"/>
        <v>0</v>
      </c>
      <c r="AC109" s="7">
        <f t="shared" si="18"/>
        <v>0</v>
      </c>
    </row>
    <row r="110" spans="1:29" x14ac:dyDescent="0.55000000000000004">
      <c r="B110">
        <v>18</v>
      </c>
      <c r="C110" t="s">
        <v>35</v>
      </c>
      <c r="D110" s="7">
        <f>SUM(D102:D104)/1000</f>
        <v>0</v>
      </c>
      <c r="E110" s="7">
        <f t="shared" ref="E110:AC110" si="19">SUM(E102:E104)/1000</f>
        <v>0</v>
      </c>
      <c r="F110" s="7">
        <f t="shared" si="19"/>
        <v>0</v>
      </c>
      <c r="G110" s="7">
        <f t="shared" si="19"/>
        <v>0</v>
      </c>
      <c r="H110" s="7">
        <f t="shared" si="19"/>
        <v>0</v>
      </c>
      <c r="I110" s="7">
        <f t="shared" si="19"/>
        <v>0</v>
      </c>
      <c r="J110" s="7">
        <f t="shared" si="19"/>
        <v>0</v>
      </c>
      <c r="K110" s="7">
        <f t="shared" si="19"/>
        <v>0</v>
      </c>
      <c r="L110" s="7">
        <f t="shared" si="19"/>
        <v>0</v>
      </c>
      <c r="M110" s="7">
        <f t="shared" si="19"/>
        <v>0</v>
      </c>
      <c r="N110" s="7">
        <f t="shared" si="19"/>
        <v>0</v>
      </c>
      <c r="O110" s="7">
        <f t="shared" si="19"/>
        <v>0</v>
      </c>
      <c r="P110" s="7">
        <f t="shared" si="19"/>
        <v>0</v>
      </c>
      <c r="Q110" s="7">
        <f t="shared" si="19"/>
        <v>0</v>
      </c>
      <c r="R110" s="7">
        <f t="shared" si="19"/>
        <v>0</v>
      </c>
      <c r="S110" s="7">
        <f t="shared" si="19"/>
        <v>0</v>
      </c>
      <c r="T110" s="7">
        <f t="shared" si="19"/>
        <v>0</v>
      </c>
      <c r="U110" s="7">
        <f t="shared" si="19"/>
        <v>0</v>
      </c>
      <c r="V110" s="7">
        <f t="shared" si="19"/>
        <v>0</v>
      </c>
      <c r="W110" s="7">
        <f t="shared" si="19"/>
        <v>0</v>
      </c>
      <c r="X110" s="7">
        <f t="shared" si="19"/>
        <v>0</v>
      </c>
      <c r="Y110" s="7">
        <f t="shared" si="19"/>
        <v>0</v>
      </c>
      <c r="Z110" s="7">
        <f t="shared" si="19"/>
        <v>0</v>
      </c>
      <c r="AA110" s="7">
        <f t="shared" si="19"/>
        <v>0</v>
      </c>
      <c r="AB110" s="7">
        <f t="shared" si="19"/>
        <v>0</v>
      </c>
      <c r="AC110" s="7">
        <f t="shared" si="19"/>
        <v>0</v>
      </c>
    </row>
    <row r="111" spans="1:29" x14ac:dyDescent="0.55000000000000004"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 spans="1:29" x14ac:dyDescent="0.55000000000000004">
      <c r="C112" t="s">
        <v>43</v>
      </c>
      <c r="D112" s="7">
        <f>SUM(D94:D106)/1000</f>
        <v>0</v>
      </c>
      <c r="E112" s="7">
        <f t="shared" ref="E112:AC112" si="20">SUM(E94:E106)/1000</f>
        <v>0</v>
      </c>
      <c r="F112" s="7">
        <f t="shared" si="20"/>
        <v>0</v>
      </c>
      <c r="G112" s="7">
        <f t="shared" si="20"/>
        <v>0</v>
      </c>
      <c r="H112" s="7">
        <f t="shared" si="20"/>
        <v>0</v>
      </c>
      <c r="I112" s="7">
        <f t="shared" si="20"/>
        <v>0</v>
      </c>
      <c r="J112" s="7">
        <f t="shared" si="20"/>
        <v>0</v>
      </c>
      <c r="K112" s="7">
        <f t="shared" si="20"/>
        <v>0</v>
      </c>
      <c r="L112" s="7">
        <f t="shared" si="20"/>
        <v>0</v>
      </c>
      <c r="M112" s="7">
        <f t="shared" si="20"/>
        <v>0</v>
      </c>
      <c r="N112" s="7">
        <f t="shared" si="20"/>
        <v>0</v>
      </c>
      <c r="O112" s="7">
        <f t="shared" si="20"/>
        <v>0</v>
      </c>
      <c r="P112" s="7">
        <f t="shared" si="20"/>
        <v>0</v>
      </c>
      <c r="Q112" s="7">
        <f t="shared" si="20"/>
        <v>0</v>
      </c>
      <c r="R112" s="7">
        <f t="shared" si="20"/>
        <v>0</v>
      </c>
      <c r="S112" s="7">
        <f t="shared" si="20"/>
        <v>0</v>
      </c>
      <c r="T112" s="7">
        <f t="shared" si="20"/>
        <v>0</v>
      </c>
      <c r="U112" s="7">
        <f t="shared" si="20"/>
        <v>0</v>
      </c>
      <c r="V112" s="7">
        <f t="shared" si="20"/>
        <v>0</v>
      </c>
      <c r="W112" s="7">
        <f t="shared" si="20"/>
        <v>0</v>
      </c>
      <c r="X112" s="7">
        <f t="shared" si="20"/>
        <v>0</v>
      </c>
      <c r="Y112" s="7">
        <f t="shared" si="20"/>
        <v>0</v>
      </c>
      <c r="Z112" s="7">
        <f t="shared" si="20"/>
        <v>0</v>
      </c>
      <c r="AA112" s="7">
        <f t="shared" si="20"/>
        <v>0</v>
      </c>
      <c r="AB112" s="7">
        <f t="shared" si="20"/>
        <v>0</v>
      </c>
      <c r="AC112" s="7">
        <f t="shared" si="20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21CFE-3FA0-41F1-8AEE-B7DC8D06A2CB}">
  <dimension ref="A1:AC71"/>
  <sheetViews>
    <sheetView topLeftCell="A43" workbookViewId="0">
      <selection activeCell="C67" sqref="C67:AC69"/>
    </sheetView>
  </sheetViews>
  <sheetFormatPr defaultRowHeight="14.4" x14ac:dyDescent="0.55000000000000004"/>
  <cols>
    <col min="1" max="1" width="34.41796875" bestFit="1" customWidth="1"/>
    <col min="2" max="2" width="4.7890625" bestFit="1" customWidth="1"/>
  </cols>
  <sheetData>
    <row r="1" spans="1:29" x14ac:dyDescent="0.55000000000000004">
      <c r="A1" s="1" t="s">
        <v>37</v>
      </c>
      <c r="B1" s="2"/>
    </row>
    <row r="2" spans="1:29" x14ac:dyDescent="0.55000000000000004">
      <c r="A2" s="1" t="s">
        <v>28</v>
      </c>
      <c r="B2" s="1" t="s">
        <v>40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11</v>
      </c>
      <c r="N2" s="4" t="s">
        <v>12</v>
      </c>
      <c r="O2" s="4" t="s">
        <v>13</v>
      </c>
      <c r="P2" s="4" t="s">
        <v>14</v>
      </c>
      <c r="Q2" s="4" t="s">
        <v>15</v>
      </c>
      <c r="R2" s="4" t="s">
        <v>16</v>
      </c>
      <c r="S2" s="4" t="s">
        <v>17</v>
      </c>
      <c r="T2" s="4" t="s">
        <v>18</v>
      </c>
      <c r="U2" s="4" t="s">
        <v>19</v>
      </c>
      <c r="V2" s="4" t="s">
        <v>20</v>
      </c>
      <c r="W2" s="4" t="s">
        <v>21</v>
      </c>
      <c r="X2" s="4" t="s">
        <v>22</v>
      </c>
      <c r="Y2" s="4" t="s">
        <v>23</v>
      </c>
      <c r="Z2" s="4" t="s">
        <v>24</v>
      </c>
      <c r="AA2" s="4" t="s">
        <v>25</v>
      </c>
      <c r="AB2" s="4" t="s">
        <v>26</v>
      </c>
      <c r="AC2" s="4" t="s">
        <v>27</v>
      </c>
    </row>
    <row r="3" spans="1:29" x14ac:dyDescent="0.55000000000000004">
      <c r="A3" s="2" t="s">
        <v>29</v>
      </c>
      <c r="B3" s="3" t="s">
        <v>55</v>
      </c>
      <c r="C3" s="5">
        <v>113</v>
      </c>
      <c r="D3" s="5">
        <v>0</v>
      </c>
      <c r="E3" s="5">
        <v>0</v>
      </c>
      <c r="F3" s="5">
        <v>0</v>
      </c>
      <c r="G3" s="5">
        <v>0</v>
      </c>
      <c r="H3" s="5">
        <v>7</v>
      </c>
      <c r="I3" s="5">
        <v>2</v>
      </c>
      <c r="J3" s="5">
        <v>0</v>
      </c>
      <c r="K3" s="5">
        <v>8</v>
      </c>
      <c r="L3" s="5">
        <v>0</v>
      </c>
      <c r="M3" s="5">
        <v>17</v>
      </c>
      <c r="N3" s="5">
        <v>4</v>
      </c>
      <c r="O3" s="5">
        <v>0</v>
      </c>
      <c r="P3" s="5">
        <v>8</v>
      </c>
      <c r="Q3" s="5">
        <v>1</v>
      </c>
      <c r="R3" s="5">
        <v>3</v>
      </c>
      <c r="S3" s="5">
        <v>6</v>
      </c>
      <c r="T3" s="5">
        <v>2</v>
      </c>
      <c r="U3" s="5">
        <v>14</v>
      </c>
      <c r="V3" s="5">
        <v>6</v>
      </c>
      <c r="W3" s="5">
        <v>6</v>
      </c>
      <c r="X3" s="5">
        <v>17</v>
      </c>
      <c r="Y3" s="5">
        <v>6</v>
      </c>
      <c r="Z3" s="5">
        <v>0</v>
      </c>
      <c r="AA3" s="5">
        <v>0</v>
      </c>
      <c r="AB3" s="5">
        <v>0</v>
      </c>
      <c r="AC3" s="5">
        <v>6</v>
      </c>
    </row>
    <row r="4" spans="1:29" x14ac:dyDescent="0.55000000000000004">
      <c r="A4" s="2" t="s">
        <v>30</v>
      </c>
      <c r="B4" s="3" t="s">
        <v>55</v>
      </c>
      <c r="C4" s="5">
        <v>525</v>
      </c>
      <c r="D4" s="5">
        <v>0</v>
      </c>
      <c r="E4" s="5">
        <v>160</v>
      </c>
      <c r="F4" s="5">
        <v>14</v>
      </c>
      <c r="G4" s="5">
        <v>4</v>
      </c>
      <c r="H4" s="5">
        <v>4</v>
      </c>
      <c r="I4" s="5">
        <v>0</v>
      </c>
      <c r="J4" s="5">
        <v>0</v>
      </c>
      <c r="K4" s="5">
        <v>5</v>
      </c>
      <c r="L4" s="5">
        <v>1</v>
      </c>
      <c r="M4" s="5">
        <v>43</v>
      </c>
      <c r="N4" s="5">
        <v>20</v>
      </c>
      <c r="O4" s="5">
        <v>2</v>
      </c>
      <c r="P4" s="5">
        <v>24</v>
      </c>
      <c r="Q4" s="5">
        <v>6</v>
      </c>
      <c r="R4" s="5">
        <v>5</v>
      </c>
      <c r="S4" s="5">
        <v>2</v>
      </c>
      <c r="T4" s="5">
        <v>0</v>
      </c>
      <c r="U4" s="5">
        <v>11</v>
      </c>
      <c r="V4" s="5">
        <v>14</v>
      </c>
      <c r="W4" s="5">
        <v>18</v>
      </c>
      <c r="X4" s="5">
        <v>15</v>
      </c>
      <c r="Y4" s="5">
        <v>109</v>
      </c>
      <c r="Z4" s="5">
        <v>8</v>
      </c>
      <c r="AA4" s="5">
        <v>37</v>
      </c>
      <c r="AB4" s="5">
        <v>0</v>
      </c>
      <c r="AC4" s="5">
        <v>23</v>
      </c>
    </row>
    <row r="5" spans="1:29" x14ac:dyDescent="0.55000000000000004">
      <c r="A5" s="2" t="s">
        <v>31</v>
      </c>
      <c r="B5" s="3" t="s">
        <v>55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</row>
    <row r="6" spans="1:29" x14ac:dyDescent="0.55000000000000004">
      <c r="A6" s="2" t="s">
        <v>32</v>
      </c>
      <c r="B6" s="3" t="s">
        <v>55</v>
      </c>
      <c r="C6" s="5">
        <v>9968</v>
      </c>
      <c r="D6" s="5">
        <v>1086</v>
      </c>
      <c r="E6" s="5">
        <v>1716</v>
      </c>
      <c r="F6" s="5">
        <v>303</v>
      </c>
      <c r="G6" s="5">
        <v>8</v>
      </c>
      <c r="H6" s="5">
        <v>118</v>
      </c>
      <c r="I6" s="5">
        <v>6</v>
      </c>
      <c r="J6" s="5">
        <v>26</v>
      </c>
      <c r="K6" s="5">
        <v>101</v>
      </c>
      <c r="L6" s="5">
        <v>15</v>
      </c>
      <c r="M6" s="5">
        <v>644</v>
      </c>
      <c r="N6" s="5">
        <v>591</v>
      </c>
      <c r="O6" s="5">
        <v>77</v>
      </c>
      <c r="P6" s="5">
        <v>781</v>
      </c>
      <c r="Q6" s="5">
        <v>179</v>
      </c>
      <c r="R6" s="5">
        <v>55</v>
      </c>
      <c r="S6" s="5">
        <v>17</v>
      </c>
      <c r="T6" s="5">
        <v>662</v>
      </c>
      <c r="U6" s="5">
        <v>207</v>
      </c>
      <c r="V6" s="5">
        <v>943</v>
      </c>
      <c r="W6" s="5">
        <v>510</v>
      </c>
      <c r="X6" s="5">
        <v>522</v>
      </c>
      <c r="Y6" s="5">
        <v>436</v>
      </c>
      <c r="Z6" s="5">
        <v>432</v>
      </c>
      <c r="AA6" s="5">
        <v>197</v>
      </c>
      <c r="AB6" s="5">
        <v>231</v>
      </c>
      <c r="AC6" s="5">
        <v>105</v>
      </c>
    </row>
    <row r="7" spans="1:29" x14ac:dyDescent="0.55000000000000004">
      <c r="A7" s="2" t="s">
        <v>33</v>
      </c>
      <c r="B7" s="3" t="s">
        <v>55</v>
      </c>
      <c r="C7" s="5">
        <v>2805</v>
      </c>
      <c r="D7" s="5">
        <v>846</v>
      </c>
      <c r="E7" s="5">
        <v>288</v>
      </c>
      <c r="F7" s="5">
        <v>216</v>
      </c>
      <c r="G7" s="5">
        <v>6</v>
      </c>
      <c r="H7" s="5">
        <v>24</v>
      </c>
      <c r="I7" s="5">
        <v>3</v>
      </c>
      <c r="J7" s="5">
        <v>1</v>
      </c>
      <c r="K7" s="5">
        <v>2</v>
      </c>
      <c r="L7" s="5">
        <v>3</v>
      </c>
      <c r="M7" s="5">
        <v>221</v>
      </c>
      <c r="N7" s="5">
        <v>72</v>
      </c>
      <c r="O7" s="5">
        <v>43</v>
      </c>
      <c r="P7" s="5">
        <v>57</v>
      </c>
      <c r="Q7" s="5">
        <v>24</v>
      </c>
      <c r="R7" s="5">
        <v>32</v>
      </c>
      <c r="S7" s="5">
        <v>14</v>
      </c>
      <c r="T7" s="5">
        <v>291</v>
      </c>
      <c r="U7" s="5">
        <v>87</v>
      </c>
      <c r="V7" s="5">
        <v>159</v>
      </c>
      <c r="W7" s="5">
        <v>238</v>
      </c>
      <c r="X7" s="5">
        <v>8</v>
      </c>
      <c r="Y7" s="5">
        <v>126</v>
      </c>
      <c r="Z7" s="5">
        <v>20</v>
      </c>
      <c r="AA7" s="5">
        <v>11</v>
      </c>
      <c r="AB7" s="5">
        <v>8</v>
      </c>
      <c r="AC7" s="5">
        <v>5</v>
      </c>
    </row>
    <row r="8" spans="1:29" x14ac:dyDescent="0.55000000000000004">
      <c r="A8" s="2" t="s">
        <v>34</v>
      </c>
      <c r="B8" s="3" t="s">
        <v>55</v>
      </c>
      <c r="C8" s="5">
        <v>658</v>
      </c>
      <c r="D8" s="5">
        <v>22</v>
      </c>
      <c r="E8" s="5">
        <v>248</v>
      </c>
      <c r="F8" s="5">
        <v>7</v>
      </c>
      <c r="G8" s="5">
        <v>8</v>
      </c>
      <c r="H8" s="5">
        <v>67</v>
      </c>
      <c r="I8" s="5">
        <v>16</v>
      </c>
      <c r="J8" s="5">
        <v>1</v>
      </c>
      <c r="K8" s="5">
        <v>2</v>
      </c>
      <c r="L8" s="5">
        <v>0</v>
      </c>
      <c r="M8" s="5">
        <v>46</v>
      </c>
      <c r="N8" s="5">
        <v>17</v>
      </c>
      <c r="O8" s="5">
        <v>48</v>
      </c>
      <c r="P8" s="5">
        <v>31</v>
      </c>
      <c r="Q8" s="5">
        <v>44</v>
      </c>
      <c r="R8" s="5">
        <v>7</v>
      </c>
      <c r="S8" s="5">
        <v>2</v>
      </c>
      <c r="T8" s="5">
        <v>4</v>
      </c>
      <c r="U8" s="5">
        <v>11</v>
      </c>
      <c r="V8" s="5">
        <v>13</v>
      </c>
      <c r="W8" s="5">
        <v>19</v>
      </c>
      <c r="X8" s="5">
        <v>14</v>
      </c>
      <c r="Y8" s="5">
        <v>12</v>
      </c>
      <c r="Z8" s="5">
        <v>12</v>
      </c>
      <c r="AA8" s="5">
        <v>4</v>
      </c>
      <c r="AB8" s="5">
        <v>0</v>
      </c>
      <c r="AC8" s="5">
        <v>3</v>
      </c>
    </row>
    <row r="9" spans="1:29" x14ac:dyDescent="0.55000000000000004">
      <c r="A9" s="2" t="s">
        <v>35</v>
      </c>
      <c r="B9" s="3" t="s">
        <v>55</v>
      </c>
      <c r="C9" s="5">
        <v>349</v>
      </c>
      <c r="D9" s="5">
        <v>1</v>
      </c>
      <c r="E9" s="5">
        <v>49</v>
      </c>
      <c r="F9" s="5">
        <v>9</v>
      </c>
      <c r="G9" s="5">
        <v>2</v>
      </c>
      <c r="H9" s="5">
        <v>2</v>
      </c>
      <c r="I9" s="5">
        <v>0</v>
      </c>
      <c r="J9" s="5">
        <v>1</v>
      </c>
      <c r="K9" s="5">
        <v>3</v>
      </c>
      <c r="L9" s="5">
        <v>0</v>
      </c>
      <c r="M9" s="5">
        <v>18</v>
      </c>
      <c r="N9" s="5">
        <v>10</v>
      </c>
      <c r="O9" s="5">
        <v>2</v>
      </c>
      <c r="P9" s="5">
        <v>11</v>
      </c>
      <c r="Q9" s="5">
        <v>0</v>
      </c>
      <c r="R9" s="5">
        <v>8</v>
      </c>
      <c r="S9" s="5">
        <v>1</v>
      </c>
      <c r="T9" s="5">
        <v>10</v>
      </c>
      <c r="U9" s="5">
        <v>21</v>
      </c>
      <c r="V9" s="5">
        <v>6</v>
      </c>
      <c r="W9" s="5">
        <v>12</v>
      </c>
      <c r="X9" s="5">
        <v>23</v>
      </c>
      <c r="Y9" s="5">
        <v>119</v>
      </c>
      <c r="Z9" s="5">
        <v>9</v>
      </c>
      <c r="AA9" s="5">
        <v>7</v>
      </c>
      <c r="AB9" s="5">
        <v>18</v>
      </c>
      <c r="AC9" s="5">
        <v>7</v>
      </c>
    </row>
    <row r="10" spans="1:29" x14ac:dyDescent="0.55000000000000004">
      <c r="A10" s="2" t="s">
        <v>36</v>
      </c>
      <c r="B10" s="3" t="s">
        <v>55</v>
      </c>
      <c r="C10" s="5">
        <v>17</v>
      </c>
      <c r="D10" s="5">
        <v>0</v>
      </c>
      <c r="E10" s="5">
        <v>2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3</v>
      </c>
      <c r="P10" s="5">
        <v>0</v>
      </c>
      <c r="Q10" s="5">
        <v>2</v>
      </c>
      <c r="R10" s="5">
        <v>0</v>
      </c>
      <c r="S10" s="5">
        <v>0</v>
      </c>
      <c r="T10" s="5">
        <v>0</v>
      </c>
      <c r="U10" s="5">
        <v>2</v>
      </c>
      <c r="V10" s="5">
        <v>0</v>
      </c>
      <c r="W10" s="5">
        <v>4</v>
      </c>
      <c r="X10" s="5">
        <v>0</v>
      </c>
      <c r="Y10" s="5">
        <v>4</v>
      </c>
      <c r="Z10" s="5">
        <v>0</v>
      </c>
      <c r="AA10" s="5">
        <v>0</v>
      </c>
      <c r="AB10" s="5">
        <v>0</v>
      </c>
      <c r="AC10" s="5">
        <v>0</v>
      </c>
    </row>
    <row r="11" spans="1:29" x14ac:dyDescent="0.55000000000000004">
      <c r="A11" s="2"/>
      <c r="B11" s="3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2"/>
      <c r="Z11" s="2"/>
      <c r="AA11" s="2"/>
      <c r="AB11" s="2"/>
      <c r="AC11" s="2"/>
    </row>
    <row r="12" spans="1:29" x14ac:dyDescent="0.55000000000000004">
      <c r="A12" s="1" t="s">
        <v>39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x14ac:dyDescent="0.55000000000000004">
      <c r="A13" s="1" t="s">
        <v>28</v>
      </c>
      <c r="B13" s="1" t="s">
        <v>40</v>
      </c>
      <c r="C13" s="4" t="s">
        <v>1</v>
      </c>
      <c r="D13" s="4" t="s">
        <v>2</v>
      </c>
      <c r="E13" s="4" t="s">
        <v>3</v>
      </c>
      <c r="F13" s="4" t="s">
        <v>4</v>
      </c>
      <c r="G13" s="4" t="s">
        <v>5</v>
      </c>
      <c r="H13" s="4" t="s">
        <v>6</v>
      </c>
      <c r="I13" s="4" t="s">
        <v>7</v>
      </c>
      <c r="J13" s="4" t="s">
        <v>8</v>
      </c>
      <c r="K13" s="4" t="s">
        <v>9</v>
      </c>
      <c r="L13" s="4" t="s">
        <v>10</v>
      </c>
      <c r="M13" s="4" t="s">
        <v>11</v>
      </c>
      <c r="N13" s="4" t="s">
        <v>12</v>
      </c>
      <c r="O13" s="4" t="s">
        <v>13</v>
      </c>
      <c r="P13" s="4" t="s">
        <v>14</v>
      </c>
      <c r="Q13" s="4" t="s">
        <v>15</v>
      </c>
      <c r="R13" s="4" t="s">
        <v>16</v>
      </c>
      <c r="S13" s="4" t="s">
        <v>17</v>
      </c>
      <c r="T13" s="4" t="s">
        <v>18</v>
      </c>
      <c r="U13" s="4" t="s">
        <v>19</v>
      </c>
      <c r="V13" s="4" t="s">
        <v>20</v>
      </c>
      <c r="W13" s="4" t="s">
        <v>21</v>
      </c>
      <c r="X13" s="4" t="s">
        <v>22</v>
      </c>
      <c r="Y13" s="4" t="s">
        <v>23</v>
      </c>
      <c r="Z13" s="4" t="s">
        <v>24</v>
      </c>
      <c r="AA13" s="4" t="s">
        <v>25</v>
      </c>
      <c r="AB13" s="4" t="s">
        <v>26</v>
      </c>
      <c r="AC13" s="4" t="s">
        <v>27</v>
      </c>
    </row>
    <row r="14" spans="1:29" x14ac:dyDescent="0.55000000000000004">
      <c r="A14" s="2" t="s">
        <v>29</v>
      </c>
      <c r="B14" s="3" t="s">
        <v>55</v>
      </c>
      <c r="C14" s="5">
        <v>13</v>
      </c>
      <c r="D14" s="5">
        <v>0</v>
      </c>
      <c r="E14" s="5">
        <v>0</v>
      </c>
      <c r="F14" s="5">
        <v>1</v>
      </c>
      <c r="G14" s="5">
        <v>0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1</v>
      </c>
      <c r="N14" s="5">
        <v>1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1</v>
      </c>
      <c r="V14" s="5">
        <v>3</v>
      </c>
      <c r="W14" s="5">
        <v>1</v>
      </c>
      <c r="X14" s="5">
        <v>3</v>
      </c>
      <c r="Y14" s="5">
        <v>1</v>
      </c>
      <c r="Z14" s="5">
        <v>0</v>
      </c>
      <c r="AA14" s="5">
        <v>0</v>
      </c>
      <c r="AB14" s="5">
        <v>0</v>
      </c>
      <c r="AC14" s="5">
        <v>0</v>
      </c>
    </row>
    <row r="15" spans="1:29" x14ac:dyDescent="0.55000000000000004">
      <c r="A15" s="2" t="s">
        <v>30</v>
      </c>
      <c r="B15" s="3" t="s">
        <v>55</v>
      </c>
      <c r="C15" s="5">
        <v>247</v>
      </c>
      <c r="D15" s="5">
        <v>0</v>
      </c>
      <c r="E15" s="5">
        <v>71</v>
      </c>
      <c r="F15" s="5">
        <v>15</v>
      </c>
      <c r="G15" s="5">
        <v>1</v>
      </c>
      <c r="H15" s="5">
        <v>3</v>
      </c>
      <c r="I15" s="5">
        <v>0</v>
      </c>
      <c r="J15" s="5">
        <v>1</v>
      </c>
      <c r="K15" s="5">
        <v>1</v>
      </c>
      <c r="L15" s="5">
        <v>0</v>
      </c>
      <c r="M15" s="5">
        <v>8</v>
      </c>
      <c r="N15" s="5">
        <v>10</v>
      </c>
      <c r="O15" s="5">
        <v>3</v>
      </c>
      <c r="P15" s="5">
        <v>12</v>
      </c>
      <c r="Q15" s="5">
        <v>4</v>
      </c>
      <c r="R15" s="5">
        <v>2</v>
      </c>
      <c r="S15" s="5">
        <v>0</v>
      </c>
      <c r="T15" s="5">
        <v>0</v>
      </c>
      <c r="U15" s="5">
        <v>36</v>
      </c>
      <c r="V15" s="5">
        <v>1</v>
      </c>
      <c r="W15" s="5">
        <v>9</v>
      </c>
      <c r="X15" s="5">
        <v>1</v>
      </c>
      <c r="Y15" s="5">
        <v>35</v>
      </c>
      <c r="Z15" s="5">
        <v>10</v>
      </c>
      <c r="AA15" s="5">
        <v>17</v>
      </c>
      <c r="AB15" s="5">
        <v>0</v>
      </c>
      <c r="AC15" s="5">
        <v>7</v>
      </c>
    </row>
    <row r="16" spans="1:29" x14ac:dyDescent="0.55000000000000004">
      <c r="A16" s="2" t="s">
        <v>31</v>
      </c>
      <c r="B16" s="3" t="s">
        <v>55</v>
      </c>
      <c r="C16" s="5">
        <v>18</v>
      </c>
      <c r="D16" s="5">
        <v>0</v>
      </c>
      <c r="E16" s="5">
        <v>5</v>
      </c>
      <c r="F16" s="5">
        <v>2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2</v>
      </c>
      <c r="N16" s="5">
        <v>0</v>
      </c>
      <c r="O16" s="5">
        <v>2</v>
      </c>
      <c r="P16" s="5">
        <v>1</v>
      </c>
      <c r="Q16" s="5">
        <v>0</v>
      </c>
      <c r="R16" s="5">
        <v>0</v>
      </c>
      <c r="S16" s="5">
        <v>1</v>
      </c>
      <c r="T16" s="5">
        <v>0</v>
      </c>
      <c r="U16" s="5">
        <v>2</v>
      </c>
      <c r="V16" s="5">
        <v>0</v>
      </c>
      <c r="W16" s="5">
        <v>1</v>
      </c>
      <c r="X16" s="5">
        <v>0</v>
      </c>
      <c r="Y16" s="5">
        <v>1</v>
      </c>
      <c r="Z16" s="5">
        <v>1</v>
      </c>
      <c r="AA16" s="5">
        <v>0</v>
      </c>
      <c r="AB16" s="5">
        <v>0</v>
      </c>
      <c r="AC16" s="5">
        <v>0</v>
      </c>
    </row>
    <row r="17" spans="1:29" x14ac:dyDescent="0.55000000000000004">
      <c r="A17" s="2" t="s">
        <v>32</v>
      </c>
      <c r="B17" s="3" t="s">
        <v>55</v>
      </c>
      <c r="C17" s="5">
        <v>1048</v>
      </c>
      <c r="D17" s="5">
        <v>148</v>
      </c>
      <c r="E17" s="5">
        <v>209</v>
      </c>
      <c r="F17" s="5">
        <v>77</v>
      </c>
      <c r="G17" s="5">
        <v>3</v>
      </c>
      <c r="H17" s="5">
        <v>45</v>
      </c>
      <c r="I17" s="5">
        <v>0</v>
      </c>
      <c r="J17" s="5">
        <v>18</v>
      </c>
      <c r="K17" s="5">
        <v>9</v>
      </c>
      <c r="L17" s="5">
        <v>6</v>
      </c>
      <c r="M17" s="5">
        <v>51</v>
      </c>
      <c r="N17" s="5">
        <v>53</v>
      </c>
      <c r="O17" s="5">
        <v>16</v>
      </c>
      <c r="P17" s="5">
        <v>56</v>
      </c>
      <c r="Q17" s="5">
        <v>6</v>
      </c>
      <c r="R17" s="5">
        <v>5</v>
      </c>
      <c r="S17" s="5">
        <v>0</v>
      </c>
      <c r="T17" s="5">
        <v>15</v>
      </c>
      <c r="U17" s="5">
        <v>55</v>
      </c>
      <c r="V17" s="5">
        <v>66</v>
      </c>
      <c r="W17" s="5">
        <v>39</v>
      </c>
      <c r="X17" s="5">
        <v>59</v>
      </c>
      <c r="Y17" s="5">
        <v>48</v>
      </c>
      <c r="Z17" s="5">
        <v>41</v>
      </c>
      <c r="AA17" s="5">
        <v>13</v>
      </c>
      <c r="AB17" s="5">
        <v>3</v>
      </c>
      <c r="AC17" s="5">
        <v>7</v>
      </c>
    </row>
    <row r="18" spans="1:29" x14ac:dyDescent="0.55000000000000004">
      <c r="A18" s="2" t="s">
        <v>33</v>
      </c>
      <c r="B18" s="3" t="s">
        <v>55</v>
      </c>
      <c r="C18" s="5">
        <v>715</v>
      </c>
      <c r="D18" s="5">
        <v>235</v>
      </c>
      <c r="E18" s="5">
        <v>64</v>
      </c>
      <c r="F18" s="5">
        <v>113</v>
      </c>
      <c r="G18" s="5">
        <v>2</v>
      </c>
      <c r="H18" s="5">
        <v>11</v>
      </c>
      <c r="I18" s="5">
        <v>9</v>
      </c>
      <c r="J18" s="5">
        <v>5</v>
      </c>
      <c r="K18" s="5">
        <v>3</v>
      </c>
      <c r="L18" s="5">
        <v>2</v>
      </c>
      <c r="M18" s="5">
        <v>29</v>
      </c>
      <c r="N18" s="5">
        <v>11</v>
      </c>
      <c r="O18" s="5">
        <v>5</v>
      </c>
      <c r="P18" s="5">
        <v>16</v>
      </c>
      <c r="Q18" s="5">
        <v>10</v>
      </c>
      <c r="R18" s="5">
        <v>1</v>
      </c>
      <c r="S18" s="5">
        <v>4</v>
      </c>
      <c r="T18" s="5">
        <v>40</v>
      </c>
      <c r="U18" s="5">
        <v>52</v>
      </c>
      <c r="V18" s="5">
        <v>42</v>
      </c>
      <c r="W18" s="5">
        <v>30</v>
      </c>
      <c r="X18" s="5">
        <v>3</v>
      </c>
      <c r="Y18" s="5">
        <v>16</v>
      </c>
      <c r="Z18" s="5">
        <v>11</v>
      </c>
      <c r="AA18" s="5">
        <v>1</v>
      </c>
      <c r="AB18" s="5">
        <v>0</v>
      </c>
      <c r="AC18" s="5">
        <v>0</v>
      </c>
    </row>
    <row r="19" spans="1:29" x14ac:dyDescent="0.55000000000000004">
      <c r="A19" s="2" t="s">
        <v>34</v>
      </c>
      <c r="B19" s="3" t="s">
        <v>55</v>
      </c>
      <c r="C19" s="5">
        <v>568</v>
      </c>
      <c r="D19" s="5">
        <v>25</v>
      </c>
      <c r="E19" s="5">
        <v>127</v>
      </c>
      <c r="F19" s="5">
        <v>26</v>
      </c>
      <c r="G19" s="5">
        <v>14</v>
      </c>
      <c r="H19" s="5">
        <v>34</v>
      </c>
      <c r="I19" s="5">
        <v>9</v>
      </c>
      <c r="J19" s="5">
        <v>8</v>
      </c>
      <c r="K19" s="5">
        <v>2</v>
      </c>
      <c r="L19" s="5">
        <v>3</v>
      </c>
      <c r="M19" s="5">
        <v>60</v>
      </c>
      <c r="N19" s="5">
        <v>10</v>
      </c>
      <c r="O19" s="5">
        <v>67</v>
      </c>
      <c r="P19" s="5">
        <v>30</v>
      </c>
      <c r="Q19" s="5">
        <v>19</v>
      </c>
      <c r="R19" s="5">
        <v>8</v>
      </c>
      <c r="S19" s="5">
        <v>3</v>
      </c>
      <c r="T19" s="5">
        <v>2</v>
      </c>
      <c r="U19" s="5">
        <v>22</v>
      </c>
      <c r="V19" s="5">
        <v>15</v>
      </c>
      <c r="W19" s="5">
        <v>19</v>
      </c>
      <c r="X19" s="5">
        <v>9</v>
      </c>
      <c r="Y19" s="5">
        <v>20</v>
      </c>
      <c r="Z19" s="5">
        <v>33</v>
      </c>
      <c r="AA19" s="5">
        <v>2</v>
      </c>
      <c r="AB19" s="5">
        <v>0</v>
      </c>
      <c r="AC19" s="5">
        <v>1</v>
      </c>
    </row>
    <row r="20" spans="1:29" x14ac:dyDescent="0.55000000000000004">
      <c r="A20" s="2" t="s">
        <v>35</v>
      </c>
      <c r="B20" s="3" t="s">
        <v>55</v>
      </c>
      <c r="C20" s="5">
        <v>156</v>
      </c>
      <c r="D20" s="5">
        <v>1</v>
      </c>
      <c r="E20" s="5">
        <v>18</v>
      </c>
      <c r="F20" s="5">
        <v>14</v>
      </c>
      <c r="G20" s="5">
        <v>0</v>
      </c>
      <c r="H20" s="5">
        <v>2</v>
      </c>
      <c r="I20" s="5">
        <v>0</v>
      </c>
      <c r="J20" s="5">
        <v>1</v>
      </c>
      <c r="K20" s="5">
        <v>0</v>
      </c>
      <c r="L20" s="5">
        <v>0</v>
      </c>
      <c r="M20" s="5">
        <v>5</v>
      </c>
      <c r="N20" s="5">
        <v>3</v>
      </c>
      <c r="O20" s="5">
        <v>9</v>
      </c>
      <c r="P20" s="5">
        <v>8</v>
      </c>
      <c r="Q20" s="5">
        <v>0</v>
      </c>
      <c r="R20" s="5">
        <v>1</v>
      </c>
      <c r="S20" s="5">
        <v>2</v>
      </c>
      <c r="T20" s="5">
        <v>3</v>
      </c>
      <c r="U20" s="5">
        <v>12</v>
      </c>
      <c r="V20" s="5">
        <v>4</v>
      </c>
      <c r="W20" s="5">
        <v>0</v>
      </c>
      <c r="X20" s="5">
        <v>0</v>
      </c>
      <c r="Y20" s="5">
        <v>31</v>
      </c>
      <c r="Z20" s="5">
        <v>3</v>
      </c>
      <c r="AA20" s="5">
        <v>13</v>
      </c>
      <c r="AB20" s="5">
        <v>24</v>
      </c>
      <c r="AC20" s="5">
        <v>2</v>
      </c>
    </row>
    <row r="21" spans="1:29" x14ac:dyDescent="0.55000000000000004">
      <c r="A21" s="2" t="s">
        <v>36</v>
      </c>
      <c r="B21" s="3" t="s">
        <v>55</v>
      </c>
      <c r="C21" s="5">
        <v>4</v>
      </c>
      <c r="D21" s="5">
        <v>0</v>
      </c>
      <c r="E21" s="5">
        <v>1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2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1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</row>
    <row r="22" spans="1:29" x14ac:dyDescent="0.55000000000000004">
      <c r="A22" s="2"/>
      <c r="B22" s="3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2"/>
      <c r="Z22" s="2"/>
      <c r="AA22" s="2"/>
      <c r="AB22" s="2"/>
      <c r="AC22" s="2"/>
    </row>
    <row r="23" spans="1:29" x14ac:dyDescent="0.55000000000000004">
      <c r="A23" s="1" t="s">
        <v>38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x14ac:dyDescent="0.55000000000000004">
      <c r="A24" s="1" t="s">
        <v>28</v>
      </c>
      <c r="B24" s="1" t="s">
        <v>40</v>
      </c>
      <c r="C24" s="4" t="s">
        <v>1</v>
      </c>
      <c r="D24" s="4" t="s">
        <v>2</v>
      </c>
      <c r="E24" s="4" t="s">
        <v>3</v>
      </c>
      <c r="F24" s="4" t="s">
        <v>4</v>
      </c>
      <c r="G24" s="4" t="s">
        <v>5</v>
      </c>
      <c r="H24" s="4" t="s">
        <v>6</v>
      </c>
      <c r="I24" s="4" t="s">
        <v>7</v>
      </c>
      <c r="J24" s="4" t="s">
        <v>8</v>
      </c>
      <c r="K24" s="4" t="s">
        <v>9</v>
      </c>
      <c r="L24" s="4" t="s">
        <v>10</v>
      </c>
      <c r="M24" s="4" t="s">
        <v>11</v>
      </c>
      <c r="N24" s="4" t="s">
        <v>12</v>
      </c>
      <c r="O24" s="4" t="s">
        <v>13</v>
      </c>
      <c r="P24" s="4" t="s">
        <v>14</v>
      </c>
      <c r="Q24" s="4" t="s">
        <v>15</v>
      </c>
      <c r="R24" s="4" t="s">
        <v>16</v>
      </c>
      <c r="S24" s="4" t="s">
        <v>17</v>
      </c>
      <c r="T24" s="4" t="s">
        <v>18</v>
      </c>
      <c r="U24" s="4" t="s">
        <v>19</v>
      </c>
      <c r="V24" s="4" t="s">
        <v>20</v>
      </c>
      <c r="W24" s="4" t="s">
        <v>21</v>
      </c>
      <c r="X24" s="4" t="s">
        <v>22</v>
      </c>
      <c r="Y24" s="4" t="s">
        <v>23</v>
      </c>
      <c r="Z24" s="4" t="s">
        <v>24</v>
      </c>
      <c r="AA24" s="4" t="s">
        <v>25</v>
      </c>
      <c r="AB24" s="4" t="s">
        <v>26</v>
      </c>
      <c r="AC24" s="4" t="s">
        <v>27</v>
      </c>
    </row>
    <row r="25" spans="1:29" x14ac:dyDescent="0.55000000000000004">
      <c r="A25" s="2" t="s">
        <v>29</v>
      </c>
      <c r="B25" s="3" t="s">
        <v>55</v>
      </c>
      <c r="C25" s="5">
        <v>4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1</v>
      </c>
      <c r="J25" s="5">
        <v>0</v>
      </c>
      <c r="K25" s="5">
        <v>0</v>
      </c>
      <c r="L25" s="5">
        <v>0</v>
      </c>
      <c r="M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1</v>
      </c>
      <c r="V25" s="5">
        <v>1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</row>
    <row r="26" spans="1:29" x14ac:dyDescent="0.55000000000000004">
      <c r="A26" s="2" t="s">
        <v>30</v>
      </c>
      <c r="B26" s="3" t="s">
        <v>55</v>
      </c>
      <c r="C26" s="5">
        <v>26</v>
      </c>
      <c r="D26" s="5">
        <v>0</v>
      </c>
      <c r="E26" s="5">
        <v>8</v>
      </c>
      <c r="F26" s="5">
        <v>1</v>
      </c>
      <c r="G26" s="5">
        <v>1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2</v>
      </c>
      <c r="N26" s="5">
        <v>0</v>
      </c>
      <c r="O26" s="5">
        <v>0</v>
      </c>
      <c r="P26" s="5">
        <v>2</v>
      </c>
      <c r="Q26" s="5">
        <v>0</v>
      </c>
      <c r="R26" s="5">
        <v>1</v>
      </c>
      <c r="S26" s="5">
        <v>0</v>
      </c>
      <c r="T26" s="5">
        <v>0</v>
      </c>
      <c r="U26" s="5">
        <v>4</v>
      </c>
      <c r="V26" s="5">
        <v>0</v>
      </c>
      <c r="W26" s="5">
        <v>0</v>
      </c>
      <c r="X26" s="5">
        <v>1</v>
      </c>
      <c r="Y26" s="5">
        <v>3</v>
      </c>
      <c r="Z26" s="5">
        <v>1</v>
      </c>
      <c r="AA26" s="5">
        <v>1</v>
      </c>
      <c r="AB26" s="5">
        <v>0</v>
      </c>
      <c r="AC26" s="5">
        <v>1</v>
      </c>
    </row>
    <row r="27" spans="1:29" x14ac:dyDescent="0.55000000000000004">
      <c r="A27" s="2" t="s">
        <v>31</v>
      </c>
      <c r="B27" s="3" t="s">
        <v>55</v>
      </c>
      <c r="C27" s="5">
        <v>15</v>
      </c>
      <c r="D27" s="5">
        <v>0</v>
      </c>
      <c r="E27" s="5">
        <v>4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4</v>
      </c>
      <c r="Q27" s="5">
        <v>1</v>
      </c>
      <c r="R27" s="5">
        <v>0</v>
      </c>
      <c r="S27" s="5">
        <v>0</v>
      </c>
      <c r="T27" s="5">
        <v>1</v>
      </c>
      <c r="U27" s="5">
        <v>0</v>
      </c>
      <c r="V27" s="5">
        <v>0</v>
      </c>
      <c r="W27" s="5">
        <v>2</v>
      </c>
      <c r="X27" s="5">
        <v>0</v>
      </c>
      <c r="Y27" s="5">
        <v>1</v>
      </c>
      <c r="Z27" s="5">
        <v>1</v>
      </c>
      <c r="AA27" s="5">
        <v>0</v>
      </c>
      <c r="AB27" s="5">
        <v>0</v>
      </c>
      <c r="AC27" s="5">
        <v>1</v>
      </c>
    </row>
    <row r="28" spans="1:29" x14ac:dyDescent="0.55000000000000004">
      <c r="A28" s="2" t="s">
        <v>32</v>
      </c>
      <c r="B28" s="3" t="s">
        <v>55</v>
      </c>
      <c r="C28" s="5">
        <v>105</v>
      </c>
      <c r="D28" s="5">
        <v>13</v>
      </c>
      <c r="E28" s="5">
        <v>18</v>
      </c>
      <c r="F28" s="5">
        <v>1</v>
      </c>
      <c r="G28" s="5">
        <v>0</v>
      </c>
      <c r="H28" s="5">
        <v>1</v>
      </c>
      <c r="I28" s="5">
        <v>0</v>
      </c>
      <c r="J28" s="5">
        <v>0</v>
      </c>
      <c r="K28" s="5">
        <v>2</v>
      </c>
      <c r="L28" s="5">
        <v>0</v>
      </c>
      <c r="M28" s="5">
        <v>2</v>
      </c>
      <c r="N28" s="5">
        <v>5</v>
      </c>
      <c r="O28" s="5">
        <v>0</v>
      </c>
      <c r="P28" s="5">
        <v>6</v>
      </c>
      <c r="Q28" s="5">
        <v>3</v>
      </c>
      <c r="R28" s="5">
        <v>0</v>
      </c>
      <c r="S28" s="5">
        <v>0</v>
      </c>
      <c r="T28" s="5">
        <v>5</v>
      </c>
      <c r="U28" s="5">
        <v>3</v>
      </c>
      <c r="V28" s="5">
        <v>9</v>
      </c>
      <c r="W28" s="5">
        <v>14</v>
      </c>
      <c r="X28" s="5">
        <v>7</v>
      </c>
      <c r="Y28" s="5">
        <v>5</v>
      </c>
      <c r="Z28" s="5">
        <v>5</v>
      </c>
      <c r="AA28" s="5">
        <v>2</v>
      </c>
      <c r="AB28" s="5">
        <v>2</v>
      </c>
      <c r="AC28" s="5">
        <v>2</v>
      </c>
    </row>
    <row r="29" spans="1:29" x14ac:dyDescent="0.55000000000000004">
      <c r="A29" s="2" t="s">
        <v>33</v>
      </c>
      <c r="B29" s="3" t="s">
        <v>55</v>
      </c>
      <c r="C29" s="5">
        <v>56</v>
      </c>
      <c r="D29" s="5">
        <v>7</v>
      </c>
      <c r="E29" s="5">
        <v>5</v>
      </c>
      <c r="F29" s="5">
        <v>2</v>
      </c>
      <c r="G29" s="5">
        <v>0</v>
      </c>
      <c r="H29" s="5">
        <v>0</v>
      </c>
      <c r="I29" s="5">
        <v>0</v>
      </c>
      <c r="J29" s="5">
        <v>0</v>
      </c>
      <c r="K29" s="5">
        <v>1</v>
      </c>
      <c r="L29" s="5">
        <v>0</v>
      </c>
      <c r="M29" s="5">
        <v>2</v>
      </c>
      <c r="N29" s="5">
        <v>3</v>
      </c>
      <c r="O29" s="5">
        <v>0</v>
      </c>
      <c r="P29" s="5">
        <v>5</v>
      </c>
      <c r="Q29" s="5">
        <v>2</v>
      </c>
      <c r="R29" s="5">
        <v>0</v>
      </c>
      <c r="S29" s="5">
        <v>1</v>
      </c>
      <c r="T29" s="5">
        <v>3</v>
      </c>
      <c r="U29" s="5">
        <v>9</v>
      </c>
      <c r="V29" s="5">
        <v>1</v>
      </c>
      <c r="W29" s="5">
        <v>7</v>
      </c>
      <c r="X29" s="5">
        <v>0</v>
      </c>
      <c r="Y29" s="5">
        <v>5</v>
      </c>
      <c r="Z29" s="5">
        <v>3</v>
      </c>
      <c r="AA29" s="5">
        <v>0</v>
      </c>
      <c r="AB29" s="5">
        <v>0</v>
      </c>
      <c r="AC29" s="5">
        <v>0</v>
      </c>
    </row>
    <row r="30" spans="1:29" x14ac:dyDescent="0.55000000000000004">
      <c r="A30" s="2" t="s">
        <v>34</v>
      </c>
      <c r="B30" s="3" t="s">
        <v>55</v>
      </c>
      <c r="C30" s="5">
        <v>119</v>
      </c>
      <c r="D30" s="5">
        <v>7</v>
      </c>
      <c r="E30" s="5">
        <v>34</v>
      </c>
      <c r="F30" s="5">
        <v>2</v>
      </c>
      <c r="G30" s="5">
        <v>4</v>
      </c>
      <c r="H30" s="5">
        <v>4</v>
      </c>
      <c r="I30" s="5">
        <v>1</v>
      </c>
      <c r="J30" s="5">
        <v>2</v>
      </c>
      <c r="K30" s="5">
        <v>3</v>
      </c>
      <c r="L30" s="5">
        <v>1</v>
      </c>
      <c r="M30" s="5">
        <v>20</v>
      </c>
      <c r="N30" s="5">
        <v>3</v>
      </c>
      <c r="O30" s="5">
        <v>3</v>
      </c>
      <c r="P30" s="5">
        <v>6</v>
      </c>
      <c r="Q30" s="5">
        <v>7</v>
      </c>
      <c r="R30" s="5">
        <v>0</v>
      </c>
      <c r="S30" s="5">
        <v>1</v>
      </c>
      <c r="T30" s="5">
        <v>0</v>
      </c>
      <c r="U30" s="5">
        <v>0</v>
      </c>
      <c r="V30" s="5">
        <v>1</v>
      </c>
      <c r="W30" s="5">
        <v>4</v>
      </c>
      <c r="X30" s="5">
        <v>8</v>
      </c>
      <c r="Y30" s="5">
        <v>0</v>
      </c>
      <c r="Z30" s="5">
        <v>4</v>
      </c>
      <c r="AA30" s="5">
        <v>0</v>
      </c>
      <c r="AB30" s="5">
        <v>2</v>
      </c>
      <c r="AC30" s="5">
        <v>2</v>
      </c>
    </row>
    <row r="31" spans="1:29" x14ac:dyDescent="0.55000000000000004">
      <c r="A31" s="2" t="s">
        <v>35</v>
      </c>
      <c r="B31" s="3" t="s">
        <v>55</v>
      </c>
      <c r="C31" s="5">
        <v>12</v>
      </c>
      <c r="D31" s="5">
        <v>0</v>
      </c>
      <c r="E31" s="5">
        <v>3</v>
      </c>
      <c r="F31" s="5">
        <v>1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1</v>
      </c>
      <c r="N31" s="5">
        <v>1</v>
      </c>
      <c r="O31" s="5">
        <v>0</v>
      </c>
      <c r="P31" s="5">
        <v>0</v>
      </c>
      <c r="Q31" s="5">
        <v>0</v>
      </c>
      <c r="R31" s="5">
        <v>1</v>
      </c>
      <c r="S31" s="5">
        <v>0</v>
      </c>
      <c r="T31" s="5">
        <v>1</v>
      </c>
      <c r="U31" s="5">
        <v>0</v>
      </c>
      <c r="V31" s="5">
        <v>0</v>
      </c>
      <c r="W31" s="5">
        <v>0</v>
      </c>
      <c r="X31" s="5">
        <v>0</v>
      </c>
      <c r="Y31" s="5">
        <v>2</v>
      </c>
      <c r="Z31" s="5">
        <v>1</v>
      </c>
      <c r="AA31" s="5">
        <v>0</v>
      </c>
      <c r="AB31" s="5">
        <v>0</v>
      </c>
      <c r="AC31" s="5">
        <v>1</v>
      </c>
    </row>
    <row r="32" spans="1:29" x14ac:dyDescent="0.55000000000000004">
      <c r="A32" s="2" t="s">
        <v>36</v>
      </c>
      <c r="B32" s="3" t="s">
        <v>55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</row>
    <row r="34" spans="1:29" x14ac:dyDescent="0.55000000000000004">
      <c r="A34" s="1" t="s">
        <v>37</v>
      </c>
      <c r="B34" s="1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spans="1:29" x14ac:dyDescent="0.55000000000000004">
      <c r="A35" s="1" t="s">
        <v>28</v>
      </c>
      <c r="B35" s="1" t="s">
        <v>41</v>
      </c>
      <c r="D35" s="4" t="s">
        <v>20</v>
      </c>
      <c r="E35" s="4" t="s">
        <v>17</v>
      </c>
      <c r="F35" s="4" t="s">
        <v>16</v>
      </c>
      <c r="G35" s="4" t="s">
        <v>3</v>
      </c>
      <c r="H35" s="4" t="s">
        <v>14</v>
      </c>
      <c r="I35" s="4" t="s">
        <v>13</v>
      </c>
      <c r="J35" s="4" t="s">
        <v>11</v>
      </c>
      <c r="K35" s="4" t="s">
        <v>26</v>
      </c>
      <c r="L35" s="4" t="s">
        <v>9</v>
      </c>
      <c r="M35" s="4" t="s">
        <v>19</v>
      </c>
      <c r="N35" s="4" t="s">
        <v>27</v>
      </c>
      <c r="O35" s="4" t="s">
        <v>4</v>
      </c>
      <c r="P35" s="4" t="s">
        <v>25</v>
      </c>
      <c r="Q35" s="4" t="s">
        <v>8</v>
      </c>
      <c r="R35" s="4" t="s">
        <v>7</v>
      </c>
      <c r="S35" s="4" t="s">
        <v>18</v>
      </c>
      <c r="T35" s="4" t="s">
        <v>15</v>
      </c>
      <c r="U35" s="4" t="s">
        <v>12</v>
      </c>
      <c r="V35" s="4" t="s">
        <v>6</v>
      </c>
      <c r="W35" s="4" t="s">
        <v>21</v>
      </c>
      <c r="X35" s="4" t="s">
        <v>22</v>
      </c>
      <c r="Y35" s="4" t="s">
        <v>5</v>
      </c>
      <c r="Z35" s="4" t="s">
        <v>23</v>
      </c>
      <c r="AA35" s="4" t="s">
        <v>24</v>
      </c>
      <c r="AB35" s="4" t="s">
        <v>10</v>
      </c>
      <c r="AC35" s="4" t="s">
        <v>2</v>
      </c>
    </row>
    <row r="36" spans="1:29" x14ac:dyDescent="0.55000000000000004">
      <c r="A36" s="2" t="s">
        <v>29</v>
      </c>
      <c r="B36">
        <v>2</v>
      </c>
      <c r="D36" s="5">
        <f>HLOOKUP(D$35,$D$2:$AC$10,$B36,FALSE)</f>
        <v>6</v>
      </c>
      <c r="E36" s="5">
        <f t="shared" ref="E36:AC43" si="0">HLOOKUP(E$35,$D$2:$AC$10,$B36,FALSE)</f>
        <v>6</v>
      </c>
      <c r="F36" s="5">
        <f t="shared" si="0"/>
        <v>3</v>
      </c>
      <c r="G36" s="5">
        <f t="shared" si="0"/>
        <v>0</v>
      </c>
      <c r="H36" s="5">
        <f t="shared" si="0"/>
        <v>8</v>
      </c>
      <c r="I36" s="5">
        <f t="shared" si="0"/>
        <v>0</v>
      </c>
      <c r="J36" s="5">
        <f t="shared" si="0"/>
        <v>17</v>
      </c>
      <c r="K36" s="5">
        <f t="shared" si="0"/>
        <v>0</v>
      </c>
      <c r="L36" s="5">
        <f t="shared" si="0"/>
        <v>8</v>
      </c>
      <c r="M36" s="5">
        <f t="shared" si="0"/>
        <v>14</v>
      </c>
      <c r="N36" s="5">
        <f t="shared" si="0"/>
        <v>6</v>
      </c>
      <c r="O36" s="5">
        <f t="shared" si="0"/>
        <v>0</v>
      </c>
      <c r="P36" s="5">
        <f t="shared" si="0"/>
        <v>0</v>
      </c>
      <c r="Q36" s="5">
        <f t="shared" si="0"/>
        <v>0</v>
      </c>
      <c r="R36" s="5">
        <f t="shared" si="0"/>
        <v>2</v>
      </c>
      <c r="S36" s="5">
        <f t="shared" si="0"/>
        <v>2</v>
      </c>
      <c r="T36" s="5">
        <f t="shared" si="0"/>
        <v>1</v>
      </c>
      <c r="U36" s="5">
        <f t="shared" si="0"/>
        <v>4</v>
      </c>
      <c r="V36" s="5">
        <f t="shared" si="0"/>
        <v>7</v>
      </c>
      <c r="W36" s="5">
        <f t="shared" si="0"/>
        <v>6</v>
      </c>
      <c r="X36" s="5">
        <f t="shared" si="0"/>
        <v>17</v>
      </c>
      <c r="Y36" s="5">
        <f t="shared" si="0"/>
        <v>0</v>
      </c>
      <c r="Z36" s="5">
        <f t="shared" si="0"/>
        <v>6</v>
      </c>
      <c r="AA36" s="5">
        <f t="shared" si="0"/>
        <v>0</v>
      </c>
      <c r="AB36" s="5">
        <f t="shared" si="0"/>
        <v>0</v>
      </c>
      <c r="AC36" s="5">
        <f t="shared" si="0"/>
        <v>0</v>
      </c>
    </row>
    <row r="37" spans="1:29" x14ac:dyDescent="0.55000000000000004">
      <c r="A37" s="2" t="s">
        <v>30</v>
      </c>
      <c r="B37">
        <v>3</v>
      </c>
      <c r="D37" s="5">
        <f t="shared" ref="D37:D42" si="1">HLOOKUP(D$35,$D$2:$AC$10,$B37,FALSE)</f>
        <v>14</v>
      </c>
      <c r="E37" s="5">
        <f t="shared" si="0"/>
        <v>2</v>
      </c>
      <c r="F37" s="5">
        <f t="shared" si="0"/>
        <v>5</v>
      </c>
      <c r="G37" s="5">
        <f t="shared" si="0"/>
        <v>160</v>
      </c>
      <c r="H37" s="5">
        <f t="shared" si="0"/>
        <v>24</v>
      </c>
      <c r="I37" s="5">
        <f t="shared" si="0"/>
        <v>2</v>
      </c>
      <c r="J37" s="5">
        <f t="shared" si="0"/>
        <v>43</v>
      </c>
      <c r="K37" s="5">
        <f t="shared" si="0"/>
        <v>0</v>
      </c>
      <c r="L37" s="5">
        <f t="shared" si="0"/>
        <v>5</v>
      </c>
      <c r="M37" s="5">
        <f t="shared" si="0"/>
        <v>11</v>
      </c>
      <c r="N37" s="5">
        <f t="shared" si="0"/>
        <v>23</v>
      </c>
      <c r="O37" s="5">
        <f t="shared" si="0"/>
        <v>14</v>
      </c>
      <c r="P37" s="5">
        <f t="shared" si="0"/>
        <v>37</v>
      </c>
      <c r="Q37" s="5">
        <f t="shared" si="0"/>
        <v>0</v>
      </c>
      <c r="R37" s="5">
        <f t="shared" si="0"/>
        <v>0</v>
      </c>
      <c r="S37" s="5">
        <f t="shared" si="0"/>
        <v>0</v>
      </c>
      <c r="T37" s="5">
        <f t="shared" si="0"/>
        <v>6</v>
      </c>
      <c r="U37" s="5">
        <f t="shared" si="0"/>
        <v>20</v>
      </c>
      <c r="V37" s="5">
        <f t="shared" si="0"/>
        <v>4</v>
      </c>
      <c r="W37" s="5">
        <f t="shared" si="0"/>
        <v>18</v>
      </c>
      <c r="X37" s="5">
        <f t="shared" si="0"/>
        <v>15</v>
      </c>
      <c r="Y37" s="5">
        <f t="shared" si="0"/>
        <v>4</v>
      </c>
      <c r="Z37" s="5">
        <f t="shared" si="0"/>
        <v>109</v>
      </c>
      <c r="AA37" s="5">
        <f t="shared" si="0"/>
        <v>8</v>
      </c>
      <c r="AB37" s="5">
        <f t="shared" si="0"/>
        <v>1</v>
      </c>
      <c r="AC37" s="5">
        <f t="shared" si="0"/>
        <v>0</v>
      </c>
    </row>
    <row r="38" spans="1:29" x14ac:dyDescent="0.55000000000000004">
      <c r="A38" s="2" t="s">
        <v>31</v>
      </c>
      <c r="B38">
        <v>4</v>
      </c>
      <c r="D38" s="5">
        <f t="shared" si="1"/>
        <v>0</v>
      </c>
      <c r="E38" s="5">
        <f t="shared" si="0"/>
        <v>0</v>
      </c>
      <c r="F38" s="5">
        <f t="shared" si="0"/>
        <v>0</v>
      </c>
      <c r="G38" s="5">
        <f t="shared" si="0"/>
        <v>0</v>
      </c>
      <c r="H38" s="5">
        <f t="shared" si="0"/>
        <v>0</v>
      </c>
      <c r="I38" s="5">
        <f t="shared" si="0"/>
        <v>0</v>
      </c>
      <c r="J38" s="5">
        <f t="shared" si="0"/>
        <v>0</v>
      </c>
      <c r="K38" s="5">
        <f t="shared" si="0"/>
        <v>0</v>
      </c>
      <c r="L38" s="5">
        <f t="shared" si="0"/>
        <v>0</v>
      </c>
      <c r="M38" s="5">
        <f t="shared" si="0"/>
        <v>0</v>
      </c>
      <c r="N38" s="5">
        <f t="shared" si="0"/>
        <v>0</v>
      </c>
      <c r="O38" s="5">
        <f t="shared" si="0"/>
        <v>0</v>
      </c>
      <c r="P38" s="5">
        <f t="shared" si="0"/>
        <v>0</v>
      </c>
      <c r="Q38" s="5">
        <f t="shared" si="0"/>
        <v>0</v>
      </c>
      <c r="R38" s="5">
        <f t="shared" si="0"/>
        <v>0</v>
      </c>
      <c r="S38" s="5">
        <f t="shared" si="0"/>
        <v>0</v>
      </c>
      <c r="T38" s="5">
        <f t="shared" si="0"/>
        <v>0</v>
      </c>
      <c r="U38" s="5">
        <f t="shared" si="0"/>
        <v>0</v>
      </c>
      <c r="V38" s="5">
        <f t="shared" si="0"/>
        <v>0</v>
      </c>
      <c r="W38" s="5">
        <f t="shared" si="0"/>
        <v>0</v>
      </c>
      <c r="X38" s="5">
        <f t="shared" si="0"/>
        <v>0</v>
      </c>
      <c r="Y38" s="5">
        <f t="shared" si="0"/>
        <v>0</v>
      </c>
      <c r="Z38" s="5">
        <f t="shared" si="0"/>
        <v>0</v>
      </c>
      <c r="AA38" s="5">
        <f t="shared" si="0"/>
        <v>0</v>
      </c>
      <c r="AB38" s="5">
        <f t="shared" si="0"/>
        <v>0</v>
      </c>
      <c r="AC38" s="5">
        <f t="shared" si="0"/>
        <v>0</v>
      </c>
    </row>
    <row r="39" spans="1:29" x14ac:dyDescent="0.55000000000000004">
      <c r="A39" s="2" t="s">
        <v>32</v>
      </c>
      <c r="B39">
        <v>5</v>
      </c>
      <c r="D39" s="5">
        <f t="shared" si="1"/>
        <v>943</v>
      </c>
      <c r="E39" s="5">
        <f t="shared" si="0"/>
        <v>17</v>
      </c>
      <c r="F39" s="5">
        <f t="shared" si="0"/>
        <v>55</v>
      </c>
      <c r="G39" s="5">
        <f t="shared" si="0"/>
        <v>1716</v>
      </c>
      <c r="H39" s="5">
        <f t="shared" si="0"/>
        <v>781</v>
      </c>
      <c r="I39" s="5">
        <f t="shared" si="0"/>
        <v>77</v>
      </c>
      <c r="J39" s="5">
        <f t="shared" si="0"/>
        <v>644</v>
      </c>
      <c r="K39" s="5">
        <f t="shared" si="0"/>
        <v>231</v>
      </c>
      <c r="L39" s="5">
        <f t="shared" si="0"/>
        <v>101</v>
      </c>
      <c r="M39" s="5">
        <f t="shared" si="0"/>
        <v>207</v>
      </c>
      <c r="N39" s="5">
        <f t="shared" si="0"/>
        <v>105</v>
      </c>
      <c r="O39" s="5">
        <f t="shared" si="0"/>
        <v>303</v>
      </c>
      <c r="P39" s="5">
        <f t="shared" si="0"/>
        <v>197</v>
      </c>
      <c r="Q39" s="5">
        <f t="shared" si="0"/>
        <v>26</v>
      </c>
      <c r="R39" s="5">
        <f t="shared" si="0"/>
        <v>6</v>
      </c>
      <c r="S39" s="5">
        <f t="shared" si="0"/>
        <v>662</v>
      </c>
      <c r="T39" s="5">
        <f t="shared" si="0"/>
        <v>179</v>
      </c>
      <c r="U39" s="5">
        <f t="shared" si="0"/>
        <v>591</v>
      </c>
      <c r="V39" s="5">
        <f t="shared" si="0"/>
        <v>118</v>
      </c>
      <c r="W39" s="5">
        <f t="shared" si="0"/>
        <v>510</v>
      </c>
      <c r="X39" s="5">
        <f t="shared" si="0"/>
        <v>522</v>
      </c>
      <c r="Y39" s="5">
        <f t="shared" si="0"/>
        <v>8</v>
      </c>
      <c r="Z39" s="5">
        <f t="shared" si="0"/>
        <v>436</v>
      </c>
      <c r="AA39" s="5">
        <f t="shared" si="0"/>
        <v>432</v>
      </c>
      <c r="AB39" s="5">
        <f t="shared" si="0"/>
        <v>15</v>
      </c>
      <c r="AC39" s="5">
        <f t="shared" si="0"/>
        <v>1086</v>
      </c>
    </row>
    <row r="40" spans="1:29" x14ac:dyDescent="0.55000000000000004">
      <c r="A40" s="2" t="s">
        <v>33</v>
      </c>
      <c r="B40">
        <v>6</v>
      </c>
      <c r="D40" s="5">
        <f t="shared" si="1"/>
        <v>159</v>
      </c>
      <c r="E40" s="5">
        <f t="shared" si="0"/>
        <v>14</v>
      </c>
      <c r="F40" s="5">
        <f t="shared" si="0"/>
        <v>32</v>
      </c>
      <c r="G40" s="5">
        <f t="shared" si="0"/>
        <v>288</v>
      </c>
      <c r="H40" s="5">
        <f t="shared" si="0"/>
        <v>57</v>
      </c>
      <c r="I40" s="5">
        <f t="shared" si="0"/>
        <v>43</v>
      </c>
      <c r="J40" s="5">
        <f t="shared" si="0"/>
        <v>221</v>
      </c>
      <c r="K40" s="5">
        <f t="shared" si="0"/>
        <v>8</v>
      </c>
      <c r="L40" s="5">
        <f t="shared" si="0"/>
        <v>2</v>
      </c>
      <c r="M40" s="5">
        <f t="shared" si="0"/>
        <v>87</v>
      </c>
      <c r="N40" s="5">
        <f t="shared" si="0"/>
        <v>5</v>
      </c>
      <c r="O40" s="5">
        <f t="shared" si="0"/>
        <v>216</v>
      </c>
      <c r="P40" s="5">
        <f t="shared" si="0"/>
        <v>11</v>
      </c>
      <c r="Q40" s="5">
        <f t="shared" si="0"/>
        <v>1</v>
      </c>
      <c r="R40" s="5">
        <f t="shared" si="0"/>
        <v>3</v>
      </c>
      <c r="S40" s="5">
        <f t="shared" si="0"/>
        <v>291</v>
      </c>
      <c r="T40" s="5">
        <f t="shared" si="0"/>
        <v>24</v>
      </c>
      <c r="U40" s="5">
        <f t="shared" si="0"/>
        <v>72</v>
      </c>
      <c r="V40" s="5">
        <f t="shared" si="0"/>
        <v>24</v>
      </c>
      <c r="W40" s="5">
        <f t="shared" si="0"/>
        <v>238</v>
      </c>
      <c r="X40" s="5">
        <f t="shared" si="0"/>
        <v>8</v>
      </c>
      <c r="Y40" s="5">
        <f t="shared" si="0"/>
        <v>6</v>
      </c>
      <c r="Z40" s="5">
        <f t="shared" si="0"/>
        <v>126</v>
      </c>
      <c r="AA40" s="5">
        <f t="shared" si="0"/>
        <v>20</v>
      </c>
      <c r="AB40" s="5">
        <f t="shared" si="0"/>
        <v>3</v>
      </c>
      <c r="AC40" s="5">
        <f t="shared" si="0"/>
        <v>846</v>
      </c>
    </row>
    <row r="41" spans="1:29" x14ac:dyDescent="0.55000000000000004">
      <c r="A41" s="2" t="s">
        <v>34</v>
      </c>
      <c r="B41">
        <v>7</v>
      </c>
      <c r="D41" s="5">
        <f t="shared" si="1"/>
        <v>13</v>
      </c>
      <c r="E41" s="5">
        <f t="shared" si="0"/>
        <v>2</v>
      </c>
      <c r="F41" s="5">
        <f t="shared" si="0"/>
        <v>7</v>
      </c>
      <c r="G41" s="5">
        <f t="shared" si="0"/>
        <v>248</v>
      </c>
      <c r="H41" s="5">
        <f t="shared" si="0"/>
        <v>31</v>
      </c>
      <c r="I41" s="5">
        <f t="shared" si="0"/>
        <v>48</v>
      </c>
      <c r="J41" s="5">
        <f t="shared" si="0"/>
        <v>46</v>
      </c>
      <c r="K41" s="5">
        <f t="shared" si="0"/>
        <v>0</v>
      </c>
      <c r="L41" s="5">
        <f t="shared" si="0"/>
        <v>2</v>
      </c>
      <c r="M41" s="5">
        <f t="shared" si="0"/>
        <v>11</v>
      </c>
      <c r="N41" s="5">
        <f t="shared" si="0"/>
        <v>3</v>
      </c>
      <c r="O41" s="5">
        <f t="shared" si="0"/>
        <v>7</v>
      </c>
      <c r="P41" s="5">
        <f t="shared" si="0"/>
        <v>4</v>
      </c>
      <c r="Q41" s="5">
        <f t="shared" si="0"/>
        <v>1</v>
      </c>
      <c r="R41" s="5">
        <f t="shared" si="0"/>
        <v>16</v>
      </c>
      <c r="S41" s="5">
        <f t="shared" si="0"/>
        <v>4</v>
      </c>
      <c r="T41" s="5">
        <f t="shared" si="0"/>
        <v>44</v>
      </c>
      <c r="U41" s="5">
        <f t="shared" si="0"/>
        <v>17</v>
      </c>
      <c r="V41" s="5">
        <f t="shared" si="0"/>
        <v>67</v>
      </c>
      <c r="W41" s="5">
        <f t="shared" si="0"/>
        <v>19</v>
      </c>
      <c r="X41" s="5">
        <f t="shared" si="0"/>
        <v>14</v>
      </c>
      <c r="Y41" s="5">
        <f t="shared" si="0"/>
        <v>8</v>
      </c>
      <c r="Z41" s="5">
        <f t="shared" si="0"/>
        <v>12</v>
      </c>
      <c r="AA41" s="5">
        <f t="shared" si="0"/>
        <v>12</v>
      </c>
      <c r="AB41" s="5">
        <f t="shared" si="0"/>
        <v>0</v>
      </c>
      <c r="AC41" s="5">
        <f t="shared" si="0"/>
        <v>22</v>
      </c>
    </row>
    <row r="42" spans="1:29" x14ac:dyDescent="0.55000000000000004">
      <c r="A42" s="2" t="s">
        <v>35</v>
      </c>
      <c r="B42">
        <v>8</v>
      </c>
      <c r="D42" s="5">
        <f t="shared" si="1"/>
        <v>6</v>
      </c>
      <c r="E42" s="5">
        <f t="shared" si="0"/>
        <v>1</v>
      </c>
      <c r="F42" s="5">
        <f t="shared" si="0"/>
        <v>8</v>
      </c>
      <c r="G42" s="5">
        <f t="shared" si="0"/>
        <v>49</v>
      </c>
      <c r="H42" s="5">
        <f t="shared" si="0"/>
        <v>11</v>
      </c>
      <c r="I42" s="5">
        <f t="shared" si="0"/>
        <v>2</v>
      </c>
      <c r="J42" s="5">
        <f t="shared" si="0"/>
        <v>18</v>
      </c>
      <c r="K42" s="5">
        <f t="shared" si="0"/>
        <v>18</v>
      </c>
      <c r="L42" s="5">
        <f t="shared" si="0"/>
        <v>3</v>
      </c>
      <c r="M42" s="5">
        <f t="shared" si="0"/>
        <v>21</v>
      </c>
      <c r="N42" s="5">
        <f t="shared" si="0"/>
        <v>7</v>
      </c>
      <c r="O42" s="5">
        <f t="shared" si="0"/>
        <v>9</v>
      </c>
      <c r="P42" s="5">
        <f t="shared" si="0"/>
        <v>7</v>
      </c>
      <c r="Q42" s="5">
        <f t="shared" si="0"/>
        <v>1</v>
      </c>
      <c r="R42" s="5">
        <f t="shared" si="0"/>
        <v>0</v>
      </c>
      <c r="S42" s="5">
        <f t="shared" si="0"/>
        <v>10</v>
      </c>
      <c r="T42" s="5">
        <f t="shared" si="0"/>
        <v>0</v>
      </c>
      <c r="U42" s="5">
        <f t="shared" si="0"/>
        <v>10</v>
      </c>
      <c r="V42" s="5">
        <f t="shared" si="0"/>
        <v>2</v>
      </c>
      <c r="W42" s="5">
        <f t="shared" si="0"/>
        <v>12</v>
      </c>
      <c r="X42" s="5">
        <f t="shared" si="0"/>
        <v>23</v>
      </c>
      <c r="Y42" s="5">
        <f t="shared" si="0"/>
        <v>2</v>
      </c>
      <c r="Z42" s="5">
        <f t="shared" si="0"/>
        <v>119</v>
      </c>
      <c r="AA42" s="5">
        <f t="shared" si="0"/>
        <v>9</v>
      </c>
      <c r="AB42" s="5">
        <f t="shared" si="0"/>
        <v>0</v>
      </c>
      <c r="AC42" s="5">
        <f t="shared" si="0"/>
        <v>1</v>
      </c>
    </row>
    <row r="43" spans="1:29" x14ac:dyDescent="0.55000000000000004">
      <c r="A43" s="2" t="s">
        <v>36</v>
      </c>
      <c r="B43">
        <v>9</v>
      </c>
      <c r="D43" s="5">
        <f>HLOOKUP(D$35,$D$2:$AC$10,$B43,FALSE)</f>
        <v>0</v>
      </c>
      <c r="E43" s="5">
        <f t="shared" si="0"/>
        <v>0</v>
      </c>
      <c r="F43" s="5">
        <f t="shared" si="0"/>
        <v>0</v>
      </c>
      <c r="G43" s="5">
        <f t="shared" si="0"/>
        <v>2</v>
      </c>
      <c r="H43" s="5">
        <f t="shared" si="0"/>
        <v>0</v>
      </c>
      <c r="I43" s="5">
        <f t="shared" si="0"/>
        <v>3</v>
      </c>
      <c r="J43" s="5">
        <f t="shared" si="0"/>
        <v>0</v>
      </c>
      <c r="K43" s="5">
        <f t="shared" si="0"/>
        <v>0</v>
      </c>
      <c r="L43" s="5">
        <f t="shared" si="0"/>
        <v>0</v>
      </c>
      <c r="M43" s="5">
        <f t="shared" si="0"/>
        <v>2</v>
      </c>
      <c r="N43" s="5">
        <f t="shared" si="0"/>
        <v>0</v>
      </c>
      <c r="O43" s="5">
        <f t="shared" si="0"/>
        <v>0</v>
      </c>
      <c r="P43" s="5">
        <f t="shared" si="0"/>
        <v>0</v>
      </c>
      <c r="Q43" s="5">
        <f t="shared" si="0"/>
        <v>0</v>
      </c>
      <c r="R43" s="5">
        <f t="shared" si="0"/>
        <v>0</v>
      </c>
      <c r="S43" s="5">
        <f t="shared" si="0"/>
        <v>0</v>
      </c>
      <c r="T43" s="5">
        <f t="shared" si="0"/>
        <v>2</v>
      </c>
      <c r="U43" s="5">
        <f t="shared" si="0"/>
        <v>0</v>
      </c>
      <c r="V43" s="5">
        <f t="shared" si="0"/>
        <v>0</v>
      </c>
      <c r="W43" s="5">
        <f t="shared" si="0"/>
        <v>4</v>
      </c>
      <c r="X43" s="5">
        <f t="shared" si="0"/>
        <v>0</v>
      </c>
      <c r="Y43" s="5">
        <f t="shared" si="0"/>
        <v>0</v>
      </c>
      <c r="Z43" s="5">
        <f t="shared" si="0"/>
        <v>4</v>
      </c>
      <c r="AA43" s="5">
        <f t="shared" si="0"/>
        <v>0</v>
      </c>
      <c r="AB43" s="5">
        <f t="shared" si="0"/>
        <v>0</v>
      </c>
      <c r="AC43" s="5">
        <f t="shared" si="0"/>
        <v>0</v>
      </c>
    </row>
    <row r="44" spans="1:29" x14ac:dyDescent="0.55000000000000004">
      <c r="A44" s="2"/>
    </row>
    <row r="45" spans="1:29" x14ac:dyDescent="0.55000000000000004">
      <c r="A45" s="1" t="s">
        <v>39</v>
      </c>
      <c r="B45" s="1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spans="1:29" x14ac:dyDescent="0.55000000000000004">
      <c r="A46" s="1" t="s">
        <v>28</v>
      </c>
      <c r="B46" s="1" t="s">
        <v>41</v>
      </c>
      <c r="D46" s="4" t="s">
        <v>20</v>
      </c>
      <c r="E46" s="4" t="s">
        <v>17</v>
      </c>
      <c r="F46" s="4" t="s">
        <v>16</v>
      </c>
      <c r="G46" s="4" t="s">
        <v>3</v>
      </c>
      <c r="H46" s="4" t="s">
        <v>14</v>
      </c>
      <c r="I46" s="4" t="s">
        <v>13</v>
      </c>
      <c r="J46" s="4" t="s">
        <v>11</v>
      </c>
      <c r="K46" s="4" t="s">
        <v>26</v>
      </c>
      <c r="L46" s="4" t="s">
        <v>9</v>
      </c>
      <c r="M46" s="4" t="s">
        <v>19</v>
      </c>
      <c r="N46" s="4" t="s">
        <v>27</v>
      </c>
      <c r="O46" s="4" t="s">
        <v>4</v>
      </c>
      <c r="P46" s="4" t="s">
        <v>25</v>
      </c>
      <c r="Q46" s="4" t="s">
        <v>8</v>
      </c>
      <c r="R46" s="4" t="s">
        <v>7</v>
      </c>
      <c r="S46" s="4" t="s">
        <v>18</v>
      </c>
      <c r="T46" s="4" t="s">
        <v>15</v>
      </c>
      <c r="U46" s="4" t="s">
        <v>12</v>
      </c>
      <c r="V46" s="4" t="s">
        <v>6</v>
      </c>
      <c r="W46" s="4" t="s">
        <v>21</v>
      </c>
      <c r="X46" s="4" t="s">
        <v>22</v>
      </c>
      <c r="Y46" s="4" t="s">
        <v>5</v>
      </c>
      <c r="Z46" s="4" t="s">
        <v>23</v>
      </c>
      <c r="AA46" s="4" t="s">
        <v>24</v>
      </c>
      <c r="AB46" s="4" t="s">
        <v>10</v>
      </c>
      <c r="AC46" s="4" t="s">
        <v>2</v>
      </c>
    </row>
    <row r="47" spans="1:29" x14ac:dyDescent="0.55000000000000004">
      <c r="A47" s="2" t="s">
        <v>29</v>
      </c>
      <c r="B47">
        <v>2</v>
      </c>
      <c r="D47" s="5">
        <f>HLOOKUP(D$46,$D$13:$AC$21,$B47,FALSE)</f>
        <v>3</v>
      </c>
      <c r="E47" s="5">
        <f t="shared" ref="E47:AC54" si="2">HLOOKUP(E$46,$D$13:$AC$21,$B47,FALSE)</f>
        <v>0</v>
      </c>
      <c r="F47" s="5">
        <f t="shared" si="2"/>
        <v>0</v>
      </c>
      <c r="G47" s="5">
        <f t="shared" si="2"/>
        <v>0</v>
      </c>
      <c r="H47" s="5">
        <f t="shared" si="2"/>
        <v>0</v>
      </c>
      <c r="I47" s="5">
        <f t="shared" si="2"/>
        <v>0</v>
      </c>
      <c r="J47" s="5">
        <f t="shared" si="2"/>
        <v>1</v>
      </c>
      <c r="K47" s="5">
        <f t="shared" si="2"/>
        <v>0</v>
      </c>
      <c r="L47" s="5">
        <f t="shared" si="2"/>
        <v>0</v>
      </c>
      <c r="M47" s="5">
        <f t="shared" si="2"/>
        <v>1</v>
      </c>
      <c r="N47" s="5">
        <f t="shared" si="2"/>
        <v>0</v>
      </c>
      <c r="O47" s="5">
        <f t="shared" si="2"/>
        <v>1</v>
      </c>
      <c r="P47" s="5">
        <f t="shared" si="2"/>
        <v>0</v>
      </c>
      <c r="Q47" s="5">
        <f t="shared" si="2"/>
        <v>0</v>
      </c>
      <c r="R47" s="5">
        <f t="shared" si="2"/>
        <v>0</v>
      </c>
      <c r="S47" s="5">
        <f t="shared" si="2"/>
        <v>0</v>
      </c>
      <c r="T47" s="5">
        <f t="shared" si="2"/>
        <v>0</v>
      </c>
      <c r="U47" s="5">
        <f t="shared" si="2"/>
        <v>1</v>
      </c>
      <c r="V47" s="5">
        <f t="shared" si="2"/>
        <v>1</v>
      </c>
      <c r="W47" s="5">
        <f t="shared" si="2"/>
        <v>1</v>
      </c>
      <c r="X47" s="5">
        <f t="shared" si="2"/>
        <v>3</v>
      </c>
      <c r="Y47" s="5">
        <f t="shared" si="2"/>
        <v>0</v>
      </c>
      <c r="Z47" s="5">
        <f t="shared" si="2"/>
        <v>1</v>
      </c>
      <c r="AA47" s="5">
        <f t="shared" si="2"/>
        <v>0</v>
      </c>
      <c r="AB47" s="5">
        <f t="shared" si="2"/>
        <v>0</v>
      </c>
      <c r="AC47" s="5">
        <f t="shared" si="2"/>
        <v>0</v>
      </c>
    </row>
    <row r="48" spans="1:29" x14ac:dyDescent="0.55000000000000004">
      <c r="A48" s="2" t="s">
        <v>30</v>
      </c>
      <c r="B48">
        <v>3</v>
      </c>
      <c r="D48" s="5">
        <f t="shared" ref="D48:S54" si="3">HLOOKUP(D$46,$D$13:$AC$21,$B48,FALSE)</f>
        <v>1</v>
      </c>
      <c r="E48" s="5">
        <f t="shared" si="3"/>
        <v>0</v>
      </c>
      <c r="F48" s="5">
        <f t="shared" si="3"/>
        <v>2</v>
      </c>
      <c r="G48" s="5">
        <f t="shared" si="3"/>
        <v>71</v>
      </c>
      <c r="H48" s="5">
        <f t="shared" si="3"/>
        <v>12</v>
      </c>
      <c r="I48" s="5">
        <f t="shared" si="3"/>
        <v>3</v>
      </c>
      <c r="J48" s="5">
        <f t="shared" si="3"/>
        <v>8</v>
      </c>
      <c r="K48" s="5">
        <f t="shared" si="3"/>
        <v>0</v>
      </c>
      <c r="L48" s="5">
        <f t="shared" si="3"/>
        <v>1</v>
      </c>
      <c r="M48" s="5">
        <f t="shared" si="3"/>
        <v>36</v>
      </c>
      <c r="N48" s="5">
        <f t="shared" si="3"/>
        <v>7</v>
      </c>
      <c r="O48" s="5">
        <f t="shared" si="3"/>
        <v>15</v>
      </c>
      <c r="P48" s="5">
        <f t="shared" si="3"/>
        <v>17</v>
      </c>
      <c r="Q48" s="5">
        <f t="shared" si="3"/>
        <v>1</v>
      </c>
      <c r="R48" s="5">
        <f t="shared" si="3"/>
        <v>0</v>
      </c>
      <c r="S48" s="5">
        <f t="shared" si="3"/>
        <v>0</v>
      </c>
      <c r="T48" s="5">
        <f t="shared" si="2"/>
        <v>4</v>
      </c>
      <c r="U48" s="5">
        <f t="shared" si="2"/>
        <v>10</v>
      </c>
      <c r="V48" s="5">
        <f t="shared" si="2"/>
        <v>3</v>
      </c>
      <c r="W48" s="5">
        <f t="shared" si="2"/>
        <v>9</v>
      </c>
      <c r="X48" s="5">
        <f t="shared" si="2"/>
        <v>1</v>
      </c>
      <c r="Y48" s="5">
        <f t="shared" si="2"/>
        <v>1</v>
      </c>
      <c r="Z48" s="5">
        <f t="shared" si="2"/>
        <v>35</v>
      </c>
      <c r="AA48" s="5">
        <f t="shared" si="2"/>
        <v>10</v>
      </c>
      <c r="AB48" s="5">
        <f t="shared" si="2"/>
        <v>0</v>
      </c>
      <c r="AC48" s="5">
        <f t="shared" si="2"/>
        <v>0</v>
      </c>
    </row>
    <row r="49" spans="1:29" x14ac:dyDescent="0.55000000000000004">
      <c r="A49" s="2" t="s">
        <v>31</v>
      </c>
      <c r="B49">
        <v>4</v>
      </c>
      <c r="D49" s="5">
        <f t="shared" si="3"/>
        <v>0</v>
      </c>
      <c r="E49" s="5">
        <f t="shared" si="2"/>
        <v>1</v>
      </c>
      <c r="F49" s="5">
        <f t="shared" si="2"/>
        <v>0</v>
      </c>
      <c r="G49" s="5">
        <f t="shared" si="2"/>
        <v>5</v>
      </c>
      <c r="H49" s="5">
        <f t="shared" si="2"/>
        <v>1</v>
      </c>
      <c r="I49" s="5">
        <f t="shared" si="2"/>
        <v>2</v>
      </c>
      <c r="J49" s="5">
        <f t="shared" si="2"/>
        <v>2</v>
      </c>
      <c r="K49" s="5">
        <f t="shared" si="2"/>
        <v>0</v>
      </c>
      <c r="L49" s="5">
        <f t="shared" si="2"/>
        <v>0</v>
      </c>
      <c r="M49" s="5">
        <f t="shared" si="2"/>
        <v>2</v>
      </c>
      <c r="N49" s="5">
        <f t="shared" si="2"/>
        <v>0</v>
      </c>
      <c r="O49" s="5">
        <f t="shared" si="2"/>
        <v>2</v>
      </c>
      <c r="P49" s="5">
        <f t="shared" si="2"/>
        <v>0</v>
      </c>
      <c r="Q49" s="5">
        <f t="shared" si="2"/>
        <v>0</v>
      </c>
      <c r="R49" s="5">
        <f t="shared" si="2"/>
        <v>0</v>
      </c>
      <c r="S49" s="5">
        <f t="shared" si="2"/>
        <v>0</v>
      </c>
      <c r="T49" s="5">
        <f t="shared" si="2"/>
        <v>0</v>
      </c>
      <c r="U49" s="5">
        <f t="shared" si="2"/>
        <v>0</v>
      </c>
      <c r="V49" s="5">
        <f t="shared" si="2"/>
        <v>0</v>
      </c>
      <c r="W49" s="5">
        <f t="shared" si="2"/>
        <v>1</v>
      </c>
      <c r="X49" s="5">
        <f t="shared" si="2"/>
        <v>0</v>
      </c>
      <c r="Y49" s="5">
        <f t="shared" si="2"/>
        <v>0</v>
      </c>
      <c r="Z49" s="5">
        <f t="shared" si="2"/>
        <v>1</v>
      </c>
      <c r="AA49" s="5">
        <f t="shared" si="2"/>
        <v>1</v>
      </c>
      <c r="AB49" s="5">
        <f t="shared" si="2"/>
        <v>0</v>
      </c>
      <c r="AC49" s="5">
        <f t="shared" si="2"/>
        <v>0</v>
      </c>
    </row>
    <row r="50" spans="1:29" x14ac:dyDescent="0.55000000000000004">
      <c r="A50" s="2" t="s">
        <v>32</v>
      </c>
      <c r="B50">
        <v>5</v>
      </c>
      <c r="D50" s="5">
        <f t="shared" si="3"/>
        <v>66</v>
      </c>
      <c r="E50" s="5">
        <f t="shared" si="2"/>
        <v>0</v>
      </c>
      <c r="F50" s="5">
        <f t="shared" si="2"/>
        <v>5</v>
      </c>
      <c r="G50" s="5">
        <f t="shared" si="2"/>
        <v>209</v>
      </c>
      <c r="H50" s="5">
        <f t="shared" si="2"/>
        <v>56</v>
      </c>
      <c r="I50" s="5">
        <f t="shared" si="2"/>
        <v>16</v>
      </c>
      <c r="J50" s="5">
        <f t="shared" si="2"/>
        <v>51</v>
      </c>
      <c r="K50" s="5">
        <f t="shared" si="2"/>
        <v>3</v>
      </c>
      <c r="L50" s="5">
        <f t="shared" si="2"/>
        <v>9</v>
      </c>
      <c r="M50" s="5">
        <f t="shared" si="2"/>
        <v>55</v>
      </c>
      <c r="N50" s="5">
        <f t="shared" si="2"/>
        <v>7</v>
      </c>
      <c r="O50" s="5">
        <f t="shared" si="2"/>
        <v>77</v>
      </c>
      <c r="P50" s="5">
        <f t="shared" si="2"/>
        <v>13</v>
      </c>
      <c r="Q50" s="5">
        <f t="shared" si="2"/>
        <v>18</v>
      </c>
      <c r="R50" s="5">
        <f t="shared" si="2"/>
        <v>0</v>
      </c>
      <c r="S50" s="5">
        <f t="shared" si="2"/>
        <v>15</v>
      </c>
      <c r="T50" s="5">
        <f t="shared" si="2"/>
        <v>6</v>
      </c>
      <c r="U50" s="5">
        <f t="shared" si="2"/>
        <v>53</v>
      </c>
      <c r="V50" s="5">
        <f t="shared" si="2"/>
        <v>45</v>
      </c>
      <c r="W50" s="5">
        <f t="shared" si="2"/>
        <v>39</v>
      </c>
      <c r="X50" s="5">
        <f t="shared" si="2"/>
        <v>59</v>
      </c>
      <c r="Y50" s="5">
        <f t="shared" si="2"/>
        <v>3</v>
      </c>
      <c r="Z50" s="5">
        <f t="shared" si="2"/>
        <v>48</v>
      </c>
      <c r="AA50" s="5">
        <f t="shared" si="2"/>
        <v>41</v>
      </c>
      <c r="AB50" s="5">
        <f t="shared" si="2"/>
        <v>6</v>
      </c>
      <c r="AC50" s="5">
        <f t="shared" si="2"/>
        <v>148</v>
      </c>
    </row>
    <row r="51" spans="1:29" x14ac:dyDescent="0.55000000000000004">
      <c r="A51" s="2" t="s">
        <v>33</v>
      </c>
      <c r="B51">
        <v>6</v>
      </c>
      <c r="D51" s="5">
        <f t="shared" si="3"/>
        <v>42</v>
      </c>
      <c r="E51" s="5">
        <f t="shared" si="2"/>
        <v>4</v>
      </c>
      <c r="F51" s="5">
        <f t="shared" si="2"/>
        <v>1</v>
      </c>
      <c r="G51" s="5">
        <f t="shared" si="2"/>
        <v>64</v>
      </c>
      <c r="H51" s="5">
        <f t="shared" si="2"/>
        <v>16</v>
      </c>
      <c r="I51" s="5">
        <f t="shared" si="2"/>
        <v>5</v>
      </c>
      <c r="J51" s="5">
        <f t="shared" si="2"/>
        <v>29</v>
      </c>
      <c r="K51" s="5">
        <f t="shared" si="2"/>
        <v>0</v>
      </c>
      <c r="L51" s="5">
        <f t="shared" si="2"/>
        <v>3</v>
      </c>
      <c r="M51" s="5">
        <f t="shared" si="2"/>
        <v>52</v>
      </c>
      <c r="N51" s="5">
        <f t="shared" si="2"/>
        <v>0</v>
      </c>
      <c r="O51" s="5">
        <f t="shared" si="2"/>
        <v>113</v>
      </c>
      <c r="P51" s="5">
        <f t="shared" si="2"/>
        <v>1</v>
      </c>
      <c r="Q51" s="5">
        <f t="shared" si="2"/>
        <v>5</v>
      </c>
      <c r="R51" s="5">
        <f t="shared" si="2"/>
        <v>9</v>
      </c>
      <c r="S51" s="5">
        <f t="shared" si="2"/>
        <v>40</v>
      </c>
      <c r="T51" s="5">
        <f t="shared" si="2"/>
        <v>10</v>
      </c>
      <c r="U51" s="5">
        <f t="shared" si="2"/>
        <v>11</v>
      </c>
      <c r="V51" s="5">
        <f t="shared" si="2"/>
        <v>11</v>
      </c>
      <c r="W51" s="5">
        <f t="shared" si="2"/>
        <v>30</v>
      </c>
      <c r="X51" s="5">
        <f t="shared" si="2"/>
        <v>3</v>
      </c>
      <c r="Y51" s="5">
        <f t="shared" si="2"/>
        <v>2</v>
      </c>
      <c r="Z51" s="5">
        <f t="shared" si="2"/>
        <v>16</v>
      </c>
      <c r="AA51" s="5">
        <f t="shared" si="2"/>
        <v>11</v>
      </c>
      <c r="AB51" s="5">
        <f t="shared" si="2"/>
        <v>2</v>
      </c>
      <c r="AC51" s="5">
        <f t="shared" si="2"/>
        <v>235</v>
      </c>
    </row>
    <row r="52" spans="1:29" x14ac:dyDescent="0.55000000000000004">
      <c r="A52" s="2" t="s">
        <v>34</v>
      </c>
      <c r="B52">
        <v>7</v>
      </c>
      <c r="D52" s="5">
        <f t="shared" si="3"/>
        <v>15</v>
      </c>
      <c r="E52" s="5">
        <f t="shared" si="2"/>
        <v>3</v>
      </c>
      <c r="F52" s="5">
        <f t="shared" si="2"/>
        <v>8</v>
      </c>
      <c r="G52" s="5">
        <f t="shared" si="2"/>
        <v>127</v>
      </c>
      <c r="H52" s="5">
        <f t="shared" si="2"/>
        <v>30</v>
      </c>
      <c r="I52" s="5">
        <f t="shared" si="2"/>
        <v>67</v>
      </c>
      <c r="J52" s="5">
        <f t="shared" si="2"/>
        <v>60</v>
      </c>
      <c r="K52" s="5">
        <f t="shared" si="2"/>
        <v>0</v>
      </c>
      <c r="L52" s="5">
        <f t="shared" si="2"/>
        <v>2</v>
      </c>
      <c r="M52" s="5">
        <f t="shared" si="2"/>
        <v>22</v>
      </c>
      <c r="N52" s="5">
        <f t="shared" si="2"/>
        <v>1</v>
      </c>
      <c r="O52" s="5">
        <f t="shared" si="2"/>
        <v>26</v>
      </c>
      <c r="P52" s="5">
        <f t="shared" si="2"/>
        <v>2</v>
      </c>
      <c r="Q52" s="5">
        <f t="shared" si="2"/>
        <v>8</v>
      </c>
      <c r="R52" s="5">
        <f t="shared" si="2"/>
        <v>9</v>
      </c>
      <c r="S52" s="5">
        <f t="shared" si="2"/>
        <v>2</v>
      </c>
      <c r="T52" s="5">
        <f t="shared" si="2"/>
        <v>19</v>
      </c>
      <c r="U52" s="5">
        <f t="shared" si="2"/>
        <v>10</v>
      </c>
      <c r="V52" s="5">
        <f t="shared" si="2"/>
        <v>34</v>
      </c>
      <c r="W52" s="5">
        <f t="shared" si="2"/>
        <v>19</v>
      </c>
      <c r="X52" s="5">
        <f t="shared" si="2"/>
        <v>9</v>
      </c>
      <c r="Y52" s="5">
        <f t="shared" si="2"/>
        <v>14</v>
      </c>
      <c r="Z52" s="5">
        <f t="shared" si="2"/>
        <v>20</v>
      </c>
      <c r="AA52" s="5">
        <f t="shared" si="2"/>
        <v>33</v>
      </c>
      <c r="AB52" s="5">
        <f t="shared" si="2"/>
        <v>3</v>
      </c>
      <c r="AC52" s="5">
        <f t="shared" si="2"/>
        <v>25</v>
      </c>
    </row>
    <row r="53" spans="1:29" x14ac:dyDescent="0.55000000000000004">
      <c r="A53" s="2" t="s">
        <v>35</v>
      </c>
      <c r="B53">
        <v>8</v>
      </c>
      <c r="D53" s="5">
        <f t="shared" si="3"/>
        <v>4</v>
      </c>
      <c r="E53" s="5">
        <f t="shared" si="2"/>
        <v>2</v>
      </c>
      <c r="F53" s="5">
        <f t="shared" si="2"/>
        <v>1</v>
      </c>
      <c r="G53" s="5">
        <f t="shared" si="2"/>
        <v>18</v>
      </c>
      <c r="H53" s="5">
        <f t="shared" si="2"/>
        <v>8</v>
      </c>
      <c r="I53" s="5">
        <f t="shared" si="2"/>
        <v>9</v>
      </c>
      <c r="J53" s="5">
        <f t="shared" si="2"/>
        <v>5</v>
      </c>
      <c r="K53" s="5">
        <f t="shared" si="2"/>
        <v>24</v>
      </c>
      <c r="L53" s="5">
        <f t="shared" si="2"/>
        <v>0</v>
      </c>
      <c r="M53" s="5">
        <f t="shared" si="2"/>
        <v>12</v>
      </c>
      <c r="N53" s="5">
        <f t="shared" si="2"/>
        <v>2</v>
      </c>
      <c r="O53" s="5">
        <f t="shared" si="2"/>
        <v>14</v>
      </c>
      <c r="P53" s="5">
        <f t="shared" si="2"/>
        <v>13</v>
      </c>
      <c r="Q53" s="5">
        <f t="shared" si="2"/>
        <v>1</v>
      </c>
      <c r="R53" s="5">
        <f t="shared" si="2"/>
        <v>0</v>
      </c>
      <c r="S53" s="5">
        <f t="shared" si="2"/>
        <v>3</v>
      </c>
      <c r="T53" s="5">
        <f t="shared" si="2"/>
        <v>0</v>
      </c>
      <c r="U53" s="5">
        <f t="shared" si="2"/>
        <v>3</v>
      </c>
      <c r="V53" s="5">
        <f t="shared" si="2"/>
        <v>2</v>
      </c>
      <c r="W53" s="5">
        <f t="shared" si="2"/>
        <v>0</v>
      </c>
      <c r="X53" s="5">
        <f t="shared" si="2"/>
        <v>0</v>
      </c>
      <c r="Y53" s="5">
        <f t="shared" si="2"/>
        <v>0</v>
      </c>
      <c r="Z53" s="5">
        <f t="shared" si="2"/>
        <v>31</v>
      </c>
      <c r="AA53" s="5">
        <f t="shared" si="2"/>
        <v>3</v>
      </c>
      <c r="AB53" s="5">
        <f t="shared" si="2"/>
        <v>0</v>
      </c>
      <c r="AC53" s="5">
        <f t="shared" si="2"/>
        <v>1</v>
      </c>
    </row>
    <row r="54" spans="1:29" x14ac:dyDescent="0.55000000000000004">
      <c r="A54" s="2" t="s">
        <v>36</v>
      </c>
      <c r="B54">
        <v>9</v>
      </c>
      <c r="D54" s="5">
        <f t="shared" si="3"/>
        <v>0</v>
      </c>
      <c r="E54" s="5">
        <f t="shared" si="2"/>
        <v>0</v>
      </c>
      <c r="F54" s="5">
        <f t="shared" si="2"/>
        <v>0</v>
      </c>
      <c r="G54" s="5">
        <f t="shared" si="2"/>
        <v>1</v>
      </c>
      <c r="H54" s="5">
        <f t="shared" si="2"/>
        <v>0</v>
      </c>
      <c r="I54" s="5">
        <f t="shared" si="2"/>
        <v>2</v>
      </c>
      <c r="J54" s="5">
        <f t="shared" si="2"/>
        <v>0</v>
      </c>
      <c r="K54" s="5">
        <f t="shared" si="2"/>
        <v>0</v>
      </c>
      <c r="L54" s="5">
        <f t="shared" si="2"/>
        <v>0</v>
      </c>
      <c r="M54" s="5">
        <f t="shared" si="2"/>
        <v>1</v>
      </c>
      <c r="N54" s="5">
        <f t="shared" si="2"/>
        <v>0</v>
      </c>
      <c r="O54" s="5">
        <f t="shared" si="2"/>
        <v>0</v>
      </c>
      <c r="P54" s="5">
        <f t="shared" si="2"/>
        <v>0</v>
      </c>
      <c r="Q54" s="5">
        <f t="shared" si="2"/>
        <v>0</v>
      </c>
      <c r="R54" s="5">
        <f t="shared" si="2"/>
        <v>0</v>
      </c>
      <c r="S54" s="5">
        <f t="shared" si="2"/>
        <v>0</v>
      </c>
      <c r="T54" s="5">
        <f t="shared" si="2"/>
        <v>0</v>
      </c>
      <c r="U54" s="5">
        <f t="shared" si="2"/>
        <v>0</v>
      </c>
      <c r="V54" s="5">
        <f t="shared" si="2"/>
        <v>0</v>
      </c>
      <c r="W54" s="5">
        <f t="shared" si="2"/>
        <v>0</v>
      </c>
      <c r="X54" s="5">
        <f t="shared" si="2"/>
        <v>0</v>
      </c>
      <c r="Y54" s="5">
        <f t="shared" si="2"/>
        <v>0</v>
      </c>
      <c r="Z54" s="5">
        <f t="shared" si="2"/>
        <v>0</v>
      </c>
      <c r="AA54" s="5">
        <f t="shared" si="2"/>
        <v>0</v>
      </c>
      <c r="AB54" s="5">
        <f t="shared" si="2"/>
        <v>0</v>
      </c>
      <c r="AC54" s="5">
        <f t="shared" si="2"/>
        <v>0</v>
      </c>
    </row>
    <row r="55" spans="1:29" x14ac:dyDescent="0.55000000000000004">
      <c r="A55" s="2"/>
    </row>
    <row r="56" spans="1:29" x14ac:dyDescent="0.55000000000000004">
      <c r="A56" s="1" t="s">
        <v>38</v>
      </c>
      <c r="B56" s="1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spans="1:29" x14ac:dyDescent="0.55000000000000004">
      <c r="A57" s="1" t="s">
        <v>28</v>
      </c>
      <c r="B57" s="1" t="s">
        <v>41</v>
      </c>
      <c r="D57" s="4" t="s">
        <v>20</v>
      </c>
      <c r="E57" s="4" t="s">
        <v>17</v>
      </c>
      <c r="F57" s="4" t="s">
        <v>16</v>
      </c>
      <c r="G57" s="4" t="s">
        <v>3</v>
      </c>
      <c r="H57" s="4" t="s">
        <v>14</v>
      </c>
      <c r="I57" s="4" t="s">
        <v>13</v>
      </c>
      <c r="J57" s="4" t="s">
        <v>11</v>
      </c>
      <c r="K57" s="4" t="s">
        <v>26</v>
      </c>
      <c r="L57" s="4" t="s">
        <v>9</v>
      </c>
      <c r="M57" s="4" t="s">
        <v>19</v>
      </c>
      <c r="N57" s="4" t="s">
        <v>27</v>
      </c>
      <c r="O57" s="4" t="s">
        <v>4</v>
      </c>
      <c r="P57" s="4" t="s">
        <v>25</v>
      </c>
      <c r="Q57" s="4" t="s">
        <v>8</v>
      </c>
      <c r="R57" s="4" t="s">
        <v>7</v>
      </c>
      <c r="S57" s="4" t="s">
        <v>18</v>
      </c>
      <c r="T57" s="4" t="s">
        <v>15</v>
      </c>
      <c r="U57" s="4" t="s">
        <v>12</v>
      </c>
      <c r="V57" s="4" t="s">
        <v>6</v>
      </c>
      <c r="W57" s="4" t="s">
        <v>21</v>
      </c>
      <c r="X57" s="4" t="s">
        <v>22</v>
      </c>
      <c r="Y57" s="4" t="s">
        <v>5</v>
      </c>
      <c r="Z57" s="4" t="s">
        <v>23</v>
      </c>
      <c r="AA57" s="4" t="s">
        <v>24</v>
      </c>
      <c r="AB57" s="4" t="s">
        <v>10</v>
      </c>
      <c r="AC57" s="4" t="s">
        <v>2</v>
      </c>
    </row>
    <row r="58" spans="1:29" x14ac:dyDescent="0.55000000000000004">
      <c r="A58" s="2" t="s">
        <v>29</v>
      </c>
      <c r="B58">
        <v>2</v>
      </c>
      <c r="D58" s="5">
        <f>HLOOKUP(D$57,$D$24:$AC$32,$B58,FALSE)</f>
        <v>1</v>
      </c>
      <c r="E58" s="5">
        <f t="shared" ref="E58:AC65" si="4">HLOOKUP(E$57,$D$24:$AC$32,$B58,FALSE)</f>
        <v>0</v>
      </c>
      <c r="F58" s="5">
        <f t="shared" si="4"/>
        <v>0</v>
      </c>
      <c r="G58" s="5">
        <f t="shared" si="4"/>
        <v>0</v>
      </c>
      <c r="H58" s="5">
        <f t="shared" si="4"/>
        <v>0</v>
      </c>
      <c r="I58" s="5">
        <f t="shared" si="4"/>
        <v>0</v>
      </c>
      <c r="J58" s="5">
        <f t="shared" si="4"/>
        <v>1</v>
      </c>
      <c r="K58" s="5">
        <f t="shared" si="4"/>
        <v>0</v>
      </c>
      <c r="L58" s="5">
        <f t="shared" si="4"/>
        <v>0</v>
      </c>
      <c r="M58" s="5">
        <f t="shared" si="4"/>
        <v>1</v>
      </c>
      <c r="N58" s="5">
        <f t="shared" si="4"/>
        <v>0</v>
      </c>
      <c r="O58" s="5">
        <f t="shared" si="4"/>
        <v>0</v>
      </c>
      <c r="P58" s="5">
        <f t="shared" si="4"/>
        <v>0</v>
      </c>
      <c r="Q58" s="5">
        <f t="shared" si="4"/>
        <v>0</v>
      </c>
      <c r="R58" s="5">
        <f t="shared" si="4"/>
        <v>1</v>
      </c>
      <c r="S58" s="5">
        <f t="shared" si="4"/>
        <v>0</v>
      </c>
      <c r="T58" s="5">
        <f t="shared" si="4"/>
        <v>0</v>
      </c>
      <c r="U58" s="5">
        <f t="shared" si="4"/>
        <v>0</v>
      </c>
      <c r="V58" s="5">
        <f t="shared" si="4"/>
        <v>0</v>
      </c>
      <c r="W58" s="5">
        <f t="shared" si="4"/>
        <v>0</v>
      </c>
      <c r="X58" s="5">
        <f t="shared" si="4"/>
        <v>0</v>
      </c>
      <c r="Y58" s="5">
        <f t="shared" si="4"/>
        <v>0</v>
      </c>
      <c r="Z58" s="5">
        <f t="shared" si="4"/>
        <v>0</v>
      </c>
      <c r="AA58" s="5">
        <f t="shared" si="4"/>
        <v>0</v>
      </c>
      <c r="AB58" s="5">
        <f t="shared" si="4"/>
        <v>0</v>
      </c>
      <c r="AC58" s="5">
        <f t="shared" si="4"/>
        <v>0</v>
      </c>
    </row>
    <row r="59" spans="1:29" x14ac:dyDescent="0.55000000000000004">
      <c r="A59" s="2" t="s">
        <v>30</v>
      </c>
      <c r="B59">
        <v>3</v>
      </c>
      <c r="D59" s="5">
        <f t="shared" ref="D59:D65" si="5">HLOOKUP(D$57,$D$24:$AC$32,$B59,FALSE)</f>
        <v>0</v>
      </c>
      <c r="E59" s="5">
        <f t="shared" si="4"/>
        <v>0</v>
      </c>
      <c r="F59" s="5">
        <f t="shared" si="4"/>
        <v>1</v>
      </c>
      <c r="G59" s="5">
        <f t="shared" si="4"/>
        <v>8</v>
      </c>
      <c r="H59" s="5">
        <f t="shared" si="4"/>
        <v>2</v>
      </c>
      <c r="I59" s="5">
        <f t="shared" si="4"/>
        <v>0</v>
      </c>
      <c r="J59" s="5">
        <f t="shared" si="4"/>
        <v>2</v>
      </c>
      <c r="K59" s="5">
        <f t="shared" si="4"/>
        <v>0</v>
      </c>
      <c r="L59" s="5">
        <f t="shared" si="4"/>
        <v>0</v>
      </c>
      <c r="M59" s="5">
        <f t="shared" si="4"/>
        <v>4</v>
      </c>
      <c r="N59" s="5">
        <f t="shared" si="4"/>
        <v>1</v>
      </c>
      <c r="O59" s="5">
        <f t="shared" si="4"/>
        <v>1</v>
      </c>
      <c r="P59" s="5">
        <f t="shared" si="4"/>
        <v>1</v>
      </c>
      <c r="Q59" s="5">
        <f t="shared" si="4"/>
        <v>0</v>
      </c>
      <c r="R59" s="5">
        <f t="shared" si="4"/>
        <v>0</v>
      </c>
      <c r="S59" s="5">
        <f t="shared" si="4"/>
        <v>0</v>
      </c>
      <c r="T59" s="5">
        <f t="shared" si="4"/>
        <v>0</v>
      </c>
      <c r="U59" s="5">
        <f t="shared" si="4"/>
        <v>0</v>
      </c>
      <c r="V59" s="5">
        <f t="shared" si="4"/>
        <v>0</v>
      </c>
      <c r="W59" s="5">
        <f t="shared" si="4"/>
        <v>0</v>
      </c>
      <c r="X59" s="5">
        <f t="shared" si="4"/>
        <v>1</v>
      </c>
      <c r="Y59" s="5">
        <f t="shared" si="4"/>
        <v>1</v>
      </c>
      <c r="Z59" s="5">
        <f t="shared" si="4"/>
        <v>3</v>
      </c>
      <c r="AA59" s="5">
        <f t="shared" si="4"/>
        <v>1</v>
      </c>
      <c r="AB59" s="5">
        <f t="shared" si="4"/>
        <v>0</v>
      </c>
      <c r="AC59" s="5">
        <f t="shared" si="4"/>
        <v>0</v>
      </c>
    </row>
    <row r="60" spans="1:29" x14ac:dyDescent="0.55000000000000004">
      <c r="A60" s="2" t="s">
        <v>31</v>
      </c>
      <c r="B60">
        <v>4</v>
      </c>
      <c r="D60" s="5">
        <f t="shared" si="5"/>
        <v>0</v>
      </c>
      <c r="E60" s="5">
        <f t="shared" si="4"/>
        <v>0</v>
      </c>
      <c r="F60" s="5">
        <f t="shared" si="4"/>
        <v>0</v>
      </c>
      <c r="G60" s="5">
        <f t="shared" si="4"/>
        <v>4</v>
      </c>
      <c r="H60" s="5">
        <f t="shared" si="4"/>
        <v>4</v>
      </c>
      <c r="I60" s="5">
        <f t="shared" si="4"/>
        <v>0</v>
      </c>
      <c r="J60" s="5">
        <f t="shared" si="4"/>
        <v>0</v>
      </c>
      <c r="K60" s="5">
        <f t="shared" si="4"/>
        <v>0</v>
      </c>
      <c r="L60" s="5">
        <f t="shared" si="4"/>
        <v>0</v>
      </c>
      <c r="M60" s="5">
        <f t="shared" si="4"/>
        <v>0</v>
      </c>
      <c r="N60" s="5">
        <f t="shared" si="4"/>
        <v>1</v>
      </c>
      <c r="O60" s="5">
        <f t="shared" si="4"/>
        <v>0</v>
      </c>
      <c r="P60" s="5">
        <f t="shared" si="4"/>
        <v>0</v>
      </c>
      <c r="Q60" s="5">
        <f t="shared" si="4"/>
        <v>0</v>
      </c>
      <c r="R60" s="5">
        <f t="shared" si="4"/>
        <v>0</v>
      </c>
      <c r="S60" s="5">
        <f t="shared" si="4"/>
        <v>1</v>
      </c>
      <c r="T60" s="5">
        <f t="shared" si="4"/>
        <v>1</v>
      </c>
      <c r="U60" s="5">
        <f t="shared" si="4"/>
        <v>0</v>
      </c>
      <c r="V60" s="5">
        <f t="shared" si="4"/>
        <v>0</v>
      </c>
      <c r="W60" s="5">
        <f t="shared" si="4"/>
        <v>2</v>
      </c>
      <c r="X60" s="5">
        <f t="shared" si="4"/>
        <v>0</v>
      </c>
      <c r="Y60" s="5">
        <f t="shared" si="4"/>
        <v>0</v>
      </c>
      <c r="Z60" s="5">
        <f t="shared" si="4"/>
        <v>1</v>
      </c>
      <c r="AA60" s="5">
        <f t="shared" si="4"/>
        <v>1</v>
      </c>
      <c r="AB60" s="5">
        <f t="shared" si="4"/>
        <v>0</v>
      </c>
      <c r="AC60" s="5">
        <f t="shared" si="4"/>
        <v>0</v>
      </c>
    </row>
    <row r="61" spans="1:29" x14ac:dyDescent="0.55000000000000004">
      <c r="A61" s="2" t="s">
        <v>32</v>
      </c>
      <c r="B61">
        <v>5</v>
      </c>
      <c r="D61" s="5">
        <f t="shared" si="5"/>
        <v>9</v>
      </c>
      <c r="E61" s="5">
        <f t="shared" si="4"/>
        <v>0</v>
      </c>
      <c r="F61" s="5">
        <f t="shared" si="4"/>
        <v>0</v>
      </c>
      <c r="G61" s="5">
        <f t="shared" si="4"/>
        <v>18</v>
      </c>
      <c r="H61" s="5">
        <f t="shared" si="4"/>
        <v>6</v>
      </c>
      <c r="I61" s="5">
        <f t="shared" si="4"/>
        <v>0</v>
      </c>
      <c r="J61" s="5">
        <f t="shared" si="4"/>
        <v>2</v>
      </c>
      <c r="K61" s="5">
        <f t="shared" si="4"/>
        <v>2</v>
      </c>
      <c r="L61" s="5">
        <f t="shared" si="4"/>
        <v>2</v>
      </c>
      <c r="M61" s="5">
        <f t="shared" si="4"/>
        <v>3</v>
      </c>
      <c r="N61" s="5">
        <f t="shared" si="4"/>
        <v>2</v>
      </c>
      <c r="O61" s="5">
        <f t="shared" si="4"/>
        <v>1</v>
      </c>
      <c r="P61" s="5">
        <f t="shared" si="4"/>
        <v>2</v>
      </c>
      <c r="Q61" s="5">
        <f t="shared" si="4"/>
        <v>0</v>
      </c>
      <c r="R61" s="5">
        <f t="shared" si="4"/>
        <v>0</v>
      </c>
      <c r="S61" s="5">
        <f t="shared" si="4"/>
        <v>5</v>
      </c>
      <c r="T61" s="5">
        <f t="shared" si="4"/>
        <v>3</v>
      </c>
      <c r="U61" s="5">
        <f t="shared" si="4"/>
        <v>5</v>
      </c>
      <c r="V61" s="5">
        <f t="shared" si="4"/>
        <v>1</v>
      </c>
      <c r="W61" s="5">
        <f t="shared" si="4"/>
        <v>14</v>
      </c>
      <c r="X61" s="5">
        <f t="shared" si="4"/>
        <v>7</v>
      </c>
      <c r="Y61" s="5">
        <f t="shared" si="4"/>
        <v>0</v>
      </c>
      <c r="Z61" s="5">
        <f t="shared" si="4"/>
        <v>5</v>
      </c>
      <c r="AA61" s="5">
        <f t="shared" si="4"/>
        <v>5</v>
      </c>
      <c r="AB61" s="5">
        <f t="shared" si="4"/>
        <v>0</v>
      </c>
      <c r="AC61" s="5">
        <f t="shared" si="4"/>
        <v>13</v>
      </c>
    </row>
    <row r="62" spans="1:29" x14ac:dyDescent="0.55000000000000004">
      <c r="A62" s="2" t="s">
        <v>33</v>
      </c>
      <c r="B62">
        <v>6</v>
      </c>
      <c r="D62" s="5">
        <f t="shared" si="5"/>
        <v>1</v>
      </c>
      <c r="E62" s="5">
        <f t="shared" si="4"/>
        <v>1</v>
      </c>
      <c r="F62" s="5">
        <f t="shared" si="4"/>
        <v>0</v>
      </c>
      <c r="G62" s="5">
        <f t="shared" si="4"/>
        <v>5</v>
      </c>
      <c r="H62" s="5">
        <f t="shared" si="4"/>
        <v>5</v>
      </c>
      <c r="I62" s="5">
        <f t="shared" si="4"/>
        <v>0</v>
      </c>
      <c r="J62" s="5">
        <f t="shared" si="4"/>
        <v>2</v>
      </c>
      <c r="K62" s="5">
        <f t="shared" si="4"/>
        <v>0</v>
      </c>
      <c r="L62" s="5">
        <f t="shared" si="4"/>
        <v>1</v>
      </c>
      <c r="M62" s="5">
        <f t="shared" si="4"/>
        <v>9</v>
      </c>
      <c r="N62" s="5">
        <f t="shared" si="4"/>
        <v>0</v>
      </c>
      <c r="O62" s="5">
        <f t="shared" si="4"/>
        <v>2</v>
      </c>
      <c r="P62" s="5">
        <f t="shared" si="4"/>
        <v>0</v>
      </c>
      <c r="Q62" s="5">
        <f t="shared" si="4"/>
        <v>0</v>
      </c>
      <c r="R62" s="5">
        <f t="shared" si="4"/>
        <v>0</v>
      </c>
      <c r="S62" s="5">
        <f t="shared" si="4"/>
        <v>3</v>
      </c>
      <c r="T62" s="5">
        <f t="shared" si="4"/>
        <v>2</v>
      </c>
      <c r="U62" s="5">
        <f t="shared" si="4"/>
        <v>3</v>
      </c>
      <c r="V62" s="5">
        <f t="shared" si="4"/>
        <v>0</v>
      </c>
      <c r="W62" s="5">
        <f t="shared" si="4"/>
        <v>7</v>
      </c>
      <c r="X62" s="5">
        <f t="shared" si="4"/>
        <v>0</v>
      </c>
      <c r="Y62" s="5">
        <f t="shared" si="4"/>
        <v>0</v>
      </c>
      <c r="Z62" s="5">
        <f t="shared" si="4"/>
        <v>5</v>
      </c>
      <c r="AA62" s="5">
        <f t="shared" si="4"/>
        <v>3</v>
      </c>
      <c r="AB62" s="5">
        <f t="shared" si="4"/>
        <v>0</v>
      </c>
      <c r="AC62" s="5">
        <f t="shared" si="4"/>
        <v>7</v>
      </c>
    </row>
    <row r="63" spans="1:29" x14ac:dyDescent="0.55000000000000004">
      <c r="A63" s="2" t="s">
        <v>34</v>
      </c>
      <c r="B63">
        <v>7</v>
      </c>
      <c r="D63" s="5">
        <f t="shared" si="5"/>
        <v>1</v>
      </c>
      <c r="E63" s="5">
        <f t="shared" si="4"/>
        <v>1</v>
      </c>
      <c r="F63" s="5">
        <f t="shared" si="4"/>
        <v>0</v>
      </c>
      <c r="G63" s="5">
        <f t="shared" si="4"/>
        <v>34</v>
      </c>
      <c r="H63" s="5">
        <f t="shared" si="4"/>
        <v>6</v>
      </c>
      <c r="I63" s="5">
        <f t="shared" si="4"/>
        <v>3</v>
      </c>
      <c r="J63" s="5">
        <f t="shared" si="4"/>
        <v>20</v>
      </c>
      <c r="K63" s="5">
        <f t="shared" si="4"/>
        <v>2</v>
      </c>
      <c r="L63" s="5">
        <f t="shared" si="4"/>
        <v>3</v>
      </c>
      <c r="M63" s="5">
        <f t="shared" si="4"/>
        <v>0</v>
      </c>
      <c r="N63" s="5">
        <f t="shared" si="4"/>
        <v>2</v>
      </c>
      <c r="O63" s="5">
        <f t="shared" si="4"/>
        <v>2</v>
      </c>
      <c r="P63" s="5">
        <f t="shared" si="4"/>
        <v>0</v>
      </c>
      <c r="Q63" s="5">
        <f t="shared" si="4"/>
        <v>2</v>
      </c>
      <c r="R63" s="5">
        <f t="shared" si="4"/>
        <v>1</v>
      </c>
      <c r="S63" s="5">
        <f t="shared" si="4"/>
        <v>0</v>
      </c>
      <c r="T63" s="5">
        <f t="shared" si="4"/>
        <v>7</v>
      </c>
      <c r="U63" s="5">
        <f t="shared" si="4"/>
        <v>3</v>
      </c>
      <c r="V63" s="5">
        <f t="shared" si="4"/>
        <v>4</v>
      </c>
      <c r="W63" s="5">
        <f t="shared" si="4"/>
        <v>4</v>
      </c>
      <c r="X63" s="5">
        <f t="shared" si="4"/>
        <v>8</v>
      </c>
      <c r="Y63" s="5">
        <f t="shared" si="4"/>
        <v>4</v>
      </c>
      <c r="Z63" s="5">
        <f t="shared" si="4"/>
        <v>0</v>
      </c>
      <c r="AA63" s="5">
        <f t="shared" si="4"/>
        <v>4</v>
      </c>
      <c r="AB63" s="5">
        <f t="shared" si="4"/>
        <v>1</v>
      </c>
      <c r="AC63" s="5">
        <f t="shared" si="4"/>
        <v>7</v>
      </c>
    </row>
    <row r="64" spans="1:29" x14ac:dyDescent="0.55000000000000004">
      <c r="A64" s="2" t="s">
        <v>35</v>
      </c>
      <c r="B64">
        <v>8</v>
      </c>
      <c r="D64" s="5">
        <f t="shared" si="5"/>
        <v>0</v>
      </c>
      <c r="E64" s="5">
        <f t="shared" si="4"/>
        <v>0</v>
      </c>
      <c r="F64" s="5">
        <f t="shared" si="4"/>
        <v>1</v>
      </c>
      <c r="G64" s="5">
        <f t="shared" si="4"/>
        <v>3</v>
      </c>
      <c r="H64" s="5">
        <f t="shared" si="4"/>
        <v>0</v>
      </c>
      <c r="I64" s="5">
        <f t="shared" si="4"/>
        <v>0</v>
      </c>
      <c r="J64" s="5">
        <f t="shared" si="4"/>
        <v>1</v>
      </c>
      <c r="K64" s="5">
        <f t="shared" si="4"/>
        <v>0</v>
      </c>
      <c r="L64" s="5">
        <f t="shared" si="4"/>
        <v>0</v>
      </c>
      <c r="M64" s="5">
        <f t="shared" si="4"/>
        <v>0</v>
      </c>
      <c r="N64" s="5">
        <f t="shared" si="4"/>
        <v>1</v>
      </c>
      <c r="O64" s="5">
        <f t="shared" si="4"/>
        <v>1</v>
      </c>
      <c r="P64" s="5">
        <f t="shared" si="4"/>
        <v>0</v>
      </c>
      <c r="Q64" s="5">
        <f t="shared" si="4"/>
        <v>0</v>
      </c>
      <c r="R64" s="5">
        <f t="shared" si="4"/>
        <v>0</v>
      </c>
      <c r="S64" s="5">
        <f t="shared" si="4"/>
        <v>1</v>
      </c>
      <c r="T64" s="5">
        <f t="shared" si="4"/>
        <v>0</v>
      </c>
      <c r="U64" s="5">
        <f t="shared" si="4"/>
        <v>1</v>
      </c>
      <c r="V64" s="5">
        <f t="shared" si="4"/>
        <v>0</v>
      </c>
      <c r="W64" s="5">
        <f t="shared" si="4"/>
        <v>0</v>
      </c>
      <c r="X64" s="5">
        <f t="shared" si="4"/>
        <v>0</v>
      </c>
      <c r="Y64" s="5">
        <f t="shared" si="4"/>
        <v>0</v>
      </c>
      <c r="Z64" s="5">
        <f t="shared" si="4"/>
        <v>2</v>
      </c>
      <c r="AA64" s="5">
        <f t="shared" si="4"/>
        <v>1</v>
      </c>
      <c r="AB64" s="5">
        <f t="shared" si="4"/>
        <v>0</v>
      </c>
      <c r="AC64" s="5">
        <f t="shared" si="4"/>
        <v>0</v>
      </c>
    </row>
    <row r="65" spans="1:29" x14ac:dyDescent="0.55000000000000004">
      <c r="A65" s="2" t="s">
        <v>36</v>
      </c>
      <c r="B65">
        <v>9</v>
      </c>
      <c r="D65" s="5">
        <f t="shared" si="5"/>
        <v>0</v>
      </c>
      <c r="E65" s="5">
        <f t="shared" si="4"/>
        <v>0</v>
      </c>
      <c r="F65" s="5">
        <f t="shared" si="4"/>
        <v>0</v>
      </c>
      <c r="G65" s="5">
        <f t="shared" si="4"/>
        <v>0</v>
      </c>
      <c r="H65" s="5">
        <f t="shared" si="4"/>
        <v>0</v>
      </c>
      <c r="I65" s="5">
        <f t="shared" si="4"/>
        <v>0</v>
      </c>
      <c r="J65" s="5">
        <f t="shared" si="4"/>
        <v>0</v>
      </c>
      <c r="K65" s="5">
        <f t="shared" si="4"/>
        <v>0</v>
      </c>
      <c r="L65" s="5">
        <f t="shared" si="4"/>
        <v>0</v>
      </c>
      <c r="M65" s="5">
        <f t="shared" si="4"/>
        <v>0</v>
      </c>
      <c r="N65" s="5">
        <f t="shared" si="4"/>
        <v>0</v>
      </c>
      <c r="O65" s="5">
        <f t="shared" si="4"/>
        <v>0</v>
      </c>
      <c r="P65" s="5">
        <f t="shared" si="4"/>
        <v>0</v>
      </c>
      <c r="Q65" s="5">
        <f t="shared" si="4"/>
        <v>0</v>
      </c>
      <c r="R65" s="5">
        <f t="shared" si="4"/>
        <v>0</v>
      </c>
      <c r="S65" s="5">
        <f t="shared" si="4"/>
        <v>0</v>
      </c>
      <c r="T65" s="5">
        <f t="shared" si="4"/>
        <v>0</v>
      </c>
      <c r="U65" s="5">
        <f t="shared" si="4"/>
        <v>0</v>
      </c>
      <c r="V65" s="5">
        <f t="shared" si="4"/>
        <v>0</v>
      </c>
      <c r="W65" s="5">
        <f t="shared" si="4"/>
        <v>0</v>
      </c>
      <c r="X65" s="5">
        <f t="shared" si="4"/>
        <v>0</v>
      </c>
      <c r="Y65" s="5">
        <f t="shared" si="4"/>
        <v>0</v>
      </c>
      <c r="Z65" s="5">
        <f t="shared" si="4"/>
        <v>0</v>
      </c>
      <c r="AA65" s="5">
        <f t="shared" si="4"/>
        <v>0</v>
      </c>
      <c r="AB65" s="5">
        <f t="shared" si="4"/>
        <v>0</v>
      </c>
      <c r="AC65" s="5">
        <f t="shared" si="4"/>
        <v>0</v>
      </c>
    </row>
    <row r="66" spans="1:29" x14ac:dyDescent="0.55000000000000004"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 spans="1:29" x14ac:dyDescent="0.55000000000000004">
      <c r="C67" t="s">
        <v>56</v>
      </c>
      <c r="D67" s="5">
        <f>SUM(D39:D40)</f>
        <v>1102</v>
      </c>
      <c r="E67" s="5">
        <f t="shared" ref="E67:AC67" si="6">SUM(E39:E40)</f>
        <v>31</v>
      </c>
      <c r="F67" s="5">
        <f t="shared" si="6"/>
        <v>87</v>
      </c>
      <c r="G67" s="5">
        <f t="shared" si="6"/>
        <v>2004</v>
      </c>
      <c r="H67" s="5">
        <f t="shared" si="6"/>
        <v>838</v>
      </c>
      <c r="I67" s="5">
        <f t="shared" si="6"/>
        <v>120</v>
      </c>
      <c r="J67" s="5">
        <f t="shared" si="6"/>
        <v>865</v>
      </c>
      <c r="K67" s="5">
        <f t="shared" si="6"/>
        <v>239</v>
      </c>
      <c r="L67" s="5">
        <f t="shared" si="6"/>
        <v>103</v>
      </c>
      <c r="M67" s="5">
        <f t="shared" si="6"/>
        <v>294</v>
      </c>
      <c r="N67" s="5">
        <f t="shared" si="6"/>
        <v>110</v>
      </c>
      <c r="O67" s="5">
        <f t="shared" si="6"/>
        <v>519</v>
      </c>
      <c r="P67" s="5">
        <f t="shared" si="6"/>
        <v>208</v>
      </c>
      <c r="Q67" s="5">
        <f t="shared" si="6"/>
        <v>27</v>
      </c>
      <c r="R67" s="5">
        <f t="shared" si="6"/>
        <v>9</v>
      </c>
      <c r="S67" s="5">
        <f t="shared" si="6"/>
        <v>953</v>
      </c>
      <c r="T67" s="5">
        <f t="shared" si="6"/>
        <v>203</v>
      </c>
      <c r="U67" s="5">
        <f t="shared" si="6"/>
        <v>663</v>
      </c>
      <c r="V67" s="5">
        <f t="shared" si="6"/>
        <v>142</v>
      </c>
      <c r="W67" s="5">
        <f t="shared" si="6"/>
        <v>748</v>
      </c>
      <c r="X67" s="5">
        <f t="shared" si="6"/>
        <v>530</v>
      </c>
      <c r="Y67" s="5">
        <f t="shared" si="6"/>
        <v>14</v>
      </c>
      <c r="Z67" s="5">
        <f t="shared" si="6"/>
        <v>562</v>
      </c>
      <c r="AA67" s="5">
        <f t="shared" si="6"/>
        <v>452</v>
      </c>
      <c r="AB67" s="5">
        <f t="shared" si="6"/>
        <v>18</v>
      </c>
      <c r="AC67" s="5">
        <f t="shared" si="6"/>
        <v>1932</v>
      </c>
    </row>
    <row r="68" spans="1:29" x14ac:dyDescent="0.55000000000000004">
      <c r="C68" t="s">
        <v>58</v>
      </c>
      <c r="D68" s="5">
        <f>SUM(D50:D51)</f>
        <v>108</v>
      </c>
      <c r="E68" s="5">
        <f t="shared" ref="E68:AC68" si="7">SUM(E50:E51)</f>
        <v>4</v>
      </c>
      <c r="F68" s="5">
        <f t="shared" si="7"/>
        <v>6</v>
      </c>
      <c r="G68" s="5">
        <f t="shared" si="7"/>
        <v>273</v>
      </c>
      <c r="H68" s="5">
        <f t="shared" si="7"/>
        <v>72</v>
      </c>
      <c r="I68" s="5">
        <f t="shared" si="7"/>
        <v>21</v>
      </c>
      <c r="J68" s="5">
        <f t="shared" si="7"/>
        <v>80</v>
      </c>
      <c r="K68" s="5">
        <f t="shared" si="7"/>
        <v>3</v>
      </c>
      <c r="L68" s="5">
        <f t="shared" si="7"/>
        <v>12</v>
      </c>
      <c r="M68" s="5">
        <f t="shared" si="7"/>
        <v>107</v>
      </c>
      <c r="N68" s="5">
        <f t="shared" si="7"/>
        <v>7</v>
      </c>
      <c r="O68" s="5">
        <f t="shared" si="7"/>
        <v>190</v>
      </c>
      <c r="P68" s="5">
        <f t="shared" si="7"/>
        <v>14</v>
      </c>
      <c r="Q68" s="5">
        <f t="shared" si="7"/>
        <v>23</v>
      </c>
      <c r="R68" s="5">
        <f t="shared" si="7"/>
        <v>9</v>
      </c>
      <c r="S68" s="5">
        <f t="shared" si="7"/>
        <v>55</v>
      </c>
      <c r="T68" s="5">
        <f t="shared" si="7"/>
        <v>16</v>
      </c>
      <c r="U68" s="5">
        <f t="shared" si="7"/>
        <v>64</v>
      </c>
      <c r="V68" s="5">
        <f t="shared" si="7"/>
        <v>56</v>
      </c>
      <c r="W68" s="5">
        <f t="shared" si="7"/>
        <v>69</v>
      </c>
      <c r="X68" s="5">
        <f t="shared" si="7"/>
        <v>62</v>
      </c>
      <c r="Y68" s="5">
        <f t="shared" si="7"/>
        <v>5</v>
      </c>
      <c r="Z68" s="5">
        <f t="shared" si="7"/>
        <v>64</v>
      </c>
      <c r="AA68" s="5">
        <f t="shared" si="7"/>
        <v>52</v>
      </c>
      <c r="AB68" s="5">
        <f t="shared" si="7"/>
        <v>8</v>
      </c>
      <c r="AC68" s="5">
        <f t="shared" si="7"/>
        <v>383</v>
      </c>
    </row>
    <row r="69" spans="1:29" x14ac:dyDescent="0.55000000000000004">
      <c r="C69" t="s">
        <v>57</v>
      </c>
      <c r="D69" s="5">
        <f>SUM(D61:D62)</f>
        <v>10</v>
      </c>
      <c r="E69" s="5">
        <f t="shared" ref="E69:AC69" si="8">SUM(E61:E62)</f>
        <v>1</v>
      </c>
      <c r="F69" s="5">
        <f t="shared" si="8"/>
        <v>0</v>
      </c>
      <c r="G69" s="5">
        <f t="shared" si="8"/>
        <v>23</v>
      </c>
      <c r="H69" s="5">
        <f t="shared" si="8"/>
        <v>11</v>
      </c>
      <c r="I69" s="5">
        <f t="shared" si="8"/>
        <v>0</v>
      </c>
      <c r="J69" s="5">
        <f t="shared" si="8"/>
        <v>4</v>
      </c>
      <c r="K69" s="5">
        <f t="shared" si="8"/>
        <v>2</v>
      </c>
      <c r="L69" s="5">
        <f t="shared" si="8"/>
        <v>3</v>
      </c>
      <c r="M69" s="5">
        <f t="shared" si="8"/>
        <v>12</v>
      </c>
      <c r="N69" s="5">
        <f t="shared" si="8"/>
        <v>2</v>
      </c>
      <c r="O69" s="5">
        <f t="shared" si="8"/>
        <v>3</v>
      </c>
      <c r="P69" s="5">
        <f t="shared" si="8"/>
        <v>2</v>
      </c>
      <c r="Q69" s="5">
        <f t="shared" si="8"/>
        <v>0</v>
      </c>
      <c r="R69" s="5">
        <f t="shared" si="8"/>
        <v>0</v>
      </c>
      <c r="S69" s="5">
        <f t="shared" si="8"/>
        <v>8</v>
      </c>
      <c r="T69" s="5">
        <f t="shared" si="8"/>
        <v>5</v>
      </c>
      <c r="U69" s="5">
        <f t="shared" si="8"/>
        <v>8</v>
      </c>
      <c r="V69" s="5">
        <f t="shared" si="8"/>
        <v>1</v>
      </c>
      <c r="W69" s="5">
        <f t="shared" si="8"/>
        <v>21</v>
      </c>
      <c r="X69" s="5">
        <f t="shared" si="8"/>
        <v>7</v>
      </c>
      <c r="Y69" s="5">
        <f t="shared" si="8"/>
        <v>0</v>
      </c>
      <c r="Z69" s="5">
        <f t="shared" si="8"/>
        <v>10</v>
      </c>
      <c r="AA69" s="5">
        <f t="shared" si="8"/>
        <v>8</v>
      </c>
      <c r="AB69" s="5">
        <f t="shared" si="8"/>
        <v>0</v>
      </c>
      <c r="AC69" s="5">
        <f t="shared" si="8"/>
        <v>20</v>
      </c>
    </row>
    <row r="70" spans="1:29" x14ac:dyDescent="0.55000000000000004"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 spans="1:29" x14ac:dyDescent="0.55000000000000004">
      <c r="C71" t="s">
        <v>43</v>
      </c>
      <c r="D71" s="5">
        <f>SUM(D36:D43,D47:D54,D58:D65)</f>
        <v>1284</v>
      </c>
      <c r="E71" s="5">
        <f t="shared" ref="E71:AC71" si="9">SUM(E36:E43,E47:E54,E58:E65)</f>
        <v>54</v>
      </c>
      <c r="F71" s="5">
        <f t="shared" si="9"/>
        <v>129</v>
      </c>
      <c r="G71" s="5">
        <f t="shared" si="9"/>
        <v>3030</v>
      </c>
      <c r="H71" s="5">
        <f t="shared" si="9"/>
        <v>1058</v>
      </c>
      <c r="I71" s="5">
        <f t="shared" si="9"/>
        <v>282</v>
      </c>
      <c r="J71" s="5">
        <f t="shared" si="9"/>
        <v>1173</v>
      </c>
      <c r="K71" s="5">
        <f t="shared" si="9"/>
        <v>288</v>
      </c>
      <c r="L71" s="5">
        <f t="shared" si="9"/>
        <v>142</v>
      </c>
      <c r="M71" s="5">
        <f t="shared" si="9"/>
        <v>551</v>
      </c>
      <c r="N71" s="5">
        <f t="shared" si="9"/>
        <v>173</v>
      </c>
      <c r="O71" s="5">
        <f t="shared" si="9"/>
        <v>804</v>
      </c>
      <c r="P71" s="5">
        <f t="shared" si="9"/>
        <v>305</v>
      </c>
      <c r="Q71" s="5">
        <f t="shared" si="9"/>
        <v>64</v>
      </c>
      <c r="R71" s="5">
        <f t="shared" si="9"/>
        <v>47</v>
      </c>
      <c r="S71" s="5">
        <f t="shared" si="9"/>
        <v>1039</v>
      </c>
      <c r="T71" s="5">
        <f t="shared" si="9"/>
        <v>308</v>
      </c>
      <c r="U71" s="5">
        <f t="shared" si="9"/>
        <v>814</v>
      </c>
      <c r="V71" s="5">
        <f t="shared" si="9"/>
        <v>323</v>
      </c>
      <c r="W71" s="5">
        <f t="shared" si="9"/>
        <v>933</v>
      </c>
      <c r="X71" s="5">
        <f t="shared" si="9"/>
        <v>690</v>
      </c>
      <c r="Y71" s="5">
        <f t="shared" si="9"/>
        <v>53</v>
      </c>
      <c r="Z71" s="5">
        <f t="shared" si="9"/>
        <v>980</v>
      </c>
      <c r="AA71" s="5">
        <f t="shared" si="9"/>
        <v>595</v>
      </c>
      <c r="AB71" s="5">
        <f t="shared" si="9"/>
        <v>31</v>
      </c>
      <c r="AC71" s="5">
        <f t="shared" si="9"/>
        <v>2391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B1D9F-6A29-44A3-9210-5666DBECCBFB}">
  <dimension ref="A1:AC112"/>
  <sheetViews>
    <sheetView topLeftCell="A58" workbookViewId="0">
      <selection activeCell="C71" sqref="C71:AC73"/>
    </sheetView>
  </sheetViews>
  <sheetFormatPr defaultRowHeight="14.4" x14ac:dyDescent="0.55000000000000004"/>
  <cols>
    <col min="1" max="1" width="34.41796875" bestFit="1" customWidth="1"/>
    <col min="2" max="2" width="4.7890625" bestFit="1" customWidth="1"/>
  </cols>
  <sheetData>
    <row r="1" spans="1:29" x14ac:dyDescent="0.55000000000000004">
      <c r="A1" s="1" t="s">
        <v>37</v>
      </c>
      <c r="B1" s="2"/>
    </row>
    <row r="2" spans="1:29" x14ac:dyDescent="0.55000000000000004">
      <c r="A2" s="1" t="s">
        <v>28</v>
      </c>
      <c r="B2" s="1" t="s">
        <v>40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11</v>
      </c>
      <c r="N2" s="4" t="s">
        <v>12</v>
      </c>
      <c r="O2" s="4" t="s">
        <v>13</v>
      </c>
      <c r="P2" s="4" t="s">
        <v>14</v>
      </c>
      <c r="Q2" s="4" t="s">
        <v>15</v>
      </c>
      <c r="R2" s="4" t="s">
        <v>16</v>
      </c>
      <c r="S2" s="4" t="s">
        <v>17</v>
      </c>
      <c r="T2" s="4" t="s">
        <v>18</v>
      </c>
      <c r="U2" s="4" t="s">
        <v>19</v>
      </c>
      <c r="V2" s="4" t="s">
        <v>20</v>
      </c>
      <c r="W2" s="4" t="s">
        <v>21</v>
      </c>
      <c r="X2" s="4" t="s">
        <v>22</v>
      </c>
      <c r="Y2" s="4" t="s">
        <v>23</v>
      </c>
      <c r="Z2" s="4" t="s">
        <v>24</v>
      </c>
      <c r="AA2" s="4" t="s">
        <v>25</v>
      </c>
      <c r="AB2" s="4" t="s">
        <v>26</v>
      </c>
      <c r="AC2" s="4" t="s">
        <v>27</v>
      </c>
    </row>
    <row r="3" spans="1:29" x14ac:dyDescent="0.55000000000000004">
      <c r="A3" s="2" t="s">
        <v>29</v>
      </c>
      <c r="B3" s="3" t="s">
        <v>0</v>
      </c>
      <c r="C3" s="5">
        <v>655131</v>
      </c>
      <c r="D3" s="5">
        <v>0</v>
      </c>
      <c r="E3" s="5">
        <v>0</v>
      </c>
      <c r="F3" s="5">
        <v>0</v>
      </c>
      <c r="G3" s="5">
        <v>0</v>
      </c>
      <c r="H3" s="5">
        <v>35000</v>
      </c>
      <c r="I3" s="5">
        <v>10000</v>
      </c>
      <c r="J3" s="5">
        <v>0</v>
      </c>
      <c r="K3" s="5">
        <v>43950</v>
      </c>
      <c r="L3" s="5">
        <v>0</v>
      </c>
      <c r="M3" s="5">
        <v>96678</v>
      </c>
      <c r="N3" s="5">
        <v>12000</v>
      </c>
      <c r="O3" s="5">
        <v>0</v>
      </c>
      <c r="P3" s="5">
        <v>32300</v>
      </c>
      <c r="Q3" s="5">
        <v>8000</v>
      </c>
      <c r="R3" s="5">
        <v>14000</v>
      </c>
      <c r="S3" s="5">
        <v>25000</v>
      </c>
      <c r="T3" s="5">
        <v>10000</v>
      </c>
      <c r="U3" s="5">
        <v>114993</v>
      </c>
      <c r="V3" s="5">
        <v>18000</v>
      </c>
      <c r="W3" s="5">
        <v>45000</v>
      </c>
      <c r="X3" s="5">
        <v>63710</v>
      </c>
      <c r="Y3" s="5">
        <v>58500</v>
      </c>
      <c r="Z3" s="5">
        <v>0</v>
      </c>
      <c r="AA3" s="5">
        <v>0</v>
      </c>
      <c r="AB3" s="5">
        <v>0</v>
      </c>
      <c r="AC3" s="5">
        <v>68000</v>
      </c>
    </row>
    <row r="4" spans="1:29" x14ac:dyDescent="0.55000000000000004">
      <c r="A4" s="2" t="s">
        <v>30</v>
      </c>
      <c r="B4" s="3" t="s">
        <v>0</v>
      </c>
      <c r="C4" s="5">
        <v>4410711</v>
      </c>
      <c r="D4" s="5">
        <v>0</v>
      </c>
      <c r="E4" s="5">
        <v>1269697</v>
      </c>
      <c r="F4" s="5">
        <v>101936</v>
      </c>
      <c r="G4" s="5">
        <v>24000</v>
      </c>
      <c r="H4" s="5">
        <v>22900</v>
      </c>
      <c r="I4" s="5">
        <v>0</v>
      </c>
      <c r="J4" s="5">
        <v>0</v>
      </c>
      <c r="K4" s="5">
        <v>43120</v>
      </c>
      <c r="L4" s="5">
        <v>4450</v>
      </c>
      <c r="M4" s="5">
        <v>307910</v>
      </c>
      <c r="N4" s="5">
        <v>169358</v>
      </c>
      <c r="O4" s="5">
        <v>23600</v>
      </c>
      <c r="P4" s="5">
        <v>169085</v>
      </c>
      <c r="Q4" s="5">
        <v>54875</v>
      </c>
      <c r="R4" s="5">
        <v>39100</v>
      </c>
      <c r="S4" s="5">
        <v>9500</v>
      </c>
      <c r="T4" s="5">
        <v>0</v>
      </c>
      <c r="U4" s="5">
        <v>119120</v>
      </c>
      <c r="V4" s="5">
        <v>54815</v>
      </c>
      <c r="W4" s="5">
        <v>157150</v>
      </c>
      <c r="X4" s="5">
        <v>157660</v>
      </c>
      <c r="Y4" s="5">
        <v>1138885</v>
      </c>
      <c r="Z4" s="5">
        <v>88800</v>
      </c>
      <c r="AA4" s="5">
        <v>212810</v>
      </c>
      <c r="AB4" s="5">
        <v>0</v>
      </c>
      <c r="AC4" s="5">
        <v>241940</v>
      </c>
    </row>
    <row r="5" spans="1:29" x14ac:dyDescent="0.55000000000000004">
      <c r="A5" s="2" t="s">
        <v>31</v>
      </c>
      <c r="B5" s="3" t="s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</row>
    <row r="6" spans="1:29" x14ac:dyDescent="0.55000000000000004">
      <c r="A6" s="2" t="s">
        <v>32</v>
      </c>
      <c r="B6" s="3" t="s">
        <v>0</v>
      </c>
      <c r="C6" s="5">
        <v>64087981.799999997</v>
      </c>
      <c r="D6" s="5">
        <v>5013605</v>
      </c>
      <c r="E6" s="5">
        <v>14290863</v>
      </c>
      <c r="F6" s="5">
        <v>1086700</v>
      </c>
      <c r="G6" s="5">
        <v>94000</v>
      </c>
      <c r="H6" s="5">
        <v>680139</v>
      </c>
      <c r="I6" s="5">
        <v>33000</v>
      </c>
      <c r="J6" s="5">
        <v>81897</v>
      </c>
      <c r="K6" s="5">
        <v>456109</v>
      </c>
      <c r="L6" s="5">
        <v>127500</v>
      </c>
      <c r="M6" s="5">
        <v>5597823</v>
      </c>
      <c r="N6" s="5">
        <v>3131380</v>
      </c>
      <c r="O6" s="5">
        <v>796881</v>
      </c>
      <c r="P6" s="5">
        <v>6345699</v>
      </c>
      <c r="Q6" s="5">
        <v>857100</v>
      </c>
      <c r="R6" s="5">
        <v>270251</v>
      </c>
      <c r="S6" s="5">
        <v>42444</v>
      </c>
      <c r="T6" s="5">
        <v>2167335.7999999998</v>
      </c>
      <c r="U6" s="5">
        <v>1154336</v>
      </c>
      <c r="V6" s="5">
        <v>4398247</v>
      </c>
      <c r="W6" s="5">
        <v>2187100</v>
      </c>
      <c r="X6" s="5">
        <v>4743818</v>
      </c>
      <c r="Y6" s="5">
        <v>3157946</v>
      </c>
      <c r="Z6" s="5">
        <v>4390640</v>
      </c>
      <c r="AA6" s="5">
        <v>984011</v>
      </c>
      <c r="AB6" s="5">
        <v>1618900</v>
      </c>
      <c r="AC6" s="5">
        <v>380257</v>
      </c>
    </row>
    <row r="7" spans="1:29" x14ac:dyDescent="0.55000000000000004">
      <c r="A7" s="2" t="s">
        <v>33</v>
      </c>
      <c r="B7" s="3" t="s">
        <v>0</v>
      </c>
      <c r="C7" s="5">
        <v>28163056</v>
      </c>
      <c r="D7" s="5">
        <v>8350077</v>
      </c>
      <c r="E7" s="5">
        <v>2908225</v>
      </c>
      <c r="F7" s="5">
        <v>1575307</v>
      </c>
      <c r="G7" s="5">
        <v>58000</v>
      </c>
      <c r="H7" s="5">
        <v>238038</v>
      </c>
      <c r="I7" s="5">
        <v>18000</v>
      </c>
      <c r="J7" s="5">
        <v>5500</v>
      </c>
      <c r="K7" s="5">
        <v>17203</v>
      </c>
      <c r="L7" s="5">
        <v>83860</v>
      </c>
      <c r="M7" s="5">
        <v>2894705</v>
      </c>
      <c r="N7" s="5">
        <v>699790</v>
      </c>
      <c r="O7" s="5">
        <v>1226829</v>
      </c>
      <c r="P7" s="5">
        <v>664906</v>
      </c>
      <c r="Q7" s="5">
        <v>254500</v>
      </c>
      <c r="R7" s="5">
        <v>254206</v>
      </c>
      <c r="S7" s="5">
        <v>58798</v>
      </c>
      <c r="T7" s="5">
        <v>1849447</v>
      </c>
      <c r="U7" s="5">
        <v>847530</v>
      </c>
      <c r="V7" s="5">
        <v>1221817</v>
      </c>
      <c r="W7" s="5">
        <v>2450500</v>
      </c>
      <c r="X7" s="5">
        <v>85508</v>
      </c>
      <c r="Y7" s="5">
        <v>1874920</v>
      </c>
      <c r="Z7" s="5">
        <v>299871</v>
      </c>
      <c r="AA7" s="5">
        <v>90411</v>
      </c>
      <c r="AB7" s="5">
        <v>82720</v>
      </c>
      <c r="AC7" s="5">
        <v>52388</v>
      </c>
    </row>
    <row r="8" spans="1:29" x14ac:dyDescent="0.55000000000000004">
      <c r="A8" s="2" t="s">
        <v>34</v>
      </c>
      <c r="B8" s="3" t="s">
        <v>0</v>
      </c>
      <c r="C8" s="5">
        <v>4744418</v>
      </c>
      <c r="D8" s="5">
        <v>150223</v>
      </c>
      <c r="E8" s="5">
        <v>1858172</v>
      </c>
      <c r="F8" s="5">
        <v>57400</v>
      </c>
      <c r="G8" s="5">
        <v>69598</v>
      </c>
      <c r="H8" s="5">
        <v>377086</v>
      </c>
      <c r="I8" s="5">
        <v>83000</v>
      </c>
      <c r="J8" s="5">
        <v>5918</v>
      </c>
      <c r="K8" s="5">
        <v>12280</v>
      </c>
      <c r="L8" s="5">
        <v>0</v>
      </c>
      <c r="M8" s="5">
        <v>398359</v>
      </c>
      <c r="N8" s="5">
        <v>138082</v>
      </c>
      <c r="O8" s="5">
        <v>306304</v>
      </c>
      <c r="P8" s="5">
        <v>249255</v>
      </c>
      <c r="Q8" s="5">
        <v>384554</v>
      </c>
      <c r="R8" s="5">
        <v>37370</v>
      </c>
      <c r="S8" s="5">
        <v>8320</v>
      </c>
      <c r="T8" s="5">
        <v>22240</v>
      </c>
      <c r="U8" s="5">
        <v>80100</v>
      </c>
      <c r="V8" s="5">
        <v>57765</v>
      </c>
      <c r="W8" s="5">
        <v>157819</v>
      </c>
      <c r="X8" s="5">
        <v>83100</v>
      </c>
      <c r="Y8" s="5">
        <v>97255</v>
      </c>
      <c r="Z8" s="5">
        <v>77394</v>
      </c>
      <c r="AA8" s="5">
        <v>16665</v>
      </c>
      <c r="AB8" s="5">
        <v>0</v>
      </c>
      <c r="AC8" s="5">
        <v>16159</v>
      </c>
    </row>
    <row r="9" spans="1:29" x14ac:dyDescent="0.55000000000000004">
      <c r="A9" s="2" t="s">
        <v>35</v>
      </c>
      <c r="B9" s="3" t="s">
        <v>0</v>
      </c>
      <c r="C9" s="5">
        <v>1918952.5</v>
      </c>
      <c r="D9" s="5">
        <v>3397</v>
      </c>
      <c r="E9" s="5">
        <v>200800</v>
      </c>
      <c r="F9" s="5">
        <v>69660</v>
      </c>
      <c r="G9" s="5">
        <v>16000</v>
      </c>
      <c r="H9" s="5">
        <v>8279</v>
      </c>
      <c r="I9" s="5">
        <v>0</v>
      </c>
      <c r="J9" s="5">
        <v>5430</v>
      </c>
      <c r="K9" s="5">
        <v>18394</v>
      </c>
      <c r="L9" s="5">
        <v>0</v>
      </c>
      <c r="M9" s="5">
        <v>83978</v>
      </c>
      <c r="N9" s="5">
        <v>60725</v>
      </c>
      <c r="O9" s="5">
        <v>8920</v>
      </c>
      <c r="P9" s="5">
        <v>63563</v>
      </c>
      <c r="Q9" s="5">
        <v>0</v>
      </c>
      <c r="R9" s="5">
        <v>40628.5</v>
      </c>
      <c r="S9" s="5">
        <v>4900</v>
      </c>
      <c r="T9" s="5">
        <v>57000</v>
      </c>
      <c r="U9" s="5">
        <v>124051</v>
      </c>
      <c r="V9" s="5">
        <v>19429</v>
      </c>
      <c r="W9" s="5">
        <v>51668</v>
      </c>
      <c r="X9" s="5">
        <v>102038</v>
      </c>
      <c r="Y9" s="5">
        <v>832412</v>
      </c>
      <c r="Z9" s="5">
        <v>43320</v>
      </c>
      <c r="AA9" s="5">
        <v>27820</v>
      </c>
      <c r="AB9" s="5">
        <v>51562</v>
      </c>
      <c r="AC9" s="5">
        <v>24978</v>
      </c>
    </row>
    <row r="10" spans="1:29" x14ac:dyDescent="0.55000000000000004">
      <c r="A10" s="2" t="s">
        <v>36</v>
      </c>
      <c r="B10" s="3" t="s">
        <v>0</v>
      </c>
      <c r="C10" s="5">
        <v>57868</v>
      </c>
      <c r="D10" s="5">
        <v>0</v>
      </c>
      <c r="E10" s="5">
        <v>9000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7200</v>
      </c>
      <c r="P10" s="5">
        <v>0</v>
      </c>
      <c r="Q10" s="5">
        <v>7000</v>
      </c>
      <c r="R10" s="5">
        <v>0</v>
      </c>
      <c r="S10" s="5">
        <v>0</v>
      </c>
      <c r="T10" s="5">
        <v>0</v>
      </c>
      <c r="U10" s="5">
        <v>6268</v>
      </c>
      <c r="V10" s="5">
        <v>0</v>
      </c>
      <c r="W10" s="5">
        <v>14000</v>
      </c>
      <c r="X10" s="5">
        <v>0</v>
      </c>
      <c r="Y10" s="5">
        <v>14400</v>
      </c>
      <c r="Z10" s="5">
        <v>0</v>
      </c>
      <c r="AA10" s="5">
        <v>0</v>
      </c>
      <c r="AB10" s="5">
        <v>0</v>
      </c>
      <c r="AC10" s="5">
        <v>0</v>
      </c>
    </row>
    <row r="11" spans="1:29" x14ac:dyDescent="0.55000000000000004">
      <c r="A11" s="2"/>
      <c r="B11" s="3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2"/>
      <c r="Z11" s="2"/>
      <c r="AA11" s="2"/>
      <c r="AB11" s="2"/>
      <c r="AC11" s="2"/>
    </row>
    <row r="12" spans="1:29" x14ac:dyDescent="0.55000000000000004">
      <c r="A12" s="1" t="s">
        <v>39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x14ac:dyDescent="0.55000000000000004">
      <c r="A13" s="1" t="s">
        <v>28</v>
      </c>
      <c r="B13" s="1" t="s">
        <v>40</v>
      </c>
      <c r="C13" s="4" t="s">
        <v>1</v>
      </c>
      <c r="D13" s="4" t="s">
        <v>2</v>
      </c>
      <c r="E13" s="4" t="s">
        <v>3</v>
      </c>
      <c r="F13" s="4" t="s">
        <v>4</v>
      </c>
      <c r="G13" s="4" t="s">
        <v>5</v>
      </c>
      <c r="H13" s="4" t="s">
        <v>6</v>
      </c>
      <c r="I13" s="4" t="s">
        <v>7</v>
      </c>
      <c r="J13" s="4" t="s">
        <v>8</v>
      </c>
      <c r="K13" s="4" t="s">
        <v>9</v>
      </c>
      <c r="L13" s="4" t="s">
        <v>10</v>
      </c>
      <c r="M13" s="4" t="s">
        <v>11</v>
      </c>
      <c r="N13" s="4" t="s">
        <v>12</v>
      </c>
      <c r="O13" s="4" t="s">
        <v>13</v>
      </c>
      <c r="P13" s="4" t="s">
        <v>14</v>
      </c>
      <c r="Q13" s="4" t="s">
        <v>15</v>
      </c>
      <c r="R13" s="4" t="s">
        <v>16</v>
      </c>
      <c r="S13" s="4" t="s">
        <v>17</v>
      </c>
      <c r="T13" s="4" t="s">
        <v>18</v>
      </c>
      <c r="U13" s="4" t="s">
        <v>19</v>
      </c>
      <c r="V13" s="4" t="s">
        <v>20</v>
      </c>
      <c r="W13" s="4" t="s">
        <v>21</v>
      </c>
      <c r="X13" s="4" t="s">
        <v>22</v>
      </c>
      <c r="Y13" s="4" t="s">
        <v>23</v>
      </c>
      <c r="Z13" s="4" t="s">
        <v>24</v>
      </c>
      <c r="AA13" s="4" t="s">
        <v>25</v>
      </c>
      <c r="AB13" s="4" t="s">
        <v>26</v>
      </c>
      <c r="AC13" s="4" t="s">
        <v>27</v>
      </c>
    </row>
    <row r="14" spans="1:29" x14ac:dyDescent="0.55000000000000004">
      <c r="A14" s="2" t="s">
        <v>29</v>
      </c>
      <c r="B14" s="3" t="s">
        <v>0</v>
      </c>
      <c r="C14" s="5">
        <v>62100</v>
      </c>
      <c r="D14" s="5">
        <v>0</v>
      </c>
      <c r="E14" s="5">
        <v>0</v>
      </c>
      <c r="F14" s="5">
        <v>5000</v>
      </c>
      <c r="G14" s="5">
        <v>0</v>
      </c>
      <c r="H14" s="5">
        <v>5000</v>
      </c>
      <c r="I14" s="5">
        <v>0</v>
      </c>
      <c r="J14" s="5">
        <v>0</v>
      </c>
      <c r="K14" s="5">
        <v>0</v>
      </c>
      <c r="L14" s="5">
        <v>0</v>
      </c>
      <c r="M14" s="5">
        <v>4500</v>
      </c>
      <c r="N14" s="5">
        <v>3000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10000</v>
      </c>
      <c r="V14" s="5">
        <v>9000</v>
      </c>
      <c r="W14" s="5">
        <v>12100</v>
      </c>
      <c r="X14" s="5">
        <v>9000</v>
      </c>
      <c r="Y14" s="5">
        <v>4500</v>
      </c>
      <c r="Z14" s="5">
        <v>0</v>
      </c>
      <c r="AA14" s="5">
        <v>0</v>
      </c>
      <c r="AB14" s="5">
        <v>0</v>
      </c>
      <c r="AC14" s="5">
        <v>0</v>
      </c>
    </row>
    <row r="15" spans="1:29" x14ac:dyDescent="0.55000000000000004">
      <c r="A15" s="2" t="s">
        <v>30</v>
      </c>
      <c r="B15" s="3" t="s">
        <v>0</v>
      </c>
      <c r="C15" s="5">
        <v>2902171</v>
      </c>
      <c r="D15" s="5">
        <v>0</v>
      </c>
      <c r="E15" s="5">
        <v>596860</v>
      </c>
      <c r="F15" s="5">
        <v>132460</v>
      </c>
      <c r="G15" s="5">
        <v>6000</v>
      </c>
      <c r="H15" s="5">
        <v>24200</v>
      </c>
      <c r="I15" s="5">
        <v>0</v>
      </c>
      <c r="J15" s="5">
        <v>4625</v>
      </c>
      <c r="K15" s="5">
        <v>9000</v>
      </c>
      <c r="L15" s="5">
        <v>0</v>
      </c>
      <c r="M15" s="5">
        <v>54724</v>
      </c>
      <c r="N15" s="5">
        <v>102658</v>
      </c>
      <c r="O15" s="5">
        <v>50840</v>
      </c>
      <c r="P15" s="5">
        <v>106795</v>
      </c>
      <c r="Q15" s="5">
        <v>63725</v>
      </c>
      <c r="R15" s="5">
        <v>10275</v>
      </c>
      <c r="S15" s="5">
        <v>0</v>
      </c>
      <c r="T15" s="5">
        <v>0</v>
      </c>
      <c r="U15" s="5">
        <v>635840</v>
      </c>
      <c r="V15" s="5">
        <v>7338</v>
      </c>
      <c r="W15" s="5">
        <v>142810</v>
      </c>
      <c r="X15" s="5">
        <v>9530</v>
      </c>
      <c r="Y15" s="5">
        <v>411360</v>
      </c>
      <c r="Z15" s="5">
        <v>269106</v>
      </c>
      <c r="AA15" s="5">
        <v>153090</v>
      </c>
      <c r="AB15" s="5">
        <v>0</v>
      </c>
      <c r="AC15" s="5">
        <v>110935</v>
      </c>
    </row>
    <row r="16" spans="1:29" x14ac:dyDescent="0.55000000000000004">
      <c r="A16" s="2" t="s">
        <v>31</v>
      </c>
      <c r="B16" s="3" t="s">
        <v>0</v>
      </c>
      <c r="C16" s="5">
        <v>377751</v>
      </c>
      <c r="D16" s="5">
        <v>0</v>
      </c>
      <c r="E16" s="5">
        <v>77420</v>
      </c>
      <c r="F16" s="5">
        <v>20970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19558</v>
      </c>
      <c r="N16" s="5">
        <v>0</v>
      </c>
      <c r="O16" s="5">
        <v>57430</v>
      </c>
      <c r="P16" s="5">
        <v>66000</v>
      </c>
      <c r="Q16" s="5">
        <v>0</v>
      </c>
      <c r="R16" s="5">
        <v>0</v>
      </c>
      <c r="S16" s="5">
        <v>9108</v>
      </c>
      <c r="T16" s="5">
        <v>0</v>
      </c>
      <c r="U16" s="5">
        <v>43760</v>
      </c>
      <c r="V16" s="5">
        <v>0</v>
      </c>
      <c r="W16" s="5">
        <v>28500</v>
      </c>
      <c r="X16" s="5">
        <v>0</v>
      </c>
      <c r="Y16" s="5">
        <v>10800</v>
      </c>
      <c r="Z16" s="5">
        <v>44205</v>
      </c>
      <c r="AA16" s="5">
        <v>0</v>
      </c>
      <c r="AB16" s="5">
        <v>0</v>
      </c>
      <c r="AC16" s="5">
        <v>0</v>
      </c>
    </row>
    <row r="17" spans="1:29" x14ac:dyDescent="0.55000000000000004">
      <c r="A17" s="2" t="s">
        <v>32</v>
      </c>
      <c r="B17" s="3" t="s">
        <v>0</v>
      </c>
      <c r="C17" s="5">
        <v>8341988</v>
      </c>
      <c r="D17" s="5">
        <v>775019</v>
      </c>
      <c r="E17" s="5">
        <v>1868850</v>
      </c>
      <c r="F17" s="5">
        <v>331177</v>
      </c>
      <c r="G17" s="5">
        <v>19000</v>
      </c>
      <c r="H17" s="5">
        <v>319130</v>
      </c>
      <c r="I17" s="5">
        <v>0</v>
      </c>
      <c r="J17" s="5">
        <v>59479</v>
      </c>
      <c r="K17" s="5">
        <v>39280</v>
      </c>
      <c r="L17" s="5">
        <v>54030</v>
      </c>
      <c r="M17" s="5">
        <v>584793</v>
      </c>
      <c r="N17" s="5">
        <v>340890</v>
      </c>
      <c r="O17" s="5">
        <v>226342</v>
      </c>
      <c r="P17" s="5">
        <v>510048</v>
      </c>
      <c r="Q17" s="5">
        <v>70050</v>
      </c>
      <c r="R17" s="5">
        <v>27426</v>
      </c>
      <c r="S17" s="5">
        <v>0</v>
      </c>
      <c r="T17" s="5">
        <v>59800</v>
      </c>
      <c r="U17" s="5">
        <v>463632</v>
      </c>
      <c r="V17" s="5">
        <v>337425</v>
      </c>
      <c r="W17" s="5">
        <v>300948</v>
      </c>
      <c r="X17" s="5">
        <v>659155</v>
      </c>
      <c r="Y17" s="5">
        <v>310574</v>
      </c>
      <c r="Z17" s="5">
        <v>818436</v>
      </c>
      <c r="AA17" s="5">
        <v>78358</v>
      </c>
      <c r="AB17" s="5">
        <v>54760</v>
      </c>
      <c r="AC17" s="5">
        <v>33386</v>
      </c>
    </row>
    <row r="18" spans="1:29" x14ac:dyDescent="0.55000000000000004">
      <c r="A18" s="2" t="s">
        <v>33</v>
      </c>
      <c r="B18" s="3" t="s">
        <v>0</v>
      </c>
      <c r="C18" s="5">
        <v>10499025</v>
      </c>
      <c r="D18" s="5">
        <v>3237564</v>
      </c>
      <c r="E18" s="5">
        <v>668781</v>
      </c>
      <c r="F18" s="5">
        <v>1580988</v>
      </c>
      <c r="G18" s="5">
        <v>16000</v>
      </c>
      <c r="H18" s="5">
        <v>141164</v>
      </c>
      <c r="I18" s="5">
        <v>60120</v>
      </c>
      <c r="J18" s="5">
        <v>43181</v>
      </c>
      <c r="K18" s="5">
        <v>48825</v>
      </c>
      <c r="L18" s="5">
        <v>63420</v>
      </c>
      <c r="M18" s="5">
        <v>509222</v>
      </c>
      <c r="N18" s="5">
        <v>162359</v>
      </c>
      <c r="O18" s="5">
        <v>208793</v>
      </c>
      <c r="P18" s="5">
        <v>277654</v>
      </c>
      <c r="Q18" s="5">
        <v>218545</v>
      </c>
      <c r="R18" s="5">
        <v>7644</v>
      </c>
      <c r="S18" s="5">
        <v>21030</v>
      </c>
      <c r="T18" s="5">
        <v>420588</v>
      </c>
      <c r="U18" s="5">
        <v>911825</v>
      </c>
      <c r="V18" s="5">
        <v>537533</v>
      </c>
      <c r="W18" s="5">
        <v>596770</v>
      </c>
      <c r="X18" s="5">
        <v>41938</v>
      </c>
      <c r="Y18" s="5">
        <v>235700</v>
      </c>
      <c r="Z18" s="5">
        <v>480406</v>
      </c>
      <c r="AA18" s="5">
        <v>8975</v>
      </c>
      <c r="AB18" s="5">
        <v>0</v>
      </c>
      <c r="AC18" s="5">
        <v>0</v>
      </c>
    </row>
    <row r="19" spans="1:29" x14ac:dyDescent="0.55000000000000004">
      <c r="A19" s="2" t="s">
        <v>34</v>
      </c>
      <c r="B19" s="3" t="s">
        <v>0</v>
      </c>
      <c r="C19" s="5">
        <v>6149716</v>
      </c>
      <c r="D19" s="5">
        <v>209597</v>
      </c>
      <c r="E19" s="5">
        <v>1074991</v>
      </c>
      <c r="F19" s="5">
        <v>299212</v>
      </c>
      <c r="G19" s="5">
        <v>119855</v>
      </c>
      <c r="H19" s="5">
        <v>316080</v>
      </c>
      <c r="I19" s="5">
        <v>49000</v>
      </c>
      <c r="J19" s="5">
        <v>38246</v>
      </c>
      <c r="K19" s="5">
        <v>13760</v>
      </c>
      <c r="L19" s="5">
        <v>24800</v>
      </c>
      <c r="M19" s="5">
        <v>670547</v>
      </c>
      <c r="N19" s="5">
        <v>110020</v>
      </c>
      <c r="O19" s="5">
        <v>932025</v>
      </c>
      <c r="P19" s="5">
        <v>373335</v>
      </c>
      <c r="Q19" s="5">
        <v>258947</v>
      </c>
      <c r="R19" s="5">
        <v>41130</v>
      </c>
      <c r="S19" s="5">
        <v>16280</v>
      </c>
      <c r="T19" s="5">
        <v>42500</v>
      </c>
      <c r="U19" s="5">
        <v>434060</v>
      </c>
      <c r="V19" s="5">
        <v>71613</v>
      </c>
      <c r="W19" s="5">
        <v>291125</v>
      </c>
      <c r="X19" s="5">
        <v>93250</v>
      </c>
      <c r="Y19" s="5">
        <v>194199</v>
      </c>
      <c r="Z19" s="5">
        <v>461862</v>
      </c>
      <c r="AA19" s="5">
        <v>8922</v>
      </c>
      <c r="AB19" s="5">
        <v>0</v>
      </c>
      <c r="AC19" s="5">
        <v>4360</v>
      </c>
    </row>
    <row r="20" spans="1:29" x14ac:dyDescent="0.55000000000000004">
      <c r="A20" s="2" t="s">
        <v>35</v>
      </c>
      <c r="B20" s="3" t="s">
        <v>0</v>
      </c>
      <c r="C20" s="5">
        <v>1198856.6000000001</v>
      </c>
      <c r="D20" s="5">
        <v>3416</v>
      </c>
      <c r="E20" s="5">
        <v>108600</v>
      </c>
      <c r="F20" s="5">
        <v>114824.6</v>
      </c>
      <c r="G20" s="5">
        <v>0</v>
      </c>
      <c r="H20" s="5">
        <v>9900</v>
      </c>
      <c r="I20" s="5">
        <v>0</v>
      </c>
      <c r="J20" s="5">
        <v>5542</v>
      </c>
      <c r="K20" s="5">
        <v>0</v>
      </c>
      <c r="L20" s="5">
        <v>0</v>
      </c>
      <c r="M20" s="5">
        <v>21714</v>
      </c>
      <c r="N20" s="5">
        <v>19481</v>
      </c>
      <c r="O20" s="5">
        <v>74225</v>
      </c>
      <c r="P20" s="5">
        <v>95208</v>
      </c>
      <c r="Q20" s="5">
        <v>0</v>
      </c>
      <c r="R20" s="5">
        <v>6810</v>
      </c>
      <c r="S20" s="5">
        <v>7765</v>
      </c>
      <c r="T20" s="5">
        <v>18500</v>
      </c>
      <c r="U20" s="5">
        <v>112009</v>
      </c>
      <c r="V20" s="5">
        <v>27743</v>
      </c>
      <c r="W20" s="5">
        <v>0</v>
      </c>
      <c r="X20" s="5">
        <v>0</v>
      </c>
      <c r="Y20" s="5">
        <v>327425</v>
      </c>
      <c r="Z20" s="5">
        <v>17002</v>
      </c>
      <c r="AA20" s="5">
        <v>72340</v>
      </c>
      <c r="AB20" s="5">
        <v>148000</v>
      </c>
      <c r="AC20" s="5">
        <v>8352</v>
      </c>
    </row>
    <row r="21" spans="1:29" x14ac:dyDescent="0.55000000000000004">
      <c r="A21" s="2" t="s">
        <v>36</v>
      </c>
      <c r="B21" s="3" t="s">
        <v>0</v>
      </c>
      <c r="C21" s="5">
        <v>124000</v>
      </c>
      <c r="D21" s="5">
        <v>0</v>
      </c>
      <c r="E21" s="5">
        <v>66000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48000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10000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</row>
    <row r="22" spans="1:29" x14ac:dyDescent="0.55000000000000004">
      <c r="A22" s="2"/>
      <c r="B22" s="3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2"/>
      <c r="Z22" s="2"/>
      <c r="AA22" s="2"/>
      <c r="AB22" s="2"/>
      <c r="AC22" s="2"/>
    </row>
    <row r="23" spans="1:29" x14ac:dyDescent="0.55000000000000004">
      <c r="A23" s="1" t="s">
        <v>38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x14ac:dyDescent="0.55000000000000004">
      <c r="A24" s="1" t="s">
        <v>28</v>
      </c>
      <c r="B24" s="1" t="s">
        <v>40</v>
      </c>
      <c r="C24" s="4" t="s">
        <v>1</v>
      </c>
      <c r="D24" s="4" t="s">
        <v>2</v>
      </c>
      <c r="E24" s="4" t="s">
        <v>3</v>
      </c>
      <c r="F24" s="4" t="s">
        <v>4</v>
      </c>
      <c r="G24" s="4" t="s">
        <v>5</v>
      </c>
      <c r="H24" s="4" t="s">
        <v>6</v>
      </c>
      <c r="I24" s="4" t="s">
        <v>7</v>
      </c>
      <c r="J24" s="4" t="s">
        <v>8</v>
      </c>
      <c r="K24" s="4" t="s">
        <v>9</v>
      </c>
      <c r="L24" s="4" t="s">
        <v>10</v>
      </c>
      <c r="M24" s="4" t="s">
        <v>11</v>
      </c>
      <c r="N24" s="4" t="s">
        <v>12</v>
      </c>
      <c r="O24" s="4" t="s">
        <v>13</v>
      </c>
      <c r="P24" s="4" t="s">
        <v>14</v>
      </c>
      <c r="Q24" s="4" t="s">
        <v>15</v>
      </c>
      <c r="R24" s="4" t="s">
        <v>16</v>
      </c>
      <c r="S24" s="4" t="s">
        <v>17</v>
      </c>
      <c r="T24" s="4" t="s">
        <v>18</v>
      </c>
      <c r="U24" s="4" t="s">
        <v>19</v>
      </c>
      <c r="V24" s="4" t="s">
        <v>20</v>
      </c>
      <c r="W24" s="4" t="s">
        <v>21</v>
      </c>
      <c r="X24" s="4" t="s">
        <v>22</v>
      </c>
      <c r="Y24" s="4" t="s">
        <v>23</v>
      </c>
      <c r="Z24" s="4" t="s">
        <v>24</v>
      </c>
      <c r="AA24" s="4" t="s">
        <v>25</v>
      </c>
      <c r="AB24" s="4" t="s">
        <v>26</v>
      </c>
      <c r="AC24" s="4" t="s">
        <v>27</v>
      </c>
    </row>
    <row r="25" spans="1:29" x14ac:dyDescent="0.55000000000000004">
      <c r="A25" s="2" t="s">
        <v>29</v>
      </c>
      <c r="B25" s="3" t="s">
        <v>0</v>
      </c>
      <c r="C25" s="5">
        <v>30100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5000</v>
      </c>
      <c r="J25" s="5">
        <v>0</v>
      </c>
      <c r="K25" s="5">
        <v>0</v>
      </c>
      <c r="L25" s="5">
        <v>0</v>
      </c>
      <c r="M25" s="5">
        <v>13500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5000</v>
      </c>
      <c r="V25" s="5">
        <v>6600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</row>
    <row r="26" spans="1:29" x14ac:dyDescent="0.55000000000000004">
      <c r="A26" s="2" t="s">
        <v>30</v>
      </c>
      <c r="B26" s="3" t="s">
        <v>0</v>
      </c>
      <c r="C26" s="5">
        <v>326276</v>
      </c>
      <c r="D26" s="5">
        <v>0</v>
      </c>
      <c r="E26" s="5">
        <v>76320</v>
      </c>
      <c r="F26" s="5">
        <v>9360</v>
      </c>
      <c r="G26" s="5">
        <v>16000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15398</v>
      </c>
      <c r="N26" s="5">
        <v>0</v>
      </c>
      <c r="O26" s="5">
        <v>0</v>
      </c>
      <c r="P26" s="5">
        <v>15700</v>
      </c>
      <c r="Q26" s="5">
        <v>0</v>
      </c>
      <c r="R26" s="5">
        <v>5493</v>
      </c>
      <c r="S26" s="5">
        <v>0</v>
      </c>
      <c r="T26" s="5">
        <v>0</v>
      </c>
      <c r="U26" s="5">
        <v>101980</v>
      </c>
      <c r="V26" s="5">
        <v>0</v>
      </c>
      <c r="W26" s="5">
        <v>0</v>
      </c>
      <c r="X26" s="5">
        <v>7500</v>
      </c>
      <c r="Y26" s="5">
        <v>31000</v>
      </c>
      <c r="Z26" s="5">
        <v>26435</v>
      </c>
      <c r="AA26" s="5">
        <v>9500</v>
      </c>
      <c r="AB26" s="5">
        <v>0</v>
      </c>
      <c r="AC26" s="5">
        <v>11590</v>
      </c>
    </row>
    <row r="27" spans="1:29" x14ac:dyDescent="0.55000000000000004">
      <c r="A27" s="2" t="s">
        <v>31</v>
      </c>
      <c r="B27" s="3" t="s">
        <v>0</v>
      </c>
      <c r="C27" s="5">
        <v>565454</v>
      </c>
      <c r="D27" s="5">
        <v>0</v>
      </c>
      <c r="E27" s="5">
        <v>87640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289700</v>
      </c>
      <c r="Q27" s="5">
        <v>14700</v>
      </c>
      <c r="R27" s="5">
        <v>0</v>
      </c>
      <c r="S27" s="5">
        <v>0</v>
      </c>
      <c r="T27" s="5">
        <v>9720</v>
      </c>
      <c r="U27" s="5">
        <v>0</v>
      </c>
      <c r="V27" s="5">
        <v>0</v>
      </c>
      <c r="W27" s="5">
        <v>54800</v>
      </c>
      <c r="X27" s="5">
        <v>0</v>
      </c>
      <c r="Y27" s="5">
        <v>17100</v>
      </c>
      <c r="Z27" s="5">
        <v>46494</v>
      </c>
      <c r="AA27" s="5">
        <v>0</v>
      </c>
      <c r="AB27" s="5">
        <v>0</v>
      </c>
      <c r="AC27" s="5">
        <v>45300</v>
      </c>
    </row>
    <row r="28" spans="1:29" x14ac:dyDescent="0.55000000000000004">
      <c r="A28" s="2" t="s">
        <v>32</v>
      </c>
      <c r="B28" s="3" t="s">
        <v>0</v>
      </c>
      <c r="C28" s="5">
        <v>1143505</v>
      </c>
      <c r="D28" s="5">
        <v>104121</v>
      </c>
      <c r="E28" s="5">
        <v>166269</v>
      </c>
      <c r="F28" s="5">
        <v>5300</v>
      </c>
      <c r="G28" s="5">
        <v>0</v>
      </c>
      <c r="H28" s="5">
        <v>8460</v>
      </c>
      <c r="I28" s="5">
        <v>0</v>
      </c>
      <c r="J28" s="5">
        <v>0</v>
      </c>
      <c r="K28" s="5">
        <v>8000</v>
      </c>
      <c r="L28" s="5">
        <v>0</v>
      </c>
      <c r="M28" s="5">
        <v>13456</v>
      </c>
      <c r="N28" s="5">
        <v>37791</v>
      </c>
      <c r="O28" s="5">
        <v>0</v>
      </c>
      <c r="P28" s="5">
        <v>48110</v>
      </c>
      <c r="Q28" s="5">
        <v>25345</v>
      </c>
      <c r="R28" s="5">
        <v>0</v>
      </c>
      <c r="S28" s="5">
        <v>0</v>
      </c>
      <c r="T28" s="5">
        <v>17480</v>
      </c>
      <c r="U28" s="5">
        <v>74928</v>
      </c>
      <c r="V28" s="5">
        <v>47128</v>
      </c>
      <c r="W28" s="5">
        <v>146288</v>
      </c>
      <c r="X28" s="5">
        <v>118459</v>
      </c>
      <c r="Y28" s="5">
        <v>42898</v>
      </c>
      <c r="Z28" s="5">
        <v>230837</v>
      </c>
      <c r="AA28" s="5">
        <v>11665</v>
      </c>
      <c r="AB28" s="5">
        <v>22360</v>
      </c>
      <c r="AC28" s="5">
        <v>14610</v>
      </c>
    </row>
    <row r="29" spans="1:29" x14ac:dyDescent="0.55000000000000004">
      <c r="A29" s="2" t="s">
        <v>33</v>
      </c>
      <c r="B29" s="3" t="s">
        <v>0</v>
      </c>
      <c r="C29" s="5">
        <v>1762118</v>
      </c>
      <c r="D29" s="5">
        <v>127670</v>
      </c>
      <c r="E29" s="5">
        <v>91800</v>
      </c>
      <c r="F29" s="5">
        <v>57140</v>
      </c>
      <c r="G29" s="5">
        <v>0</v>
      </c>
      <c r="H29" s="5">
        <v>0</v>
      </c>
      <c r="I29" s="5">
        <v>0</v>
      </c>
      <c r="J29" s="5">
        <v>0</v>
      </c>
      <c r="K29" s="5">
        <v>50000</v>
      </c>
      <c r="L29" s="5">
        <v>0</v>
      </c>
      <c r="M29" s="5">
        <v>46965</v>
      </c>
      <c r="N29" s="5">
        <v>123053</v>
      </c>
      <c r="O29" s="5">
        <v>0</v>
      </c>
      <c r="P29" s="5">
        <v>128700</v>
      </c>
      <c r="Q29" s="5">
        <v>48110</v>
      </c>
      <c r="R29" s="5">
        <v>0</v>
      </c>
      <c r="S29" s="5">
        <v>4848</v>
      </c>
      <c r="T29" s="5">
        <v>22020</v>
      </c>
      <c r="U29" s="5">
        <v>541350</v>
      </c>
      <c r="V29" s="5">
        <v>9096</v>
      </c>
      <c r="W29" s="5">
        <v>148788</v>
      </c>
      <c r="X29" s="5">
        <v>0</v>
      </c>
      <c r="Y29" s="5">
        <v>216630</v>
      </c>
      <c r="Z29" s="5">
        <v>145948</v>
      </c>
      <c r="AA29" s="5">
        <v>0</v>
      </c>
      <c r="AB29" s="5">
        <v>0</v>
      </c>
      <c r="AC29" s="5">
        <v>0</v>
      </c>
    </row>
    <row r="30" spans="1:29" x14ac:dyDescent="0.55000000000000004">
      <c r="A30" s="2" t="s">
        <v>34</v>
      </c>
      <c r="B30" s="3" t="s">
        <v>0</v>
      </c>
      <c r="C30" s="5">
        <v>1498652</v>
      </c>
      <c r="D30" s="5">
        <v>57384</v>
      </c>
      <c r="E30" s="5">
        <v>358282</v>
      </c>
      <c r="F30" s="5">
        <v>18400</v>
      </c>
      <c r="G30" s="5">
        <v>67800</v>
      </c>
      <c r="H30" s="5">
        <v>24900</v>
      </c>
      <c r="I30" s="5">
        <v>6400</v>
      </c>
      <c r="J30" s="5">
        <v>11570</v>
      </c>
      <c r="K30" s="5">
        <v>20020</v>
      </c>
      <c r="L30" s="5">
        <v>45630</v>
      </c>
      <c r="M30" s="5">
        <v>220208</v>
      </c>
      <c r="N30" s="5">
        <v>17310</v>
      </c>
      <c r="O30" s="5">
        <v>53210</v>
      </c>
      <c r="P30" s="5">
        <v>107027</v>
      </c>
      <c r="Q30" s="5">
        <v>94909</v>
      </c>
      <c r="R30" s="5">
        <v>0</v>
      </c>
      <c r="S30" s="5">
        <v>4400</v>
      </c>
      <c r="T30" s="5">
        <v>0</v>
      </c>
      <c r="U30" s="5">
        <v>0</v>
      </c>
      <c r="V30" s="5">
        <v>4240</v>
      </c>
      <c r="W30" s="5">
        <v>83853</v>
      </c>
      <c r="X30" s="5">
        <v>143250</v>
      </c>
      <c r="Y30" s="5">
        <v>0</v>
      </c>
      <c r="Z30" s="5">
        <v>91749</v>
      </c>
      <c r="AA30" s="5">
        <v>0</v>
      </c>
      <c r="AB30" s="5">
        <v>55070</v>
      </c>
      <c r="AC30" s="5">
        <v>13040</v>
      </c>
    </row>
    <row r="31" spans="1:29" x14ac:dyDescent="0.55000000000000004">
      <c r="A31" s="2" t="s">
        <v>35</v>
      </c>
      <c r="B31" s="3" t="s">
        <v>0</v>
      </c>
      <c r="C31" s="5">
        <v>103213</v>
      </c>
      <c r="D31" s="5">
        <v>0</v>
      </c>
      <c r="E31" s="5">
        <v>24100</v>
      </c>
      <c r="F31" s="5">
        <v>18530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3625</v>
      </c>
      <c r="N31" s="5">
        <v>4488</v>
      </c>
      <c r="O31" s="5">
        <v>0</v>
      </c>
      <c r="P31" s="5">
        <v>0</v>
      </c>
      <c r="Q31" s="5">
        <v>0</v>
      </c>
      <c r="R31" s="5">
        <v>7610</v>
      </c>
      <c r="S31" s="5">
        <v>0</v>
      </c>
      <c r="T31" s="5">
        <v>5000</v>
      </c>
      <c r="U31" s="5">
        <v>0</v>
      </c>
      <c r="V31" s="5">
        <v>0</v>
      </c>
      <c r="W31" s="5">
        <v>0</v>
      </c>
      <c r="X31" s="5">
        <v>0</v>
      </c>
      <c r="Y31" s="5">
        <v>29290</v>
      </c>
      <c r="Z31" s="5">
        <v>3735</v>
      </c>
      <c r="AA31" s="5">
        <v>0</v>
      </c>
      <c r="AB31" s="5">
        <v>0</v>
      </c>
      <c r="AC31" s="5">
        <v>6835</v>
      </c>
    </row>
    <row r="32" spans="1:29" x14ac:dyDescent="0.55000000000000004">
      <c r="A32" s="2" t="s">
        <v>36</v>
      </c>
      <c r="B32" s="3" t="s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</row>
    <row r="34" spans="1:29" x14ac:dyDescent="0.55000000000000004">
      <c r="A34" s="1" t="s">
        <v>37</v>
      </c>
      <c r="B34" s="1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spans="1:29" x14ac:dyDescent="0.55000000000000004">
      <c r="A35" s="1" t="s">
        <v>28</v>
      </c>
      <c r="B35" s="1" t="s">
        <v>41</v>
      </c>
      <c r="D35" s="4" t="s">
        <v>20</v>
      </c>
      <c r="E35" s="4" t="s">
        <v>17</v>
      </c>
      <c r="F35" s="4" t="s">
        <v>16</v>
      </c>
      <c r="G35" s="4" t="s">
        <v>3</v>
      </c>
      <c r="H35" s="4" t="s">
        <v>14</v>
      </c>
      <c r="I35" s="4" t="s">
        <v>13</v>
      </c>
      <c r="J35" s="4" t="s">
        <v>11</v>
      </c>
      <c r="K35" s="4" t="s">
        <v>26</v>
      </c>
      <c r="L35" s="4" t="s">
        <v>9</v>
      </c>
      <c r="M35" s="4" t="s">
        <v>19</v>
      </c>
      <c r="N35" s="4" t="s">
        <v>27</v>
      </c>
      <c r="O35" s="4" t="s">
        <v>4</v>
      </c>
      <c r="P35" s="4" t="s">
        <v>25</v>
      </c>
      <c r="Q35" s="4" t="s">
        <v>8</v>
      </c>
      <c r="R35" s="4" t="s">
        <v>7</v>
      </c>
      <c r="S35" s="4" t="s">
        <v>18</v>
      </c>
      <c r="T35" s="4" t="s">
        <v>15</v>
      </c>
      <c r="U35" s="4" t="s">
        <v>12</v>
      </c>
      <c r="V35" s="4" t="s">
        <v>6</v>
      </c>
      <c r="W35" s="4" t="s">
        <v>21</v>
      </c>
      <c r="X35" s="4" t="s">
        <v>22</v>
      </c>
      <c r="Y35" s="4" t="s">
        <v>5</v>
      </c>
      <c r="Z35" s="4" t="s">
        <v>23</v>
      </c>
      <c r="AA35" s="4" t="s">
        <v>24</v>
      </c>
      <c r="AB35" s="4" t="s">
        <v>10</v>
      </c>
      <c r="AC35" s="4" t="s">
        <v>2</v>
      </c>
    </row>
    <row r="36" spans="1:29" x14ac:dyDescent="0.55000000000000004">
      <c r="A36" s="2" t="s">
        <v>29</v>
      </c>
      <c r="B36">
        <v>2</v>
      </c>
      <c r="D36" s="5">
        <f>HLOOKUP(D$35,$D$2:$AC$10,$B36,FALSE)</f>
        <v>18000</v>
      </c>
      <c r="E36" s="5">
        <f t="shared" ref="E36:AC43" si="0">HLOOKUP(E$35,$D$2:$AC$10,$B36,FALSE)</f>
        <v>25000</v>
      </c>
      <c r="F36" s="5">
        <f t="shared" si="0"/>
        <v>14000</v>
      </c>
      <c r="G36" s="5">
        <f t="shared" si="0"/>
        <v>0</v>
      </c>
      <c r="H36" s="5">
        <f t="shared" si="0"/>
        <v>32300</v>
      </c>
      <c r="I36" s="5">
        <f t="shared" si="0"/>
        <v>0</v>
      </c>
      <c r="J36" s="5">
        <f t="shared" si="0"/>
        <v>96678</v>
      </c>
      <c r="K36" s="5">
        <f t="shared" si="0"/>
        <v>0</v>
      </c>
      <c r="L36" s="5">
        <f t="shared" si="0"/>
        <v>43950</v>
      </c>
      <c r="M36" s="5">
        <f t="shared" si="0"/>
        <v>114993</v>
      </c>
      <c r="N36" s="5">
        <f t="shared" si="0"/>
        <v>68000</v>
      </c>
      <c r="O36" s="5">
        <f t="shared" si="0"/>
        <v>0</v>
      </c>
      <c r="P36" s="5">
        <f t="shared" si="0"/>
        <v>0</v>
      </c>
      <c r="Q36" s="5">
        <f t="shared" si="0"/>
        <v>0</v>
      </c>
      <c r="R36" s="5">
        <f t="shared" si="0"/>
        <v>10000</v>
      </c>
      <c r="S36" s="5">
        <f t="shared" si="0"/>
        <v>10000</v>
      </c>
      <c r="T36" s="5">
        <f t="shared" si="0"/>
        <v>8000</v>
      </c>
      <c r="U36" s="5">
        <f t="shared" si="0"/>
        <v>12000</v>
      </c>
      <c r="V36" s="5">
        <f t="shared" si="0"/>
        <v>35000</v>
      </c>
      <c r="W36" s="5">
        <f t="shared" si="0"/>
        <v>45000</v>
      </c>
      <c r="X36" s="5">
        <f t="shared" si="0"/>
        <v>63710</v>
      </c>
      <c r="Y36" s="5">
        <f t="shared" si="0"/>
        <v>0</v>
      </c>
      <c r="Z36" s="5">
        <f t="shared" si="0"/>
        <v>58500</v>
      </c>
      <c r="AA36" s="5">
        <f t="shared" si="0"/>
        <v>0</v>
      </c>
      <c r="AB36" s="5">
        <f t="shared" si="0"/>
        <v>0</v>
      </c>
      <c r="AC36" s="5">
        <f t="shared" si="0"/>
        <v>0</v>
      </c>
    </row>
    <row r="37" spans="1:29" x14ac:dyDescent="0.55000000000000004">
      <c r="A37" s="2" t="s">
        <v>30</v>
      </c>
      <c r="B37">
        <v>3</v>
      </c>
      <c r="D37" s="5">
        <f t="shared" ref="D37:D42" si="1">HLOOKUP(D$35,$D$2:$AC$10,$B37,FALSE)</f>
        <v>54815</v>
      </c>
      <c r="E37" s="5">
        <f t="shared" si="0"/>
        <v>9500</v>
      </c>
      <c r="F37" s="5">
        <f t="shared" si="0"/>
        <v>39100</v>
      </c>
      <c r="G37" s="5">
        <f t="shared" si="0"/>
        <v>1269697</v>
      </c>
      <c r="H37" s="5">
        <f t="shared" si="0"/>
        <v>169085</v>
      </c>
      <c r="I37" s="5">
        <f t="shared" si="0"/>
        <v>23600</v>
      </c>
      <c r="J37" s="5">
        <f t="shared" si="0"/>
        <v>307910</v>
      </c>
      <c r="K37" s="5">
        <f t="shared" si="0"/>
        <v>0</v>
      </c>
      <c r="L37" s="5">
        <f t="shared" si="0"/>
        <v>43120</v>
      </c>
      <c r="M37" s="5">
        <f t="shared" si="0"/>
        <v>119120</v>
      </c>
      <c r="N37" s="5">
        <f t="shared" si="0"/>
        <v>241940</v>
      </c>
      <c r="O37" s="5">
        <f t="shared" si="0"/>
        <v>101936</v>
      </c>
      <c r="P37" s="5">
        <f t="shared" si="0"/>
        <v>212810</v>
      </c>
      <c r="Q37" s="5">
        <f t="shared" si="0"/>
        <v>0</v>
      </c>
      <c r="R37" s="5">
        <f t="shared" si="0"/>
        <v>0</v>
      </c>
      <c r="S37" s="5">
        <f t="shared" si="0"/>
        <v>0</v>
      </c>
      <c r="T37" s="5">
        <f t="shared" si="0"/>
        <v>54875</v>
      </c>
      <c r="U37" s="5">
        <f t="shared" si="0"/>
        <v>169358</v>
      </c>
      <c r="V37" s="5">
        <f t="shared" si="0"/>
        <v>22900</v>
      </c>
      <c r="W37" s="5">
        <f t="shared" si="0"/>
        <v>157150</v>
      </c>
      <c r="X37" s="5">
        <f t="shared" si="0"/>
        <v>157660</v>
      </c>
      <c r="Y37" s="5">
        <f t="shared" si="0"/>
        <v>24000</v>
      </c>
      <c r="Z37" s="5">
        <f t="shared" si="0"/>
        <v>1138885</v>
      </c>
      <c r="AA37" s="5">
        <f t="shared" si="0"/>
        <v>88800</v>
      </c>
      <c r="AB37" s="5">
        <f t="shared" si="0"/>
        <v>4450</v>
      </c>
      <c r="AC37" s="5">
        <f t="shared" si="0"/>
        <v>0</v>
      </c>
    </row>
    <row r="38" spans="1:29" x14ac:dyDescent="0.55000000000000004">
      <c r="A38" s="2" t="s">
        <v>31</v>
      </c>
      <c r="B38">
        <v>4</v>
      </c>
      <c r="D38" s="5">
        <f t="shared" si="1"/>
        <v>0</v>
      </c>
      <c r="E38" s="5">
        <f t="shared" si="0"/>
        <v>0</v>
      </c>
      <c r="F38" s="5">
        <f t="shared" si="0"/>
        <v>0</v>
      </c>
      <c r="G38" s="5">
        <f t="shared" si="0"/>
        <v>0</v>
      </c>
      <c r="H38" s="5">
        <f t="shared" si="0"/>
        <v>0</v>
      </c>
      <c r="I38" s="5">
        <f t="shared" si="0"/>
        <v>0</v>
      </c>
      <c r="J38" s="5">
        <f t="shared" si="0"/>
        <v>0</v>
      </c>
      <c r="K38" s="5">
        <f t="shared" si="0"/>
        <v>0</v>
      </c>
      <c r="L38" s="5">
        <f t="shared" si="0"/>
        <v>0</v>
      </c>
      <c r="M38" s="5">
        <f t="shared" si="0"/>
        <v>0</v>
      </c>
      <c r="N38" s="5">
        <f t="shared" si="0"/>
        <v>0</v>
      </c>
      <c r="O38" s="5">
        <f t="shared" si="0"/>
        <v>0</v>
      </c>
      <c r="P38" s="5">
        <f t="shared" si="0"/>
        <v>0</v>
      </c>
      <c r="Q38" s="5">
        <f t="shared" si="0"/>
        <v>0</v>
      </c>
      <c r="R38" s="5">
        <f t="shared" si="0"/>
        <v>0</v>
      </c>
      <c r="S38" s="5">
        <f t="shared" si="0"/>
        <v>0</v>
      </c>
      <c r="T38" s="5">
        <f t="shared" si="0"/>
        <v>0</v>
      </c>
      <c r="U38" s="5">
        <f t="shared" si="0"/>
        <v>0</v>
      </c>
      <c r="V38" s="5">
        <f t="shared" si="0"/>
        <v>0</v>
      </c>
      <c r="W38" s="5">
        <f t="shared" si="0"/>
        <v>0</v>
      </c>
      <c r="X38" s="5">
        <f t="shared" si="0"/>
        <v>0</v>
      </c>
      <c r="Y38" s="5">
        <f t="shared" si="0"/>
        <v>0</v>
      </c>
      <c r="Z38" s="5">
        <f t="shared" si="0"/>
        <v>0</v>
      </c>
      <c r="AA38" s="5">
        <f t="shared" si="0"/>
        <v>0</v>
      </c>
      <c r="AB38" s="5">
        <f t="shared" si="0"/>
        <v>0</v>
      </c>
      <c r="AC38" s="5">
        <f t="shared" si="0"/>
        <v>0</v>
      </c>
    </row>
    <row r="39" spans="1:29" x14ac:dyDescent="0.55000000000000004">
      <c r="A39" s="2" t="s">
        <v>32</v>
      </c>
      <c r="B39">
        <v>5</v>
      </c>
      <c r="D39" s="5">
        <f t="shared" si="1"/>
        <v>4398247</v>
      </c>
      <c r="E39" s="5">
        <f t="shared" si="0"/>
        <v>42444</v>
      </c>
      <c r="F39" s="5">
        <f t="shared" si="0"/>
        <v>270251</v>
      </c>
      <c r="G39" s="5">
        <f t="shared" si="0"/>
        <v>14290863</v>
      </c>
      <c r="H39" s="5">
        <f t="shared" si="0"/>
        <v>6345699</v>
      </c>
      <c r="I39" s="5">
        <f t="shared" si="0"/>
        <v>796881</v>
      </c>
      <c r="J39" s="5">
        <f t="shared" si="0"/>
        <v>5597823</v>
      </c>
      <c r="K39" s="5">
        <f t="shared" si="0"/>
        <v>1618900</v>
      </c>
      <c r="L39" s="5">
        <f t="shared" si="0"/>
        <v>456109</v>
      </c>
      <c r="M39" s="5">
        <f t="shared" si="0"/>
        <v>1154336</v>
      </c>
      <c r="N39" s="5">
        <f t="shared" si="0"/>
        <v>380257</v>
      </c>
      <c r="O39" s="5">
        <f t="shared" si="0"/>
        <v>1086700</v>
      </c>
      <c r="P39" s="5">
        <f t="shared" si="0"/>
        <v>984011</v>
      </c>
      <c r="Q39" s="5">
        <f t="shared" si="0"/>
        <v>81897</v>
      </c>
      <c r="R39" s="5">
        <f t="shared" si="0"/>
        <v>33000</v>
      </c>
      <c r="S39" s="5">
        <f t="shared" si="0"/>
        <v>2167335.7999999998</v>
      </c>
      <c r="T39" s="5">
        <f t="shared" si="0"/>
        <v>857100</v>
      </c>
      <c r="U39" s="5">
        <f t="shared" si="0"/>
        <v>3131380</v>
      </c>
      <c r="V39" s="5">
        <f t="shared" si="0"/>
        <v>680139</v>
      </c>
      <c r="W39" s="5">
        <f t="shared" si="0"/>
        <v>2187100</v>
      </c>
      <c r="X39" s="5">
        <f t="shared" si="0"/>
        <v>4743818</v>
      </c>
      <c r="Y39" s="5">
        <f t="shared" si="0"/>
        <v>94000</v>
      </c>
      <c r="Z39" s="5">
        <f t="shared" si="0"/>
        <v>3157946</v>
      </c>
      <c r="AA39" s="5">
        <f t="shared" si="0"/>
        <v>4390640</v>
      </c>
      <c r="AB39" s="5">
        <f t="shared" si="0"/>
        <v>127500</v>
      </c>
      <c r="AC39" s="5">
        <f t="shared" si="0"/>
        <v>5013605</v>
      </c>
    </row>
    <row r="40" spans="1:29" x14ac:dyDescent="0.55000000000000004">
      <c r="A40" s="2" t="s">
        <v>33</v>
      </c>
      <c r="B40">
        <v>6</v>
      </c>
      <c r="D40" s="5">
        <f t="shared" si="1"/>
        <v>1221817</v>
      </c>
      <c r="E40" s="5">
        <f t="shared" si="0"/>
        <v>58798</v>
      </c>
      <c r="F40" s="5">
        <f t="shared" si="0"/>
        <v>254206</v>
      </c>
      <c r="G40" s="5">
        <f t="shared" si="0"/>
        <v>2908225</v>
      </c>
      <c r="H40" s="5">
        <f t="shared" si="0"/>
        <v>664906</v>
      </c>
      <c r="I40" s="5">
        <f t="shared" si="0"/>
        <v>1226829</v>
      </c>
      <c r="J40" s="5">
        <f t="shared" si="0"/>
        <v>2894705</v>
      </c>
      <c r="K40" s="5">
        <f t="shared" si="0"/>
        <v>82720</v>
      </c>
      <c r="L40" s="5">
        <f t="shared" si="0"/>
        <v>17203</v>
      </c>
      <c r="M40" s="5">
        <f t="shared" si="0"/>
        <v>847530</v>
      </c>
      <c r="N40" s="5">
        <f t="shared" si="0"/>
        <v>52388</v>
      </c>
      <c r="O40" s="5">
        <f t="shared" si="0"/>
        <v>1575307</v>
      </c>
      <c r="P40" s="5">
        <f t="shared" si="0"/>
        <v>90411</v>
      </c>
      <c r="Q40" s="5">
        <f t="shared" si="0"/>
        <v>5500</v>
      </c>
      <c r="R40" s="5">
        <f t="shared" si="0"/>
        <v>18000</v>
      </c>
      <c r="S40" s="5">
        <f t="shared" si="0"/>
        <v>1849447</v>
      </c>
      <c r="T40" s="5">
        <f t="shared" si="0"/>
        <v>254500</v>
      </c>
      <c r="U40" s="5">
        <f t="shared" si="0"/>
        <v>699790</v>
      </c>
      <c r="V40" s="5">
        <f t="shared" si="0"/>
        <v>238038</v>
      </c>
      <c r="W40" s="5">
        <f t="shared" si="0"/>
        <v>2450500</v>
      </c>
      <c r="X40" s="5">
        <f t="shared" si="0"/>
        <v>85508</v>
      </c>
      <c r="Y40" s="5">
        <f t="shared" si="0"/>
        <v>58000</v>
      </c>
      <c r="Z40" s="5">
        <f t="shared" si="0"/>
        <v>1874920</v>
      </c>
      <c r="AA40" s="5">
        <f t="shared" si="0"/>
        <v>299871</v>
      </c>
      <c r="AB40" s="5">
        <f t="shared" si="0"/>
        <v>83860</v>
      </c>
      <c r="AC40" s="5">
        <f t="shared" si="0"/>
        <v>8350077</v>
      </c>
    </row>
    <row r="41" spans="1:29" x14ac:dyDescent="0.55000000000000004">
      <c r="A41" s="2" t="s">
        <v>34</v>
      </c>
      <c r="B41">
        <v>7</v>
      </c>
      <c r="D41" s="5">
        <f t="shared" si="1"/>
        <v>57765</v>
      </c>
      <c r="E41" s="5">
        <f t="shared" si="0"/>
        <v>8320</v>
      </c>
      <c r="F41" s="5">
        <f t="shared" si="0"/>
        <v>37370</v>
      </c>
      <c r="G41" s="5">
        <f t="shared" si="0"/>
        <v>1858172</v>
      </c>
      <c r="H41" s="5">
        <f t="shared" si="0"/>
        <v>249255</v>
      </c>
      <c r="I41" s="5">
        <f t="shared" si="0"/>
        <v>306304</v>
      </c>
      <c r="J41" s="5">
        <f t="shared" si="0"/>
        <v>398359</v>
      </c>
      <c r="K41" s="5">
        <f t="shared" si="0"/>
        <v>0</v>
      </c>
      <c r="L41" s="5">
        <f t="shared" si="0"/>
        <v>12280</v>
      </c>
      <c r="M41" s="5">
        <f t="shared" si="0"/>
        <v>80100</v>
      </c>
      <c r="N41" s="5">
        <f t="shared" si="0"/>
        <v>16159</v>
      </c>
      <c r="O41" s="5">
        <f t="shared" si="0"/>
        <v>57400</v>
      </c>
      <c r="P41" s="5">
        <f t="shared" si="0"/>
        <v>16665</v>
      </c>
      <c r="Q41" s="5">
        <f t="shared" si="0"/>
        <v>5918</v>
      </c>
      <c r="R41" s="5">
        <f t="shared" si="0"/>
        <v>83000</v>
      </c>
      <c r="S41" s="5">
        <f t="shared" si="0"/>
        <v>22240</v>
      </c>
      <c r="T41" s="5">
        <f t="shared" si="0"/>
        <v>384554</v>
      </c>
      <c r="U41" s="5">
        <f t="shared" si="0"/>
        <v>138082</v>
      </c>
      <c r="V41" s="5">
        <f t="shared" si="0"/>
        <v>377086</v>
      </c>
      <c r="W41" s="5">
        <f t="shared" si="0"/>
        <v>157819</v>
      </c>
      <c r="X41" s="5">
        <f t="shared" si="0"/>
        <v>83100</v>
      </c>
      <c r="Y41" s="5">
        <f t="shared" si="0"/>
        <v>69598</v>
      </c>
      <c r="Z41" s="5">
        <f t="shared" si="0"/>
        <v>97255</v>
      </c>
      <c r="AA41" s="5">
        <f t="shared" si="0"/>
        <v>77394</v>
      </c>
      <c r="AB41" s="5">
        <f t="shared" si="0"/>
        <v>0</v>
      </c>
      <c r="AC41" s="5">
        <f t="shared" si="0"/>
        <v>150223</v>
      </c>
    </row>
    <row r="42" spans="1:29" x14ac:dyDescent="0.55000000000000004">
      <c r="A42" s="2" t="s">
        <v>35</v>
      </c>
      <c r="B42">
        <v>8</v>
      </c>
      <c r="D42" s="5">
        <f t="shared" si="1"/>
        <v>19429</v>
      </c>
      <c r="E42" s="5">
        <f t="shared" si="0"/>
        <v>4900</v>
      </c>
      <c r="F42" s="5">
        <f t="shared" si="0"/>
        <v>40628.5</v>
      </c>
      <c r="G42" s="5">
        <f t="shared" si="0"/>
        <v>200800</v>
      </c>
      <c r="H42" s="5">
        <f t="shared" si="0"/>
        <v>63563</v>
      </c>
      <c r="I42" s="5">
        <f t="shared" si="0"/>
        <v>8920</v>
      </c>
      <c r="J42" s="5">
        <f t="shared" si="0"/>
        <v>83978</v>
      </c>
      <c r="K42" s="5">
        <f t="shared" si="0"/>
        <v>51562</v>
      </c>
      <c r="L42" s="5">
        <f t="shared" si="0"/>
        <v>18394</v>
      </c>
      <c r="M42" s="5">
        <f t="shared" si="0"/>
        <v>124051</v>
      </c>
      <c r="N42" s="5">
        <f t="shared" si="0"/>
        <v>24978</v>
      </c>
      <c r="O42" s="5">
        <f t="shared" si="0"/>
        <v>69660</v>
      </c>
      <c r="P42" s="5">
        <f t="shared" si="0"/>
        <v>27820</v>
      </c>
      <c r="Q42" s="5">
        <f t="shared" si="0"/>
        <v>5430</v>
      </c>
      <c r="R42" s="5">
        <f t="shared" si="0"/>
        <v>0</v>
      </c>
      <c r="S42" s="5">
        <f t="shared" si="0"/>
        <v>57000</v>
      </c>
      <c r="T42" s="5">
        <f t="shared" si="0"/>
        <v>0</v>
      </c>
      <c r="U42" s="5">
        <f t="shared" si="0"/>
        <v>60725</v>
      </c>
      <c r="V42" s="5">
        <f t="shared" si="0"/>
        <v>8279</v>
      </c>
      <c r="W42" s="5">
        <f t="shared" si="0"/>
        <v>51668</v>
      </c>
      <c r="X42" s="5">
        <f t="shared" si="0"/>
        <v>102038</v>
      </c>
      <c r="Y42" s="5">
        <f t="shared" si="0"/>
        <v>16000</v>
      </c>
      <c r="Z42" s="5">
        <f t="shared" si="0"/>
        <v>832412</v>
      </c>
      <c r="AA42" s="5">
        <f t="shared" si="0"/>
        <v>43320</v>
      </c>
      <c r="AB42" s="5">
        <f t="shared" si="0"/>
        <v>0</v>
      </c>
      <c r="AC42" s="5">
        <f t="shared" si="0"/>
        <v>3397</v>
      </c>
    </row>
    <row r="43" spans="1:29" x14ac:dyDescent="0.55000000000000004">
      <c r="A43" s="2" t="s">
        <v>36</v>
      </c>
      <c r="B43">
        <v>9</v>
      </c>
      <c r="D43" s="5">
        <f>HLOOKUP(D$35,$D$2:$AC$10,$B43,FALSE)</f>
        <v>0</v>
      </c>
      <c r="E43" s="5">
        <f t="shared" si="0"/>
        <v>0</v>
      </c>
      <c r="F43" s="5">
        <f t="shared" si="0"/>
        <v>0</v>
      </c>
      <c r="G43" s="5">
        <f t="shared" si="0"/>
        <v>9000</v>
      </c>
      <c r="H43" s="5">
        <f t="shared" si="0"/>
        <v>0</v>
      </c>
      <c r="I43" s="5">
        <f t="shared" si="0"/>
        <v>7200</v>
      </c>
      <c r="J43" s="5">
        <f t="shared" si="0"/>
        <v>0</v>
      </c>
      <c r="K43" s="5">
        <f t="shared" si="0"/>
        <v>0</v>
      </c>
      <c r="L43" s="5">
        <f t="shared" si="0"/>
        <v>0</v>
      </c>
      <c r="M43" s="5">
        <f t="shared" si="0"/>
        <v>6268</v>
      </c>
      <c r="N43" s="5">
        <f t="shared" si="0"/>
        <v>0</v>
      </c>
      <c r="O43" s="5">
        <f t="shared" si="0"/>
        <v>0</v>
      </c>
      <c r="P43" s="5">
        <f t="shared" si="0"/>
        <v>0</v>
      </c>
      <c r="Q43" s="5">
        <f t="shared" si="0"/>
        <v>0</v>
      </c>
      <c r="R43" s="5">
        <f t="shared" si="0"/>
        <v>0</v>
      </c>
      <c r="S43" s="5">
        <f t="shared" si="0"/>
        <v>0</v>
      </c>
      <c r="T43" s="5">
        <f t="shared" si="0"/>
        <v>7000</v>
      </c>
      <c r="U43" s="5">
        <f t="shared" si="0"/>
        <v>0</v>
      </c>
      <c r="V43" s="5">
        <f t="shared" si="0"/>
        <v>0</v>
      </c>
      <c r="W43" s="5">
        <f t="shared" si="0"/>
        <v>14000</v>
      </c>
      <c r="X43" s="5">
        <f t="shared" si="0"/>
        <v>0</v>
      </c>
      <c r="Y43" s="5">
        <f t="shared" si="0"/>
        <v>0</v>
      </c>
      <c r="Z43" s="5">
        <f t="shared" si="0"/>
        <v>14400</v>
      </c>
      <c r="AA43" s="5">
        <f t="shared" si="0"/>
        <v>0</v>
      </c>
      <c r="AB43" s="5">
        <f t="shared" si="0"/>
        <v>0</v>
      </c>
      <c r="AC43" s="5">
        <f t="shared" si="0"/>
        <v>0</v>
      </c>
    </row>
    <row r="44" spans="1:29" x14ac:dyDescent="0.55000000000000004">
      <c r="A44" s="2"/>
    </row>
    <row r="45" spans="1:29" x14ac:dyDescent="0.55000000000000004">
      <c r="A45" s="1" t="s">
        <v>39</v>
      </c>
      <c r="B45" s="1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spans="1:29" x14ac:dyDescent="0.55000000000000004">
      <c r="A46" s="1" t="s">
        <v>28</v>
      </c>
      <c r="B46" s="1" t="s">
        <v>41</v>
      </c>
      <c r="D46" s="4" t="s">
        <v>20</v>
      </c>
      <c r="E46" s="4" t="s">
        <v>17</v>
      </c>
      <c r="F46" s="4" t="s">
        <v>16</v>
      </c>
      <c r="G46" s="4" t="s">
        <v>3</v>
      </c>
      <c r="H46" s="4" t="s">
        <v>14</v>
      </c>
      <c r="I46" s="4" t="s">
        <v>13</v>
      </c>
      <c r="J46" s="4" t="s">
        <v>11</v>
      </c>
      <c r="K46" s="4" t="s">
        <v>26</v>
      </c>
      <c r="L46" s="4" t="s">
        <v>9</v>
      </c>
      <c r="M46" s="4" t="s">
        <v>19</v>
      </c>
      <c r="N46" s="4" t="s">
        <v>27</v>
      </c>
      <c r="O46" s="4" t="s">
        <v>4</v>
      </c>
      <c r="P46" s="4" t="s">
        <v>25</v>
      </c>
      <c r="Q46" s="4" t="s">
        <v>8</v>
      </c>
      <c r="R46" s="4" t="s">
        <v>7</v>
      </c>
      <c r="S46" s="4" t="s">
        <v>18</v>
      </c>
      <c r="T46" s="4" t="s">
        <v>15</v>
      </c>
      <c r="U46" s="4" t="s">
        <v>12</v>
      </c>
      <c r="V46" s="4" t="s">
        <v>6</v>
      </c>
      <c r="W46" s="4" t="s">
        <v>21</v>
      </c>
      <c r="X46" s="4" t="s">
        <v>22</v>
      </c>
      <c r="Y46" s="4" t="s">
        <v>5</v>
      </c>
      <c r="Z46" s="4" t="s">
        <v>23</v>
      </c>
      <c r="AA46" s="4" t="s">
        <v>24</v>
      </c>
      <c r="AB46" s="4" t="s">
        <v>10</v>
      </c>
      <c r="AC46" s="4" t="s">
        <v>2</v>
      </c>
    </row>
    <row r="47" spans="1:29" x14ac:dyDescent="0.55000000000000004">
      <c r="A47" s="2" t="s">
        <v>29</v>
      </c>
      <c r="B47">
        <v>2</v>
      </c>
      <c r="D47" s="5">
        <f>HLOOKUP(D$46,$D$13:$AC$21,$B47,FALSE)</f>
        <v>9000</v>
      </c>
      <c r="E47" s="5">
        <f t="shared" ref="E47:AC54" si="2">HLOOKUP(E$46,$D$13:$AC$21,$B47,FALSE)</f>
        <v>0</v>
      </c>
      <c r="F47" s="5">
        <f t="shared" si="2"/>
        <v>0</v>
      </c>
      <c r="G47" s="5">
        <f t="shared" si="2"/>
        <v>0</v>
      </c>
      <c r="H47" s="5">
        <f t="shared" si="2"/>
        <v>0</v>
      </c>
      <c r="I47" s="5">
        <f t="shared" si="2"/>
        <v>0</v>
      </c>
      <c r="J47" s="5">
        <f t="shared" si="2"/>
        <v>4500</v>
      </c>
      <c r="K47" s="5">
        <f t="shared" si="2"/>
        <v>0</v>
      </c>
      <c r="L47" s="5">
        <f t="shared" si="2"/>
        <v>0</v>
      </c>
      <c r="M47" s="5">
        <f t="shared" si="2"/>
        <v>10000</v>
      </c>
      <c r="N47" s="5">
        <f t="shared" si="2"/>
        <v>0</v>
      </c>
      <c r="O47" s="5">
        <f t="shared" si="2"/>
        <v>5000</v>
      </c>
      <c r="P47" s="5">
        <f t="shared" si="2"/>
        <v>0</v>
      </c>
      <c r="Q47" s="5">
        <f t="shared" si="2"/>
        <v>0</v>
      </c>
      <c r="R47" s="5">
        <f t="shared" si="2"/>
        <v>0</v>
      </c>
      <c r="S47" s="5">
        <f t="shared" si="2"/>
        <v>0</v>
      </c>
      <c r="T47" s="5">
        <f t="shared" si="2"/>
        <v>0</v>
      </c>
      <c r="U47" s="5">
        <f t="shared" si="2"/>
        <v>3000</v>
      </c>
      <c r="V47" s="5">
        <f t="shared" si="2"/>
        <v>5000</v>
      </c>
      <c r="W47" s="5">
        <f t="shared" si="2"/>
        <v>12100</v>
      </c>
      <c r="X47" s="5">
        <f t="shared" si="2"/>
        <v>9000</v>
      </c>
      <c r="Y47" s="5">
        <f t="shared" si="2"/>
        <v>0</v>
      </c>
      <c r="Z47" s="5">
        <f t="shared" si="2"/>
        <v>4500</v>
      </c>
      <c r="AA47" s="5">
        <f t="shared" si="2"/>
        <v>0</v>
      </c>
      <c r="AB47" s="5">
        <f t="shared" si="2"/>
        <v>0</v>
      </c>
      <c r="AC47" s="5">
        <f t="shared" si="2"/>
        <v>0</v>
      </c>
    </row>
    <row r="48" spans="1:29" x14ac:dyDescent="0.55000000000000004">
      <c r="A48" s="2" t="s">
        <v>30</v>
      </c>
      <c r="B48">
        <v>3</v>
      </c>
      <c r="D48" s="5">
        <f t="shared" ref="D48:S54" si="3">HLOOKUP(D$46,$D$13:$AC$21,$B48,FALSE)</f>
        <v>7338</v>
      </c>
      <c r="E48" s="5">
        <f t="shared" si="3"/>
        <v>0</v>
      </c>
      <c r="F48" s="5">
        <f t="shared" si="3"/>
        <v>10275</v>
      </c>
      <c r="G48" s="5">
        <f t="shared" si="3"/>
        <v>596860</v>
      </c>
      <c r="H48" s="5">
        <f t="shared" si="3"/>
        <v>106795</v>
      </c>
      <c r="I48" s="5">
        <f t="shared" si="3"/>
        <v>50840</v>
      </c>
      <c r="J48" s="5">
        <f t="shared" si="3"/>
        <v>54724</v>
      </c>
      <c r="K48" s="5">
        <f t="shared" si="3"/>
        <v>0</v>
      </c>
      <c r="L48" s="5">
        <f t="shared" si="3"/>
        <v>9000</v>
      </c>
      <c r="M48" s="5">
        <f t="shared" si="3"/>
        <v>635840</v>
      </c>
      <c r="N48" s="5">
        <f t="shared" si="3"/>
        <v>110935</v>
      </c>
      <c r="O48" s="5">
        <f t="shared" si="3"/>
        <v>132460</v>
      </c>
      <c r="P48" s="5">
        <f t="shared" si="3"/>
        <v>153090</v>
      </c>
      <c r="Q48" s="5">
        <f t="shared" si="3"/>
        <v>4625</v>
      </c>
      <c r="R48" s="5">
        <f t="shared" si="3"/>
        <v>0</v>
      </c>
      <c r="S48" s="5">
        <f t="shared" si="3"/>
        <v>0</v>
      </c>
      <c r="T48" s="5">
        <f t="shared" si="2"/>
        <v>63725</v>
      </c>
      <c r="U48" s="5">
        <f t="shared" si="2"/>
        <v>102658</v>
      </c>
      <c r="V48" s="5">
        <f t="shared" si="2"/>
        <v>24200</v>
      </c>
      <c r="W48" s="5">
        <f t="shared" si="2"/>
        <v>142810</v>
      </c>
      <c r="X48" s="5">
        <f t="shared" si="2"/>
        <v>9530</v>
      </c>
      <c r="Y48" s="5">
        <f t="shared" si="2"/>
        <v>6000</v>
      </c>
      <c r="Z48" s="5">
        <f t="shared" si="2"/>
        <v>411360</v>
      </c>
      <c r="AA48" s="5">
        <f t="shared" si="2"/>
        <v>269106</v>
      </c>
      <c r="AB48" s="5">
        <f t="shared" si="2"/>
        <v>0</v>
      </c>
      <c r="AC48" s="5">
        <f t="shared" si="2"/>
        <v>0</v>
      </c>
    </row>
    <row r="49" spans="1:29" x14ac:dyDescent="0.55000000000000004">
      <c r="A49" s="2" t="s">
        <v>31</v>
      </c>
      <c r="B49">
        <v>4</v>
      </c>
      <c r="D49" s="5">
        <f t="shared" si="3"/>
        <v>0</v>
      </c>
      <c r="E49" s="5">
        <f t="shared" si="2"/>
        <v>9108</v>
      </c>
      <c r="F49" s="5">
        <f t="shared" si="2"/>
        <v>0</v>
      </c>
      <c r="G49" s="5">
        <f t="shared" si="2"/>
        <v>77420</v>
      </c>
      <c r="H49" s="5">
        <f t="shared" si="2"/>
        <v>66000</v>
      </c>
      <c r="I49" s="5">
        <f t="shared" si="2"/>
        <v>57430</v>
      </c>
      <c r="J49" s="5">
        <f t="shared" si="2"/>
        <v>19558</v>
      </c>
      <c r="K49" s="5">
        <f t="shared" si="2"/>
        <v>0</v>
      </c>
      <c r="L49" s="5">
        <f t="shared" si="2"/>
        <v>0</v>
      </c>
      <c r="M49" s="5">
        <f t="shared" si="2"/>
        <v>43760</v>
      </c>
      <c r="N49" s="5">
        <f t="shared" si="2"/>
        <v>0</v>
      </c>
      <c r="O49" s="5">
        <f t="shared" si="2"/>
        <v>20970</v>
      </c>
      <c r="P49" s="5">
        <f t="shared" si="2"/>
        <v>0</v>
      </c>
      <c r="Q49" s="5">
        <f t="shared" si="2"/>
        <v>0</v>
      </c>
      <c r="R49" s="5">
        <f t="shared" si="2"/>
        <v>0</v>
      </c>
      <c r="S49" s="5">
        <f t="shared" si="2"/>
        <v>0</v>
      </c>
      <c r="T49" s="5">
        <f t="shared" si="2"/>
        <v>0</v>
      </c>
      <c r="U49" s="5">
        <f t="shared" si="2"/>
        <v>0</v>
      </c>
      <c r="V49" s="5">
        <f t="shared" si="2"/>
        <v>0</v>
      </c>
      <c r="W49" s="5">
        <f t="shared" si="2"/>
        <v>28500</v>
      </c>
      <c r="X49" s="5">
        <f t="shared" si="2"/>
        <v>0</v>
      </c>
      <c r="Y49" s="5">
        <f t="shared" si="2"/>
        <v>0</v>
      </c>
      <c r="Z49" s="5">
        <f t="shared" si="2"/>
        <v>10800</v>
      </c>
      <c r="AA49" s="5">
        <f t="shared" si="2"/>
        <v>44205</v>
      </c>
      <c r="AB49" s="5">
        <f t="shared" si="2"/>
        <v>0</v>
      </c>
      <c r="AC49" s="5">
        <f t="shared" si="2"/>
        <v>0</v>
      </c>
    </row>
    <row r="50" spans="1:29" x14ac:dyDescent="0.55000000000000004">
      <c r="A50" s="2" t="s">
        <v>32</v>
      </c>
      <c r="B50">
        <v>5</v>
      </c>
      <c r="D50" s="5">
        <f t="shared" si="3"/>
        <v>337425</v>
      </c>
      <c r="E50" s="5">
        <f t="shared" si="2"/>
        <v>0</v>
      </c>
      <c r="F50" s="5">
        <f t="shared" si="2"/>
        <v>27426</v>
      </c>
      <c r="G50" s="5">
        <f t="shared" si="2"/>
        <v>1868850</v>
      </c>
      <c r="H50" s="5">
        <f t="shared" si="2"/>
        <v>510048</v>
      </c>
      <c r="I50" s="5">
        <f t="shared" si="2"/>
        <v>226342</v>
      </c>
      <c r="J50" s="5">
        <f t="shared" si="2"/>
        <v>584793</v>
      </c>
      <c r="K50" s="5">
        <f t="shared" si="2"/>
        <v>54760</v>
      </c>
      <c r="L50" s="5">
        <f t="shared" si="2"/>
        <v>39280</v>
      </c>
      <c r="M50" s="5">
        <f t="shared" si="2"/>
        <v>463632</v>
      </c>
      <c r="N50" s="5">
        <f t="shared" si="2"/>
        <v>33386</v>
      </c>
      <c r="O50" s="5">
        <f t="shared" si="2"/>
        <v>331177</v>
      </c>
      <c r="P50" s="5">
        <f t="shared" si="2"/>
        <v>78358</v>
      </c>
      <c r="Q50" s="5">
        <f t="shared" si="2"/>
        <v>59479</v>
      </c>
      <c r="R50" s="5">
        <f t="shared" si="2"/>
        <v>0</v>
      </c>
      <c r="S50" s="5">
        <f t="shared" si="2"/>
        <v>59800</v>
      </c>
      <c r="T50" s="5">
        <f t="shared" si="2"/>
        <v>70050</v>
      </c>
      <c r="U50" s="5">
        <f t="shared" si="2"/>
        <v>340890</v>
      </c>
      <c r="V50" s="5">
        <f t="shared" si="2"/>
        <v>319130</v>
      </c>
      <c r="W50" s="5">
        <f t="shared" si="2"/>
        <v>300948</v>
      </c>
      <c r="X50" s="5">
        <f t="shared" si="2"/>
        <v>659155</v>
      </c>
      <c r="Y50" s="5">
        <f t="shared" si="2"/>
        <v>19000</v>
      </c>
      <c r="Z50" s="5">
        <f t="shared" si="2"/>
        <v>310574</v>
      </c>
      <c r="AA50" s="5">
        <f t="shared" si="2"/>
        <v>818436</v>
      </c>
      <c r="AB50" s="5">
        <f t="shared" si="2"/>
        <v>54030</v>
      </c>
      <c r="AC50" s="5">
        <f t="shared" si="2"/>
        <v>775019</v>
      </c>
    </row>
    <row r="51" spans="1:29" x14ac:dyDescent="0.55000000000000004">
      <c r="A51" s="2" t="s">
        <v>33</v>
      </c>
      <c r="B51">
        <v>6</v>
      </c>
      <c r="D51" s="5">
        <f t="shared" si="3"/>
        <v>537533</v>
      </c>
      <c r="E51" s="5">
        <f t="shared" si="2"/>
        <v>21030</v>
      </c>
      <c r="F51" s="5">
        <f t="shared" si="2"/>
        <v>7644</v>
      </c>
      <c r="G51" s="5">
        <f t="shared" si="2"/>
        <v>668781</v>
      </c>
      <c r="H51" s="5">
        <f t="shared" si="2"/>
        <v>277654</v>
      </c>
      <c r="I51" s="5">
        <f t="shared" si="2"/>
        <v>208793</v>
      </c>
      <c r="J51" s="5">
        <f t="shared" si="2"/>
        <v>509222</v>
      </c>
      <c r="K51" s="5">
        <f t="shared" si="2"/>
        <v>0</v>
      </c>
      <c r="L51" s="5">
        <f t="shared" si="2"/>
        <v>48825</v>
      </c>
      <c r="M51" s="5">
        <f t="shared" si="2"/>
        <v>911825</v>
      </c>
      <c r="N51" s="5">
        <f t="shared" si="2"/>
        <v>0</v>
      </c>
      <c r="O51" s="5">
        <f t="shared" si="2"/>
        <v>1580988</v>
      </c>
      <c r="P51" s="5">
        <f t="shared" si="2"/>
        <v>8975</v>
      </c>
      <c r="Q51" s="5">
        <f t="shared" si="2"/>
        <v>43181</v>
      </c>
      <c r="R51" s="5">
        <f t="shared" si="2"/>
        <v>60120</v>
      </c>
      <c r="S51" s="5">
        <f t="shared" si="2"/>
        <v>420588</v>
      </c>
      <c r="T51" s="5">
        <f t="shared" si="2"/>
        <v>218545</v>
      </c>
      <c r="U51" s="5">
        <f t="shared" si="2"/>
        <v>162359</v>
      </c>
      <c r="V51" s="5">
        <f t="shared" si="2"/>
        <v>141164</v>
      </c>
      <c r="W51" s="5">
        <f t="shared" si="2"/>
        <v>596770</v>
      </c>
      <c r="X51" s="5">
        <f t="shared" si="2"/>
        <v>41938</v>
      </c>
      <c r="Y51" s="5">
        <f t="shared" si="2"/>
        <v>16000</v>
      </c>
      <c r="Z51" s="5">
        <f t="shared" si="2"/>
        <v>235700</v>
      </c>
      <c r="AA51" s="5">
        <f t="shared" si="2"/>
        <v>480406</v>
      </c>
      <c r="AB51" s="5">
        <f t="shared" si="2"/>
        <v>63420</v>
      </c>
      <c r="AC51" s="5">
        <f t="shared" si="2"/>
        <v>3237564</v>
      </c>
    </row>
    <row r="52" spans="1:29" x14ac:dyDescent="0.55000000000000004">
      <c r="A52" s="2" t="s">
        <v>34</v>
      </c>
      <c r="B52">
        <v>7</v>
      </c>
      <c r="D52" s="5">
        <f t="shared" si="3"/>
        <v>71613</v>
      </c>
      <c r="E52" s="5">
        <f t="shared" si="2"/>
        <v>16280</v>
      </c>
      <c r="F52" s="5">
        <f t="shared" si="2"/>
        <v>41130</v>
      </c>
      <c r="G52" s="5">
        <f t="shared" si="2"/>
        <v>1074991</v>
      </c>
      <c r="H52" s="5">
        <f t="shared" si="2"/>
        <v>373335</v>
      </c>
      <c r="I52" s="5">
        <f t="shared" si="2"/>
        <v>932025</v>
      </c>
      <c r="J52" s="5">
        <f t="shared" si="2"/>
        <v>670547</v>
      </c>
      <c r="K52" s="5">
        <f t="shared" si="2"/>
        <v>0</v>
      </c>
      <c r="L52" s="5">
        <f t="shared" si="2"/>
        <v>13760</v>
      </c>
      <c r="M52" s="5">
        <f t="shared" si="2"/>
        <v>434060</v>
      </c>
      <c r="N52" s="5">
        <f t="shared" si="2"/>
        <v>4360</v>
      </c>
      <c r="O52" s="5">
        <f t="shared" si="2"/>
        <v>299212</v>
      </c>
      <c r="P52" s="5">
        <f t="shared" si="2"/>
        <v>8922</v>
      </c>
      <c r="Q52" s="5">
        <f t="shared" si="2"/>
        <v>38246</v>
      </c>
      <c r="R52" s="5">
        <f t="shared" si="2"/>
        <v>49000</v>
      </c>
      <c r="S52" s="5">
        <f t="shared" si="2"/>
        <v>42500</v>
      </c>
      <c r="T52" s="5">
        <f t="shared" si="2"/>
        <v>258947</v>
      </c>
      <c r="U52" s="5">
        <f t="shared" si="2"/>
        <v>110020</v>
      </c>
      <c r="V52" s="5">
        <f t="shared" si="2"/>
        <v>316080</v>
      </c>
      <c r="W52" s="5">
        <f t="shared" si="2"/>
        <v>291125</v>
      </c>
      <c r="X52" s="5">
        <f t="shared" si="2"/>
        <v>93250</v>
      </c>
      <c r="Y52" s="5">
        <f t="shared" si="2"/>
        <v>119855</v>
      </c>
      <c r="Z52" s="5">
        <f t="shared" si="2"/>
        <v>194199</v>
      </c>
      <c r="AA52" s="5">
        <f t="shared" si="2"/>
        <v>461862</v>
      </c>
      <c r="AB52" s="5">
        <f t="shared" si="2"/>
        <v>24800</v>
      </c>
      <c r="AC52" s="5">
        <f t="shared" si="2"/>
        <v>209597</v>
      </c>
    </row>
    <row r="53" spans="1:29" x14ac:dyDescent="0.55000000000000004">
      <c r="A53" s="2" t="s">
        <v>35</v>
      </c>
      <c r="B53">
        <v>8</v>
      </c>
      <c r="D53" s="5">
        <f t="shared" si="3"/>
        <v>27743</v>
      </c>
      <c r="E53" s="5">
        <f t="shared" si="2"/>
        <v>7765</v>
      </c>
      <c r="F53" s="5">
        <f t="shared" si="2"/>
        <v>6810</v>
      </c>
      <c r="G53" s="5">
        <f t="shared" si="2"/>
        <v>108600</v>
      </c>
      <c r="H53" s="5">
        <f t="shared" si="2"/>
        <v>95208</v>
      </c>
      <c r="I53" s="5">
        <f t="shared" si="2"/>
        <v>74225</v>
      </c>
      <c r="J53" s="5">
        <f t="shared" si="2"/>
        <v>21714</v>
      </c>
      <c r="K53" s="5">
        <f t="shared" si="2"/>
        <v>148000</v>
      </c>
      <c r="L53" s="5">
        <f t="shared" si="2"/>
        <v>0</v>
      </c>
      <c r="M53" s="5">
        <f t="shared" si="2"/>
        <v>112009</v>
      </c>
      <c r="N53" s="5">
        <f t="shared" si="2"/>
        <v>8352</v>
      </c>
      <c r="O53" s="5">
        <f t="shared" si="2"/>
        <v>114824.6</v>
      </c>
      <c r="P53" s="5">
        <f t="shared" si="2"/>
        <v>72340</v>
      </c>
      <c r="Q53" s="5">
        <f t="shared" si="2"/>
        <v>5542</v>
      </c>
      <c r="R53" s="5">
        <f t="shared" si="2"/>
        <v>0</v>
      </c>
      <c r="S53" s="5">
        <f t="shared" si="2"/>
        <v>18500</v>
      </c>
      <c r="T53" s="5">
        <f t="shared" si="2"/>
        <v>0</v>
      </c>
      <c r="U53" s="5">
        <f t="shared" si="2"/>
        <v>19481</v>
      </c>
      <c r="V53" s="5">
        <f t="shared" si="2"/>
        <v>9900</v>
      </c>
      <c r="W53" s="5">
        <f t="shared" si="2"/>
        <v>0</v>
      </c>
      <c r="X53" s="5">
        <f t="shared" si="2"/>
        <v>0</v>
      </c>
      <c r="Y53" s="5">
        <f t="shared" si="2"/>
        <v>0</v>
      </c>
      <c r="Z53" s="5">
        <f t="shared" si="2"/>
        <v>327425</v>
      </c>
      <c r="AA53" s="5">
        <f t="shared" si="2"/>
        <v>17002</v>
      </c>
      <c r="AB53" s="5">
        <f t="shared" si="2"/>
        <v>0</v>
      </c>
      <c r="AC53" s="5">
        <f t="shared" si="2"/>
        <v>3416</v>
      </c>
    </row>
    <row r="54" spans="1:29" x14ac:dyDescent="0.55000000000000004">
      <c r="A54" s="2" t="s">
        <v>36</v>
      </c>
      <c r="B54">
        <v>9</v>
      </c>
      <c r="D54" s="5">
        <f t="shared" si="3"/>
        <v>0</v>
      </c>
      <c r="E54" s="5">
        <f t="shared" si="2"/>
        <v>0</v>
      </c>
      <c r="F54" s="5">
        <f t="shared" si="2"/>
        <v>0</v>
      </c>
      <c r="G54" s="5">
        <f t="shared" si="2"/>
        <v>66000</v>
      </c>
      <c r="H54" s="5">
        <f t="shared" si="2"/>
        <v>0</v>
      </c>
      <c r="I54" s="5">
        <f t="shared" si="2"/>
        <v>48000</v>
      </c>
      <c r="J54" s="5">
        <f t="shared" si="2"/>
        <v>0</v>
      </c>
      <c r="K54" s="5">
        <f t="shared" si="2"/>
        <v>0</v>
      </c>
      <c r="L54" s="5">
        <f t="shared" si="2"/>
        <v>0</v>
      </c>
      <c r="M54" s="5">
        <f t="shared" si="2"/>
        <v>10000</v>
      </c>
      <c r="N54" s="5">
        <f t="shared" si="2"/>
        <v>0</v>
      </c>
      <c r="O54" s="5">
        <f t="shared" si="2"/>
        <v>0</v>
      </c>
      <c r="P54" s="5">
        <f t="shared" si="2"/>
        <v>0</v>
      </c>
      <c r="Q54" s="5">
        <f t="shared" si="2"/>
        <v>0</v>
      </c>
      <c r="R54" s="5">
        <f t="shared" si="2"/>
        <v>0</v>
      </c>
      <c r="S54" s="5">
        <f t="shared" si="2"/>
        <v>0</v>
      </c>
      <c r="T54" s="5">
        <f t="shared" si="2"/>
        <v>0</v>
      </c>
      <c r="U54" s="5">
        <f t="shared" si="2"/>
        <v>0</v>
      </c>
      <c r="V54" s="5">
        <f t="shared" si="2"/>
        <v>0</v>
      </c>
      <c r="W54" s="5">
        <f t="shared" si="2"/>
        <v>0</v>
      </c>
      <c r="X54" s="5">
        <f t="shared" si="2"/>
        <v>0</v>
      </c>
      <c r="Y54" s="5">
        <f t="shared" si="2"/>
        <v>0</v>
      </c>
      <c r="Z54" s="5">
        <f t="shared" si="2"/>
        <v>0</v>
      </c>
      <c r="AA54" s="5">
        <f t="shared" si="2"/>
        <v>0</v>
      </c>
      <c r="AB54" s="5">
        <f t="shared" si="2"/>
        <v>0</v>
      </c>
      <c r="AC54" s="5">
        <f t="shared" si="2"/>
        <v>0</v>
      </c>
    </row>
    <row r="55" spans="1:29" x14ac:dyDescent="0.55000000000000004">
      <c r="A55" s="2"/>
    </row>
    <row r="56" spans="1:29" x14ac:dyDescent="0.55000000000000004">
      <c r="A56" s="1" t="s">
        <v>38</v>
      </c>
      <c r="B56" s="1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spans="1:29" x14ac:dyDescent="0.55000000000000004">
      <c r="A57" s="1" t="s">
        <v>28</v>
      </c>
      <c r="B57" s="1" t="s">
        <v>41</v>
      </c>
      <c r="D57" s="4" t="s">
        <v>20</v>
      </c>
      <c r="E57" s="4" t="s">
        <v>17</v>
      </c>
      <c r="F57" s="4" t="s">
        <v>16</v>
      </c>
      <c r="G57" s="4" t="s">
        <v>3</v>
      </c>
      <c r="H57" s="4" t="s">
        <v>14</v>
      </c>
      <c r="I57" s="4" t="s">
        <v>13</v>
      </c>
      <c r="J57" s="4" t="s">
        <v>11</v>
      </c>
      <c r="K57" s="4" t="s">
        <v>26</v>
      </c>
      <c r="L57" s="4" t="s">
        <v>9</v>
      </c>
      <c r="M57" s="4" t="s">
        <v>19</v>
      </c>
      <c r="N57" s="4" t="s">
        <v>27</v>
      </c>
      <c r="O57" s="4" t="s">
        <v>4</v>
      </c>
      <c r="P57" s="4" t="s">
        <v>25</v>
      </c>
      <c r="Q57" s="4" t="s">
        <v>8</v>
      </c>
      <c r="R57" s="4" t="s">
        <v>7</v>
      </c>
      <c r="S57" s="4" t="s">
        <v>18</v>
      </c>
      <c r="T57" s="4" t="s">
        <v>15</v>
      </c>
      <c r="U57" s="4" t="s">
        <v>12</v>
      </c>
      <c r="V57" s="4" t="s">
        <v>6</v>
      </c>
      <c r="W57" s="4" t="s">
        <v>21</v>
      </c>
      <c r="X57" s="4" t="s">
        <v>22</v>
      </c>
      <c r="Y57" s="4" t="s">
        <v>5</v>
      </c>
      <c r="Z57" s="4" t="s">
        <v>23</v>
      </c>
      <c r="AA57" s="4" t="s">
        <v>24</v>
      </c>
      <c r="AB57" s="4" t="s">
        <v>10</v>
      </c>
      <c r="AC57" s="4" t="s">
        <v>2</v>
      </c>
    </row>
    <row r="58" spans="1:29" x14ac:dyDescent="0.55000000000000004">
      <c r="A58" s="2" t="s">
        <v>29</v>
      </c>
      <c r="B58">
        <v>2</v>
      </c>
      <c r="D58" s="5">
        <f>HLOOKUP(D$57,$D$24:$AC$32,$B58,FALSE)</f>
        <v>6600</v>
      </c>
      <c r="E58" s="5">
        <f t="shared" ref="E58:AC65" si="4">HLOOKUP(E$57,$D$24:$AC$32,$B58,FALSE)</f>
        <v>0</v>
      </c>
      <c r="F58" s="5">
        <f t="shared" si="4"/>
        <v>0</v>
      </c>
      <c r="G58" s="5">
        <f t="shared" si="4"/>
        <v>0</v>
      </c>
      <c r="H58" s="5">
        <f t="shared" si="4"/>
        <v>0</v>
      </c>
      <c r="I58" s="5">
        <f t="shared" si="4"/>
        <v>0</v>
      </c>
      <c r="J58" s="5">
        <f t="shared" si="4"/>
        <v>13500</v>
      </c>
      <c r="K58" s="5">
        <f t="shared" si="4"/>
        <v>0</v>
      </c>
      <c r="L58" s="5">
        <f t="shared" si="4"/>
        <v>0</v>
      </c>
      <c r="M58" s="5">
        <f t="shared" si="4"/>
        <v>5000</v>
      </c>
      <c r="N58" s="5">
        <f t="shared" si="4"/>
        <v>0</v>
      </c>
      <c r="O58" s="5">
        <f t="shared" si="4"/>
        <v>0</v>
      </c>
      <c r="P58" s="5">
        <f t="shared" si="4"/>
        <v>0</v>
      </c>
      <c r="Q58" s="5">
        <f t="shared" si="4"/>
        <v>0</v>
      </c>
      <c r="R58" s="5">
        <f t="shared" si="4"/>
        <v>5000</v>
      </c>
      <c r="S58" s="5">
        <f t="shared" si="4"/>
        <v>0</v>
      </c>
      <c r="T58" s="5">
        <f t="shared" si="4"/>
        <v>0</v>
      </c>
      <c r="U58" s="5">
        <f t="shared" si="4"/>
        <v>0</v>
      </c>
      <c r="V58" s="5">
        <f t="shared" si="4"/>
        <v>0</v>
      </c>
      <c r="W58" s="5">
        <f t="shared" si="4"/>
        <v>0</v>
      </c>
      <c r="X58" s="5">
        <f t="shared" si="4"/>
        <v>0</v>
      </c>
      <c r="Y58" s="5">
        <f t="shared" si="4"/>
        <v>0</v>
      </c>
      <c r="Z58" s="5">
        <f t="shared" si="4"/>
        <v>0</v>
      </c>
      <c r="AA58" s="5">
        <f t="shared" si="4"/>
        <v>0</v>
      </c>
      <c r="AB58" s="5">
        <f t="shared" si="4"/>
        <v>0</v>
      </c>
      <c r="AC58" s="5">
        <f t="shared" si="4"/>
        <v>0</v>
      </c>
    </row>
    <row r="59" spans="1:29" x14ac:dyDescent="0.55000000000000004">
      <c r="A59" s="2" t="s">
        <v>30</v>
      </c>
      <c r="B59">
        <v>3</v>
      </c>
      <c r="D59" s="5">
        <f t="shared" ref="D59:D65" si="5">HLOOKUP(D$57,$D$24:$AC$32,$B59,FALSE)</f>
        <v>0</v>
      </c>
      <c r="E59" s="5">
        <f t="shared" si="4"/>
        <v>0</v>
      </c>
      <c r="F59" s="5">
        <f t="shared" si="4"/>
        <v>5493</v>
      </c>
      <c r="G59" s="5">
        <f t="shared" si="4"/>
        <v>76320</v>
      </c>
      <c r="H59" s="5">
        <f t="shared" si="4"/>
        <v>15700</v>
      </c>
      <c r="I59" s="5">
        <f t="shared" si="4"/>
        <v>0</v>
      </c>
      <c r="J59" s="5">
        <f t="shared" si="4"/>
        <v>15398</v>
      </c>
      <c r="K59" s="5">
        <f t="shared" si="4"/>
        <v>0</v>
      </c>
      <c r="L59" s="5">
        <f t="shared" si="4"/>
        <v>0</v>
      </c>
      <c r="M59" s="5">
        <f t="shared" si="4"/>
        <v>101980</v>
      </c>
      <c r="N59" s="5">
        <f t="shared" si="4"/>
        <v>11590</v>
      </c>
      <c r="O59" s="5">
        <f t="shared" si="4"/>
        <v>9360</v>
      </c>
      <c r="P59" s="5">
        <f t="shared" si="4"/>
        <v>9500</v>
      </c>
      <c r="Q59" s="5">
        <f t="shared" si="4"/>
        <v>0</v>
      </c>
      <c r="R59" s="5">
        <f t="shared" si="4"/>
        <v>0</v>
      </c>
      <c r="S59" s="5">
        <f t="shared" si="4"/>
        <v>0</v>
      </c>
      <c r="T59" s="5">
        <f t="shared" si="4"/>
        <v>0</v>
      </c>
      <c r="U59" s="5">
        <f t="shared" si="4"/>
        <v>0</v>
      </c>
      <c r="V59" s="5">
        <f t="shared" si="4"/>
        <v>0</v>
      </c>
      <c r="W59" s="5">
        <f t="shared" si="4"/>
        <v>0</v>
      </c>
      <c r="X59" s="5">
        <f t="shared" si="4"/>
        <v>7500</v>
      </c>
      <c r="Y59" s="5">
        <f t="shared" si="4"/>
        <v>16000</v>
      </c>
      <c r="Z59" s="5">
        <f t="shared" si="4"/>
        <v>31000</v>
      </c>
      <c r="AA59" s="5">
        <f t="shared" si="4"/>
        <v>26435</v>
      </c>
      <c r="AB59" s="5">
        <f t="shared" si="4"/>
        <v>0</v>
      </c>
      <c r="AC59" s="5">
        <f t="shared" si="4"/>
        <v>0</v>
      </c>
    </row>
    <row r="60" spans="1:29" x14ac:dyDescent="0.55000000000000004">
      <c r="A60" s="2" t="s">
        <v>31</v>
      </c>
      <c r="B60">
        <v>4</v>
      </c>
      <c r="D60" s="5">
        <f t="shared" si="5"/>
        <v>0</v>
      </c>
      <c r="E60" s="5">
        <f t="shared" si="4"/>
        <v>0</v>
      </c>
      <c r="F60" s="5">
        <f t="shared" si="4"/>
        <v>0</v>
      </c>
      <c r="G60" s="5">
        <f t="shared" si="4"/>
        <v>87640</v>
      </c>
      <c r="H60" s="5">
        <f t="shared" si="4"/>
        <v>289700</v>
      </c>
      <c r="I60" s="5">
        <f t="shared" si="4"/>
        <v>0</v>
      </c>
      <c r="J60" s="5">
        <f t="shared" si="4"/>
        <v>0</v>
      </c>
      <c r="K60" s="5">
        <f t="shared" si="4"/>
        <v>0</v>
      </c>
      <c r="L60" s="5">
        <f t="shared" si="4"/>
        <v>0</v>
      </c>
      <c r="M60" s="5">
        <f t="shared" si="4"/>
        <v>0</v>
      </c>
      <c r="N60" s="5">
        <f t="shared" si="4"/>
        <v>45300</v>
      </c>
      <c r="O60" s="5">
        <f t="shared" si="4"/>
        <v>0</v>
      </c>
      <c r="P60" s="5">
        <f t="shared" si="4"/>
        <v>0</v>
      </c>
      <c r="Q60" s="5">
        <f t="shared" si="4"/>
        <v>0</v>
      </c>
      <c r="R60" s="5">
        <f t="shared" si="4"/>
        <v>0</v>
      </c>
      <c r="S60" s="5">
        <f t="shared" si="4"/>
        <v>9720</v>
      </c>
      <c r="T60" s="5">
        <f t="shared" si="4"/>
        <v>14700</v>
      </c>
      <c r="U60" s="5">
        <f t="shared" si="4"/>
        <v>0</v>
      </c>
      <c r="V60" s="5">
        <f t="shared" si="4"/>
        <v>0</v>
      </c>
      <c r="W60" s="5">
        <f t="shared" si="4"/>
        <v>54800</v>
      </c>
      <c r="X60" s="5">
        <f t="shared" si="4"/>
        <v>0</v>
      </c>
      <c r="Y60" s="5">
        <f t="shared" si="4"/>
        <v>0</v>
      </c>
      <c r="Z60" s="5">
        <f t="shared" si="4"/>
        <v>17100</v>
      </c>
      <c r="AA60" s="5">
        <f t="shared" si="4"/>
        <v>46494</v>
      </c>
      <c r="AB60" s="5">
        <f t="shared" si="4"/>
        <v>0</v>
      </c>
      <c r="AC60" s="5">
        <f t="shared" si="4"/>
        <v>0</v>
      </c>
    </row>
    <row r="61" spans="1:29" x14ac:dyDescent="0.55000000000000004">
      <c r="A61" s="2" t="s">
        <v>32</v>
      </c>
      <c r="B61">
        <v>5</v>
      </c>
      <c r="D61" s="5">
        <f t="shared" si="5"/>
        <v>47128</v>
      </c>
      <c r="E61" s="5">
        <f t="shared" si="4"/>
        <v>0</v>
      </c>
      <c r="F61" s="5">
        <f t="shared" si="4"/>
        <v>0</v>
      </c>
      <c r="G61" s="5">
        <f t="shared" si="4"/>
        <v>166269</v>
      </c>
      <c r="H61" s="5">
        <f t="shared" si="4"/>
        <v>48110</v>
      </c>
      <c r="I61" s="5">
        <f t="shared" si="4"/>
        <v>0</v>
      </c>
      <c r="J61" s="5">
        <f t="shared" si="4"/>
        <v>13456</v>
      </c>
      <c r="K61" s="5">
        <f t="shared" si="4"/>
        <v>22360</v>
      </c>
      <c r="L61" s="5">
        <f t="shared" si="4"/>
        <v>8000</v>
      </c>
      <c r="M61" s="5">
        <f t="shared" si="4"/>
        <v>74928</v>
      </c>
      <c r="N61" s="5">
        <f t="shared" si="4"/>
        <v>14610</v>
      </c>
      <c r="O61" s="5">
        <f t="shared" si="4"/>
        <v>5300</v>
      </c>
      <c r="P61" s="5">
        <f t="shared" si="4"/>
        <v>11665</v>
      </c>
      <c r="Q61" s="5">
        <f t="shared" si="4"/>
        <v>0</v>
      </c>
      <c r="R61" s="5">
        <f t="shared" si="4"/>
        <v>0</v>
      </c>
      <c r="S61" s="5">
        <f t="shared" si="4"/>
        <v>17480</v>
      </c>
      <c r="T61" s="5">
        <f t="shared" si="4"/>
        <v>25345</v>
      </c>
      <c r="U61" s="5">
        <f t="shared" si="4"/>
        <v>37791</v>
      </c>
      <c r="V61" s="5">
        <f t="shared" si="4"/>
        <v>8460</v>
      </c>
      <c r="W61" s="5">
        <f t="shared" si="4"/>
        <v>146288</v>
      </c>
      <c r="X61" s="5">
        <f t="shared" si="4"/>
        <v>118459</v>
      </c>
      <c r="Y61" s="5">
        <f t="shared" si="4"/>
        <v>0</v>
      </c>
      <c r="Z61" s="5">
        <f t="shared" si="4"/>
        <v>42898</v>
      </c>
      <c r="AA61" s="5">
        <f t="shared" si="4"/>
        <v>230837</v>
      </c>
      <c r="AB61" s="5">
        <f t="shared" si="4"/>
        <v>0</v>
      </c>
      <c r="AC61" s="5">
        <f t="shared" si="4"/>
        <v>104121</v>
      </c>
    </row>
    <row r="62" spans="1:29" x14ac:dyDescent="0.55000000000000004">
      <c r="A62" s="2" t="s">
        <v>33</v>
      </c>
      <c r="B62">
        <v>6</v>
      </c>
      <c r="D62" s="5">
        <f t="shared" si="5"/>
        <v>9096</v>
      </c>
      <c r="E62" s="5">
        <f t="shared" si="4"/>
        <v>4848</v>
      </c>
      <c r="F62" s="5">
        <f t="shared" si="4"/>
        <v>0</v>
      </c>
      <c r="G62" s="5">
        <f t="shared" si="4"/>
        <v>91800</v>
      </c>
      <c r="H62" s="5">
        <f t="shared" si="4"/>
        <v>128700</v>
      </c>
      <c r="I62" s="5">
        <f t="shared" si="4"/>
        <v>0</v>
      </c>
      <c r="J62" s="5">
        <f t="shared" si="4"/>
        <v>46965</v>
      </c>
      <c r="K62" s="5">
        <f t="shared" si="4"/>
        <v>0</v>
      </c>
      <c r="L62" s="5">
        <f t="shared" si="4"/>
        <v>50000</v>
      </c>
      <c r="M62" s="5">
        <f t="shared" si="4"/>
        <v>541350</v>
      </c>
      <c r="N62" s="5">
        <f t="shared" si="4"/>
        <v>0</v>
      </c>
      <c r="O62" s="5">
        <f t="shared" si="4"/>
        <v>57140</v>
      </c>
      <c r="P62" s="5">
        <f t="shared" si="4"/>
        <v>0</v>
      </c>
      <c r="Q62" s="5">
        <f t="shared" si="4"/>
        <v>0</v>
      </c>
      <c r="R62" s="5">
        <f t="shared" si="4"/>
        <v>0</v>
      </c>
      <c r="S62" s="5">
        <f t="shared" si="4"/>
        <v>22020</v>
      </c>
      <c r="T62" s="5">
        <f t="shared" si="4"/>
        <v>48110</v>
      </c>
      <c r="U62" s="5">
        <f t="shared" si="4"/>
        <v>123053</v>
      </c>
      <c r="V62" s="5">
        <f t="shared" si="4"/>
        <v>0</v>
      </c>
      <c r="W62" s="5">
        <f t="shared" si="4"/>
        <v>148788</v>
      </c>
      <c r="X62" s="5">
        <f t="shared" si="4"/>
        <v>0</v>
      </c>
      <c r="Y62" s="5">
        <f t="shared" si="4"/>
        <v>0</v>
      </c>
      <c r="Z62" s="5">
        <f t="shared" si="4"/>
        <v>216630</v>
      </c>
      <c r="AA62" s="5">
        <f t="shared" si="4"/>
        <v>145948</v>
      </c>
      <c r="AB62" s="5">
        <f t="shared" si="4"/>
        <v>0</v>
      </c>
      <c r="AC62" s="5">
        <f t="shared" si="4"/>
        <v>127670</v>
      </c>
    </row>
    <row r="63" spans="1:29" x14ac:dyDescent="0.55000000000000004">
      <c r="A63" s="2" t="s">
        <v>34</v>
      </c>
      <c r="B63">
        <v>7</v>
      </c>
      <c r="D63" s="5">
        <f t="shared" si="5"/>
        <v>4240</v>
      </c>
      <c r="E63" s="5">
        <f t="shared" si="4"/>
        <v>4400</v>
      </c>
      <c r="F63" s="5">
        <f t="shared" si="4"/>
        <v>0</v>
      </c>
      <c r="G63" s="5">
        <f t="shared" si="4"/>
        <v>358282</v>
      </c>
      <c r="H63" s="5">
        <f t="shared" si="4"/>
        <v>107027</v>
      </c>
      <c r="I63" s="5">
        <f t="shared" si="4"/>
        <v>53210</v>
      </c>
      <c r="J63" s="5">
        <f t="shared" si="4"/>
        <v>220208</v>
      </c>
      <c r="K63" s="5">
        <f t="shared" si="4"/>
        <v>55070</v>
      </c>
      <c r="L63" s="5">
        <f t="shared" si="4"/>
        <v>20020</v>
      </c>
      <c r="M63" s="5">
        <f t="shared" si="4"/>
        <v>0</v>
      </c>
      <c r="N63" s="5">
        <f t="shared" si="4"/>
        <v>13040</v>
      </c>
      <c r="O63" s="5">
        <f t="shared" si="4"/>
        <v>18400</v>
      </c>
      <c r="P63" s="5">
        <f t="shared" si="4"/>
        <v>0</v>
      </c>
      <c r="Q63" s="5">
        <f t="shared" si="4"/>
        <v>11570</v>
      </c>
      <c r="R63" s="5">
        <f t="shared" si="4"/>
        <v>6400</v>
      </c>
      <c r="S63" s="5">
        <f t="shared" si="4"/>
        <v>0</v>
      </c>
      <c r="T63" s="5">
        <f t="shared" si="4"/>
        <v>94909</v>
      </c>
      <c r="U63" s="5">
        <f t="shared" si="4"/>
        <v>17310</v>
      </c>
      <c r="V63" s="5">
        <f t="shared" si="4"/>
        <v>24900</v>
      </c>
      <c r="W63" s="5">
        <f t="shared" si="4"/>
        <v>83853</v>
      </c>
      <c r="X63" s="5">
        <f t="shared" si="4"/>
        <v>143250</v>
      </c>
      <c r="Y63" s="5">
        <f t="shared" si="4"/>
        <v>67800</v>
      </c>
      <c r="Z63" s="5">
        <f t="shared" si="4"/>
        <v>0</v>
      </c>
      <c r="AA63" s="5">
        <f t="shared" si="4"/>
        <v>91749</v>
      </c>
      <c r="AB63" s="5">
        <f t="shared" si="4"/>
        <v>45630</v>
      </c>
      <c r="AC63" s="5">
        <f t="shared" si="4"/>
        <v>57384</v>
      </c>
    </row>
    <row r="64" spans="1:29" x14ac:dyDescent="0.55000000000000004">
      <c r="A64" s="2" t="s">
        <v>35</v>
      </c>
      <c r="B64">
        <v>8</v>
      </c>
      <c r="D64" s="5">
        <f t="shared" si="5"/>
        <v>0</v>
      </c>
      <c r="E64" s="5">
        <f t="shared" si="4"/>
        <v>0</v>
      </c>
      <c r="F64" s="5">
        <f t="shared" si="4"/>
        <v>7610</v>
      </c>
      <c r="G64" s="5">
        <f t="shared" si="4"/>
        <v>24100</v>
      </c>
      <c r="H64" s="5">
        <f t="shared" si="4"/>
        <v>0</v>
      </c>
      <c r="I64" s="5">
        <f t="shared" si="4"/>
        <v>0</v>
      </c>
      <c r="J64" s="5">
        <f t="shared" si="4"/>
        <v>3625</v>
      </c>
      <c r="K64" s="5">
        <f t="shared" si="4"/>
        <v>0</v>
      </c>
      <c r="L64" s="5">
        <f t="shared" si="4"/>
        <v>0</v>
      </c>
      <c r="M64" s="5">
        <f t="shared" si="4"/>
        <v>0</v>
      </c>
      <c r="N64" s="5">
        <f t="shared" si="4"/>
        <v>6835</v>
      </c>
      <c r="O64" s="5">
        <f t="shared" si="4"/>
        <v>18530</v>
      </c>
      <c r="P64" s="5">
        <f t="shared" si="4"/>
        <v>0</v>
      </c>
      <c r="Q64" s="5">
        <f t="shared" si="4"/>
        <v>0</v>
      </c>
      <c r="R64" s="5">
        <f t="shared" si="4"/>
        <v>0</v>
      </c>
      <c r="S64" s="5">
        <f t="shared" si="4"/>
        <v>5000</v>
      </c>
      <c r="T64" s="5">
        <f t="shared" si="4"/>
        <v>0</v>
      </c>
      <c r="U64" s="5">
        <f t="shared" si="4"/>
        <v>4488</v>
      </c>
      <c r="V64" s="5">
        <f t="shared" si="4"/>
        <v>0</v>
      </c>
      <c r="W64" s="5">
        <f t="shared" si="4"/>
        <v>0</v>
      </c>
      <c r="X64" s="5">
        <f t="shared" si="4"/>
        <v>0</v>
      </c>
      <c r="Y64" s="5">
        <f t="shared" si="4"/>
        <v>0</v>
      </c>
      <c r="Z64" s="5">
        <f t="shared" si="4"/>
        <v>29290</v>
      </c>
      <c r="AA64" s="5">
        <f t="shared" si="4"/>
        <v>3735</v>
      </c>
      <c r="AB64" s="5">
        <f t="shared" si="4"/>
        <v>0</v>
      </c>
      <c r="AC64" s="5">
        <f t="shared" si="4"/>
        <v>0</v>
      </c>
    </row>
    <row r="65" spans="1:29" x14ac:dyDescent="0.55000000000000004">
      <c r="A65" s="2" t="s">
        <v>36</v>
      </c>
      <c r="B65">
        <v>9</v>
      </c>
      <c r="D65" s="5">
        <f t="shared" si="5"/>
        <v>0</v>
      </c>
      <c r="E65" s="5">
        <f t="shared" si="4"/>
        <v>0</v>
      </c>
      <c r="F65" s="5">
        <f t="shared" si="4"/>
        <v>0</v>
      </c>
      <c r="G65" s="5">
        <f t="shared" si="4"/>
        <v>0</v>
      </c>
      <c r="H65" s="5">
        <f t="shared" si="4"/>
        <v>0</v>
      </c>
      <c r="I65" s="5">
        <f t="shared" si="4"/>
        <v>0</v>
      </c>
      <c r="J65" s="5">
        <f t="shared" si="4"/>
        <v>0</v>
      </c>
      <c r="K65" s="5">
        <f t="shared" si="4"/>
        <v>0</v>
      </c>
      <c r="L65" s="5">
        <f t="shared" si="4"/>
        <v>0</v>
      </c>
      <c r="M65" s="5">
        <f t="shared" si="4"/>
        <v>0</v>
      </c>
      <c r="N65" s="5">
        <f t="shared" si="4"/>
        <v>0</v>
      </c>
      <c r="O65" s="5">
        <f t="shared" si="4"/>
        <v>0</v>
      </c>
      <c r="P65" s="5">
        <f t="shared" si="4"/>
        <v>0</v>
      </c>
      <c r="Q65" s="5">
        <f t="shared" si="4"/>
        <v>0</v>
      </c>
      <c r="R65" s="5">
        <f t="shared" si="4"/>
        <v>0</v>
      </c>
      <c r="S65" s="5">
        <f t="shared" si="4"/>
        <v>0</v>
      </c>
      <c r="T65" s="5">
        <f t="shared" si="4"/>
        <v>0</v>
      </c>
      <c r="U65" s="5">
        <f t="shared" si="4"/>
        <v>0</v>
      </c>
      <c r="V65" s="5">
        <f t="shared" si="4"/>
        <v>0</v>
      </c>
      <c r="W65" s="5">
        <f t="shared" si="4"/>
        <v>0</v>
      </c>
      <c r="X65" s="5">
        <f t="shared" si="4"/>
        <v>0</v>
      </c>
      <c r="Y65" s="5">
        <f t="shared" si="4"/>
        <v>0</v>
      </c>
      <c r="Z65" s="5">
        <f t="shared" si="4"/>
        <v>0</v>
      </c>
      <c r="AA65" s="5">
        <f t="shared" si="4"/>
        <v>0</v>
      </c>
      <c r="AB65" s="5">
        <f t="shared" si="4"/>
        <v>0</v>
      </c>
      <c r="AC65" s="5">
        <f t="shared" si="4"/>
        <v>0</v>
      </c>
    </row>
    <row r="66" spans="1:29" x14ac:dyDescent="0.55000000000000004"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 spans="1:29" x14ac:dyDescent="0.55000000000000004">
      <c r="C67" t="s">
        <v>42</v>
      </c>
      <c r="D67" s="5">
        <f>SUM(D39:D40,D50:D51,D61:D62)/1000</f>
        <v>6551.2460000000001</v>
      </c>
      <c r="E67" s="5">
        <f t="shared" ref="E67:AC67" si="6">SUM(E39:E40,E50:E51,E61:E62)/1000</f>
        <v>127.12</v>
      </c>
      <c r="F67" s="5">
        <f t="shared" si="6"/>
        <v>559.52700000000004</v>
      </c>
      <c r="G67" s="5">
        <f t="shared" si="6"/>
        <v>19994.788</v>
      </c>
      <c r="H67" s="5">
        <f t="shared" si="6"/>
        <v>7975.1170000000002</v>
      </c>
      <c r="I67" s="5">
        <f t="shared" si="6"/>
        <v>2458.8449999999998</v>
      </c>
      <c r="J67" s="5">
        <f t="shared" si="6"/>
        <v>9646.9639999999999</v>
      </c>
      <c r="K67" s="5">
        <f t="shared" si="6"/>
        <v>1778.74</v>
      </c>
      <c r="L67" s="5">
        <f t="shared" si="6"/>
        <v>619.41700000000003</v>
      </c>
      <c r="M67" s="5">
        <f t="shared" si="6"/>
        <v>3993.6010000000001</v>
      </c>
      <c r="N67" s="5">
        <f t="shared" si="6"/>
        <v>480.64100000000002</v>
      </c>
      <c r="O67" s="5">
        <f t="shared" si="6"/>
        <v>4636.6120000000001</v>
      </c>
      <c r="P67" s="5">
        <f t="shared" si="6"/>
        <v>1173.42</v>
      </c>
      <c r="Q67" s="5">
        <f t="shared" si="6"/>
        <v>190.05699999999999</v>
      </c>
      <c r="R67" s="5">
        <f t="shared" si="6"/>
        <v>111.12</v>
      </c>
      <c r="S67" s="5">
        <f t="shared" si="6"/>
        <v>4536.6707999999999</v>
      </c>
      <c r="T67" s="5">
        <f t="shared" si="6"/>
        <v>1473.65</v>
      </c>
      <c r="U67" s="5">
        <f t="shared" si="6"/>
        <v>4495.2629999999999</v>
      </c>
      <c r="V67" s="5">
        <f t="shared" si="6"/>
        <v>1386.931</v>
      </c>
      <c r="W67" s="5">
        <f t="shared" si="6"/>
        <v>5830.3940000000002</v>
      </c>
      <c r="X67" s="5">
        <f t="shared" si="6"/>
        <v>5648.8779999999997</v>
      </c>
      <c r="Y67" s="5">
        <f t="shared" si="6"/>
        <v>187</v>
      </c>
      <c r="Z67" s="5">
        <f t="shared" si="6"/>
        <v>5838.6679999999997</v>
      </c>
      <c r="AA67" s="5">
        <f t="shared" si="6"/>
        <v>6366.1379999999999</v>
      </c>
      <c r="AB67" s="5">
        <f t="shared" si="6"/>
        <v>328.81</v>
      </c>
      <c r="AC67" s="5">
        <f t="shared" si="6"/>
        <v>17608.056</v>
      </c>
    </row>
    <row r="68" spans="1:29" x14ac:dyDescent="0.55000000000000004">
      <c r="C68" t="s">
        <v>45</v>
      </c>
      <c r="D68" s="5">
        <f>SUM(D36:D37,D47:D48,D58:D59)/1000</f>
        <v>95.753</v>
      </c>
      <c r="E68" s="5">
        <f t="shared" ref="E68:AC68" si="7">SUM(E36:E37,E47:E48,E58:E59)/1000</f>
        <v>34.5</v>
      </c>
      <c r="F68" s="5">
        <f t="shared" si="7"/>
        <v>68.867999999999995</v>
      </c>
      <c r="G68" s="5">
        <f t="shared" si="7"/>
        <v>1942.877</v>
      </c>
      <c r="H68" s="5">
        <f t="shared" si="7"/>
        <v>323.88</v>
      </c>
      <c r="I68" s="5">
        <f t="shared" si="7"/>
        <v>74.44</v>
      </c>
      <c r="J68" s="5">
        <f t="shared" si="7"/>
        <v>492.71</v>
      </c>
      <c r="K68" s="5">
        <f t="shared" si="7"/>
        <v>0</v>
      </c>
      <c r="L68" s="5">
        <f t="shared" si="7"/>
        <v>96.07</v>
      </c>
      <c r="M68" s="5">
        <f t="shared" si="7"/>
        <v>986.93299999999999</v>
      </c>
      <c r="N68" s="5">
        <f t="shared" si="7"/>
        <v>432.46499999999997</v>
      </c>
      <c r="O68" s="5">
        <f t="shared" si="7"/>
        <v>248.756</v>
      </c>
      <c r="P68" s="5">
        <f t="shared" si="7"/>
        <v>375.4</v>
      </c>
      <c r="Q68" s="5">
        <f t="shared" si="7"/>
        <v>4.625</v>
      </c>
      <c r="R68" s="5">
        <f t="shared" si="7"/>
        <v>15</v>
      </c>
      <c r="S68" s="5">
        <f t="shared" si="7"/>
        <v>10</v>
      </c>
      <c r="T68" s="5">
        <f t="shared" si="7"/>
        <v>126.6</v>
      </c>
      <c r="U68" s="5">
        <f t="shared" si="7"/>
        <v>287.01600000000002</v>
      </c>
      <c r="V68" s="5">
        <f t="shared" si="7"/>
        <v>87.1</v>
      </c>
      <c r="W68" s="5">
        <f t="shared" si="7"/>
        <v>357.06</v>
      </c>
      <c r="X68" s="5">
        <f t="shared" si="7"/>
        <v>247.4</v>
      </c>
      <c r="Y68" s="5">
        <f t="shared" si="7"/>
        <v>46</v>
      </c>
      <c r="Z68" s="5">
        <f t="shared" si="7"/>
        <v>1644.2449999999999</v>
      </c>
      <c r="AA68" s="5">
        <f t="shared" si="7"/>
        <v>384.34100000000001</v>
      </c>
      <c r="AB68" s="5">
        <f t="shared" si="7"/>
        <v>4.45</v>
      </c>
      <c r="AC68" s="5">
        <f t="shared" si="7"/>
        <v>0</v>
      </c>
    </row>
    <row r="69" spans="1:29" x14ac:dyDescent="0.55000000000000004">
      <c r="C69" t="s">
        <v>35</v>
      </c>
      <c r="D69" s="5">
        <f>SUM(D42,D53,D64)/1000</f>
        <v>47.171999999999997</v>
      </c>
      <c r="E69" s="5">
        <f t="shared" ref="E69:AC69" si="8">SUM(E42,E53,E64)/1000</f>
        <v>12.664999999999999</v>
      </c>
      <c r="F69" s="5">
        <f t="shared" si="8"/>
        <v>55.048499999999997</v>
      </c>
      <c r="G69" s="5">
        <f t="shared" si="8"/>
        <v>333.5</v>
      </c>
      <c r="H69" s="5">
        <f t="shared" si="8"/>
        <v>158.77099999999999</v>
      </c>
      <c r="I69" s="5">
        <f t="shared" si="8"/>
        <v>83.144999999999996</v>
      </c>
      <c r="J69" s="5">
        <f t="shared" si="8"/>
        <v>109.31699999999999</v>
      </c>
      <c r="K69" s="5">
        <f t="shared" si="8"/>
        <v>199.56200000000001</v>
      </c>
      <c r="L69" s="5">
        <f t="shared" si="8"/>
        <v>18.393999999999998</v>
      </c>
      <c r="M69" s="5">
        <f t="shared" si="8"/>
        <v>236.06</v>
      </c>
      <c r="N69" s="5">
        <f t="shared" si="8"/>
        <v>40.164999999999999</v>
      </c>
      <c r="O69" s="5">
        <f t="shared" si="8"/>
        <v>203.0146</v>
      </c>
      <c r="P69" s="5">
        <f t="shared" si="8"/>
        <v>100.16</v>
      </c>
      <c r="Q69" s="5">
        <f t="shared" si="8"/>
        <v>10.972</v>
      </c>
      <c r="R69" s="5">
        <f t="shared" si="8"/>
        <v>0</v>
      </c>
      <c r="S69" s="5">
        <f t="shared" si="8"/>
        <v>80.5</v>
      </c>
      <c r="T69" s="5">
        <f t="shared" si="8"/>
        <v>0</v>
      </c>
      <c r="U69" s="5">
        <f t="shared" si="8"/>
        <v>84.694000000000003</v>
      </c>
      <c r="V69" s="5">
        <f t="shared" si="8"/>
        <v>18.178999999999998</v>
      </c>
      <c r="W69" s="5">
        <f t="shared" si="8"/>
        <v>51.667999999999999</v>
      </c>
      <c r="X69" s="5">
        <f t="shared" si="8"/>
        <v>102.038</v>
      </c>
      <c r="Y69" s="5">
        <f t="shared" si="8"/>
        <v>16</v>
      </c>
      <c r="Z69" s="5">
        <f t="shared" si="8"/>
        <v>1189.127</v>
      </c>
      <c r="AA69" s="5">
        <f t="shared" si="8"/>
        <v>64.057000000000002</v>
      </c>
      <c r="AB69" s="5">
        <f t="shared" si="8"/>
        <v>0</v>
      </c>
      <c r="AC69" s="5">
        <f t="shared" si="8"/>
        <v>6.8129999999999997</v>
      </c>
    </row>
    <row r="70" spans="1:29" x14ac:dyDescent="0.55000000000000004"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 spans="1:29" x14ac:dyDescent="0.55000000000000004">
      <c r="B71">
        <v>15</v>
      </c>
      <c r="C71" t="s">
        <v>56</v>
      </c>
      <c r="D71" s="5">
        <f>SUM(D39:D40)/1000</f>
        <v>5620.0640000000003</v>
      </c>
      <c r="E71" s="5">
        <f t="shared" ref="E71:AC71" si="9">SUM(E39:E40)/1000</f>
        <v>101.242</v>
      </c>
      <c r="F71" s="5">
        <f t="shared" si="9"/>
        <v>524.45699999999999</v>
      </c>
      <c r="G71" s="5">
        <f t="shared" si="9"/>
        <v>17199.088</v>
      </c>
      <c r="H71" s="5">
        <f t="shared" si="9"/>
        <v>7010.6049999999996</v>
      </c>
      <c r="I71" s="5">
        <f t="shared" si="9"/>
        <v>2023.71</v>
      </c>
      <c r="J71" s="5">
        <f t="shared" si="9"/>
        <v>8492.5280000000002</v>
      </c>
      <c r="K71" s="5">
        <f t="shared" si="9"/>
        <v>1701.62</v>
      </c>
      <c r="L71" s="5">
        <f t="shared" si="9"/>
        <v>473.31200000000001</v>
      </c>
      <c r="M71" s="5">
        <f t="shared" si="9"/>
        <v>2001.866</v>
      </c>
      <c r="N71" s="5">
        <f t="shared" si="9"/>
        <v>432.64499999999998</v>
      </c>
      <c r="O71" s="5">
        <f t="shared" si="9"/>
        <v>2662.0070000000001</v>
      </c>
      <c r="P71" s="5">
        <f t="shared" si="9"/>
        <v>1074.422</v>
      </c>
      <c r="Q71" s="5">
        <f t="shared" si="9"/>
        <v>87.397000000000006</v>
      </c>
      <c r="R71" s="5">
        <f t="shared" si="9"/>
        <v>51</v>
      </c>
      <c r="S71" s="5">
        <f t="shared" si="9"/>
        <v>4016.7828</v>
      </c>
      <c r="T71" s="5">
        <f t="shared" si="9"/>
        <v>1111.5999999999999</v>
      </c>
      <c r="U71" s="5">
        <f t="shared" si="9"/>
        <v>3831.17</v>
      </c>
      <c r="V71" s="5">
        <f t="shared" si="9"/>
        <v>918.17700000000002</v>
      </c>
      <c r="W71" s="5">
        <f t="shared" si="9"/>
        <v>4637.6000000000004</v>
      </c>
      <c r="X71" s="5">
        <f t="shared" si="9"/>
        <v>4829.326</v>
      </c>
      <c r="Y71" s="5">
        <f t="shared" si="9"/>
        <v>152</v>
      </c>
      <c r="Z71" s="5">
        <f t="shared" si="9"/>
        <v>5032.866</v>
      </c>
      <c r="AA71" s="5">
        <f t="shared" si="9"/>
        <v>4690.5110000000004</v>
      </c>
      <c r="AB71" s="5">
        <f t="shared" si="9"/>
        <v>211.36</v>
      </c>
      <c r="AC71" s="5">
        <f t="shared" si="9"/>
        <v>13363.682000000001</v>
      </c>
    </row>
    <row r="72" spans="1:29" x14ac:dyDescent="0.55000000000000004">
      <c r="B72">
        <v>16</v>
      </c>
      <c r="C72" t="s">
        <v>58</v>
      </c>
      <c r="D72" s="5">
        <f>SUM(D50:D51)/1000</f>
        <v>874.95799999999997</v>
      </c>
      <c r="E72" s="5">
        <f t="shared" ref="E72:AC72" si="10">SUM(E50:E51)/1000</f>
        <v>21.03</v>
      </c>
      <c r="F72" s="5">
        <f t="shared" si="10"/>
        <v>35.07</v>
      </c>
      <c r="G72" s="5">
        <f t="shared" si="10"/>
        <v>2537.6309999999999</v>
      </c>
      <c r="H72" s="5">
        <f t="shared" si="10"/>
        <v>787.702</v>
      </c>
      <c r="I72" s="5">
        <f t="shared" si="10"/>
        <v>435.13499999999999</v>
      </c>
      <c r="J72" s="5">
        <f t="shared" si="10"/>
        <v>1094.0150000000001</v>
      </c>
      <c r="K72" s="5">
        <f t="shared" si="10"/>
        <v>54.76</v>
      </c>
      <c r="L72" s="5">
        <f t="shared" si="10"/>
        <v>88.105000000000004</v>
      </c>
      <c r="M72" s="5">
        <f t="shared" si="10"/>
        <v>1375.4570000000001</v>
      </c>
      <c r="N72" s="5">
        <f t="shared" si="10"/>
        <v>33.386000000000003</v>
      </c>
      <c r="O72" s="5">
        <f t="shared" si="10"/>
        <v>1912.165</v>
      </c>
      <c r="P72" s="5">
        <f t="shared" si="10"/>
        <v>87.332999999999998</v>
      </c>
      <c r="Q72" s="5">
        <f t="shared" si="10"/>
        <v>102.66</v>
      </c>
      <c r="R72" s="5">
        <f t="shared" si="10"/>
        <v>60.12</v>
      </c>
      <c r="S72" s="5">
        <f t="shared" si="10"/>
        <v>480.38799999999998</v>
      </c>
      <c r="T72" s="5">
        <f t="shared" si="10"/>
        <v>288.59500000000003</v>
      </c>
      <c r="U72" s="5">
        <f t="shared" si="10"/>
        <v>503.24900000000002</v>
      </c>
      <c r="V72" s="5">
        <f t="shared" si="10"/>
        <v>460.29399999999998</v>
      </c>
      <c r="W72" s="5">
        <f t="shared" si="10"/>
        <v>897.71799999999996</v>
      </c>
      <c r="X72" s="5">
        <f t="shared" si="10"/>
        <v>701.09299999999996</v>
      </c>
      <c r="Y72" s="5">
        <f t="shared" si="10"/>
        <v>35</v>
      </c>
      <c r="Z72" s="5">
        <f t="shared" si="10"/>
        <v>546.274</v>
      </c>
      <c r="AA72" s="5">
        <f t="shared" si="10"/>
        <v>1298.8420000000001</v>
      </c>
      <c r="AB72" s="5">
        <f t="shared" si="10"/>
        <v>117.45</v>
      </c>
      <c r="AC72" s="5">
        <f t="shared" si="10"/>
        <v>4012.5830000000001</v>
      </c>
    </row>
    <row r="73" spans="1:29" x14ac:dyDescent="0.55000000000000004">
      <c r="B73">
        <v>17</v>
      </c>
      <c r="C73" t="s">
        <v>57</v>
      </c>
      <c r="D73" s="5">
        <f>SUM(D61:D62)/1000</f>
        <v>56.223999999999997</v>
      </c>
      <c r="E73" s="5">
        <f t="shared" ref="E73:AC73" si="11">SUM(E61:E62)/1000</f>
        <v>4.8479999999999999</v>
      </c>
      <c r="F73" s="5">
        <f t="shared" si="11"/>
        <v>0</v>
      </c>
      <c r="G73" s="5">
        <f t="shared" si="11"/>
        <v>258.06900000000002</v>
      </c>
      <c r="H73" s="5">
        <f t="shared" si="11"/>
        <v>176.81</v>
      </c>
      <c r="I73" s="5">
        <f t="shared" si="11"/>
        <v>0</v>
      </c>
      <c r="J73" s="5">
        <f t="shared" si="11"/>
        <v>60.420999999999999</v>
      </c>
      <c r="K73" s="5">
        <f t="shared" si="11"/>
        <v>22.36</v>
      </c>
      <c r="L73" s="5">
        <f t="shared" si="11"/>
        <v>58</v>
      </c>
      <c r="M73" s="5">
        <f t="shared" si="11"/>
        <v>616.27800000000002</v>
      </c>
      <c r="N73" s="5">
        <f t="shared" si="11"/>
        <v>14.61</v>
      </c>
      <c r="O73" s="5">
        <f t="shared" si="11"/>
        <v>62.44</v>
      </c>
      <c r="P73" s="5">
        <f t="shared" si="11"/>
        <v>11.664999999999999</v>
      </c>
      <c r="Q73" s="5">
        <f t="shared" si="11"/>
        <v>0</v>
      </c>
      <c r="R73" s="5">
        <f t="shared" si="11"/>
        <v>0</v>
      </c>
      <c r="S73" s="5">
        <f t="shared" si="11"/>
        <v>39.5</v>
      </c>
      <c r="T73" s="5">
        <f t="shared" si="11"/>
        <v>73.454999999999998</v>
      </c>
      <c r="U73" s="5">
        <f t="shared" si="11"/>
        <v>160.84399999999999</v>
      </c>
      <c r="V73" s="5">
        <f t="shared" si="11"/>
        <v>8.4600000000000009</v>
      </c>
      <c r="W73" s="5">
        <f t="shared" si="11"/>
        <v>295.07600000000002</v>
      </c>
      <c r="X73" s="5">
        <f t="shared" si="11"/>
        <v>118.459</v>
      </c>
      <c r="Y73" s="5">
        <f t="shared" si="11"/>
        <v>0</v>
      </c>
      <c r="Z73" s="5">
        <f t="shared" si="11"/>
        <v>259.52800000000002</v>
      </c>
      <c r="AA73" s="5">
        <f t="shared" si="11"/>
        <v>376.78500000000003</v>
      </c>
      <c r="AB73" s="5">
        <f t="shared" si="11"/>
        <v>0</v>
      </c>
      <c r="AC73" s="5">
        <f t="shared" si="11"/>
        <v>231.791</v>
      </c>
    </row>
    <row r="74" spans="1:29" x14ac:dyDescent="0.55000000000000004"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 spans="1:29" x14ac:dyDescent="0.55000000000000004">
      <c r="C75" t="s">
        <v>43</v>
      </c>
      <c r="D75" s="5">
        <f>SUM(D36:D43,D47:D54,D58:D65)/1000</f>
        <v>6827.7889999999998</v>
      </c>
      <c r="E75" s="5">
        <f t="shared" ref="E75:AC75" si="12">SUM(E36:E43,E47:E54,E58:E65)/1000</f>
        <v>212.393</v>
      </c>
      <c r="F75" s="5">
        <f t="shared" si="12"/>
        <v>761.94349999999997</v>
      </c>
      <c r="G75" s="5">
        <f t="shared" si="12"/>
        <v>25802.67</v>
      </c>
      <c r="H75" s="5">
        <f t="shared" si="12"/>
        <v>9543.0849999999991</v>
      </c>
      <c r="I75" s="5">
        <f t="shared" si="12"/>
        <v>4020.5990000000002</v>
      </c>
      <c r="J75" s="5">
        <f t="shared" si="12"/>
        <v>11557.663</v>
      </c>
      <c r="K75" s="5">
        <f t="shared" si="12"/>
        <v>2033.3720000000001</v>
      </c>
      <c r="L75" s="5">
        <f t="shared" si="12"/>
        <v>779.94100000000003</v>
      </c>
      <c r="M75" s="5">
        <f t="shared" si="12"/>
        <v>5790.7820000000002</v>
      </c>
      <c r="N75" s="5">
        <f t="shared" si="12"/>
        <v>1032.1300000000001</v>
      </c>
      <c r="O75" s="5">
        <f t="shared" si="12"/>
        <v>5484.3645999999999</v>
      </c>
      <c r="P75" s="5">
        <f t="shared" si="12"/>
        <v>1674.567</v>
      </c>
      <c r="Q75" s="5">
        <f t="shared" si="12"/>
        <v>261.38799999999998</v>
      </c>
      <c r="R75" s="5">
        <f t="shared" si="12"/>
        <v>264.52</v>
      </c>
      <c r="S75" s="5">
        <f t="shared" si="12"/>
        <v>4701.6307999999999</v>
      </c>
      <c r="T75" s="5">
        <f t="shared" si="12"/>
        <v>2360.36</v>
      </c>
      <c r="U75" s="5">
        <f t="shared" si="12"/>
        <v>5132.3850000000002</v>
      </c>
      <c r="V75" s="5">
        <f t="shared" si="12"/>
        <v>2210.2759999999998</v>
      </c>
      <c r="W75" s="5">
        <f t="shared" si="12"/>
        <v>6869.2190000000001</v>
      </c>
      <c r="X75" s="5">
        <f t="shared" si="12"/>
        <v>6317.9160000000002</v>
      </c>
      <c r="Y75" s="5">
        <f t="shared" si="12"/>
        <v>506.25299999999999</v>
      </c>
      <c r="Z75" s="5">
        <f t="shared" si="12"/>
        <v>9005.7939999999999</v>
      </c>
      <c r="AA75" s="5">
        <f t="shared" si="12"/>
        <v>7536.24</v>
      </c>
      <c r="AB75" s="5">
        <f t="shared" si="12"/>
        <v>403.69</v>
      </c>
      <c r="AC75" s="5">
        <f t="shared" si="12"/>
        <v>18032.073</v>
      </c>
    </row>
    <row r="77" spans="1:29" x14ac:dyDescent="0.55000000000000004">
      <c r="A77" s="9" t="s">
        <v>46</v>
      </c>
      <c r="B77" s="9" t="s">
        <v>47</v>
      </c>
      <c r="C77" s="6" t="s">
        <v>1</v>
      </c>
      <c r="D77" s="6" t="s">
        <v>2</v>
      </c>
      <c r="E77" s="6" t="s">
        <v>3</v>
      </c>
      <c r="F77" s="6" t="s">
        <v>4</v>
      </c>
      <c r="G77" s="6" t="s">
        <v>5</v>
      </c>
      <c r="H77" s="6" t="s">
        <v>6</v>
      </c>
      <c r="I77" s="6" t="s">
        <v>7</v>
      </c>
      <c r="J77" s="6" t="s">
        <v>8</v>
      </c>
      <c r="K77" s="6" t="s">
        <v>9</v>
      </c>
      <c r="L77" s="6" t="s">
        <v>10</v>
      </c>
      <c r="M77" s="6" t="s">
        <v>11</v>
      </c>
      <c r="N77" s="6" t="s">
        <v>12</v>
      </c>
      <c r="O77" s="6" t="s">
        <v>13</v>
      </c>
      <c r="P77" s="6" t="s">
        <v>14</v>
      </c>
      <c r="Q77" s="6" t="s">
        <v>15</v>
      </c>
      <c r="R77" s="6" t="s">
        <v>16</v>
      </c>
      <c r="S77" s="6" t="s">
        <v>17</v>
      </c>
      <c r="T77" s="6" t="s">
        <v>18</v>
      </c>
      <c r="U77" s="6" t="s">
        <v>19</v>
      </c>
      <c r="V77" s="6" t="s">
        <v>20</v>
      </c>
      <c r="W77" s="6" t="s">
        <v>21</v>
      </c>
      <c r="X77" s="6" t="s">
        <v>22</v>
      </c>
      <c r="Y77" s="6" t="s">
        <v>23</v>
      </c>
      <c r="Z77" s="6" t="s">
        <v>24</v>
      </c>
      <c r="AA77" s="6" t="s">
        <v>25</v>
      </c>
      <c r="AB77" s="6" t="s">
        <v>26</v>
      </c>
      <c r="AC77" s="6" t="s">
        <v>27</v>
      </c>
    </row>
    <row r="78" spans="1:29" x14ac:dyDescent="0.55000000000000004">
      <c r="A78" s="2" t="s">
        <v>48</v>
      </c>
      <c r="B78" s="10" t="s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</row>
    <row r="79" spans="1:29" x14ac:dyDescent="0.55000000000000004">
      <c r="A79" s="2" t="s">
        <v>49</v>
      </c>
      <c r="B79" s="10" t="s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</row>
    <row r="80" spans="1:29" x14ac:dyDescent="0.55000000000000004">
      <c r="A80" s="2" t="s">
        <v>50</v>
      </c>
      <c r="B80" s="10" t="s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</row>
    <row r="81" spans="1:29" x14ac:dyDescent="0.55000000000000004">
      <c r="A81" s="2" t="s">
        <v>51</v>
      </c>
      <c r="B81" s="10" t="s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</row>
    <row r="82" spans="1:29" x14ac:dyDescent="0.55000000000000004">
      <c r="A82" s="2" t="s">
        <v>52</v>
      </c>
      <c r="B82" s="10" t="s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</row>
    <row r="83" spans="1:29" x14ac:dyDescent="0.55000000000000004">
      <c r="A83" s="2" t="s">
        <v>53</v>
      </c>
      <c r="B83" s="10" t="s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</row>
    <row r="84" spans="1:29" x14ac:dyDescent="0.55000000000000004">
      <c r="A84" s="2" t="s">
        <v>32</v>
      </c>
      <c r="B84" s="10" t="s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</row>
    <row r="85" spans="1:29" x14ac:dyDescent="0.55000000000000004">
      <c r="A85" s="2" t="s">
        <v>33</v>
      </c>
      <c r="B85" s="10" t="s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</row>
    <row r="86" spans="1:29" x14ac:dyDescent="0.55000000000000004">
      <c r="A86" s="8" t="s">
        <v>35</v>
      </c>
      <c r="B86" s="10" t="s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</row>
    <row r="87" spans="1:29" x14ac:dyDescent="0.55000000000000004">
      <c r="A87" s="8" t="s">
        <v>35</v>
      </c>
      <c r="B87" s="10" t="s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</row>
    <row r="88" spans="1:29" x14ac:dyDescent="0.55000000000000004">
      <c r="A88" s="8" t="s">
        <v>35</v>
      </c>
      <c r="B88" s="10" t="s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</row>
    <row r="89" spans="1:29" x14ac:dyDescent="0.55000000000000004">
      <c r="A89" s="2" t="s">
        <v>36</v>
      </c>
      <c r="B89" s="10" t="s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</row>
    <row r="90" spans="1:29" x14ac:dyDescent="0.55000000000000004">
      <c r="A90" s="8" t="s">
        <v>54</v>
      </c>
      <c r="B90" s="10" t="s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</row>
    <row r="93" spans="1:29" x14ac:dyDescent="0.55000000000000004">
      <c r="A93" s="1" t="s">
        <v>28</v>
      </c>
      <c r="B93" s="1" t="s">
        <v>41</v>
      </c>
      <c r="D93" s="4" t="s">
        <v>20</v>
      </c>
      <c r="E93" s="4" t="s">
        <v>17</v>
      </c>
      <c r="F93" s="4" t="s">
        <v>16</v>
      </c>
      <c r="G93" s="4" t="s">
        <v>3</v>
      </c>
      <c r="H93" s="4" t="s">
        <v>14</v>
      </c>
      <c r="I93" s="4" t="s">
        <v>13</v>
      </c>
      <c r="J93" s="4" t="s">
        <v>11</v>
      </c>
      <c r="K93" s="4" t="s">
        <v>26</v>
      </c>
      <c r="L93" s="4" t="s">
        <v>9</v>
      </c>
      <c r="M93" s="4" t="s">
        <v>19</v>
      </c>
      <c r="N93" s="4" t="s">
        <v>27</v>
      </c>
      <c r="O93" s="4" t="s">
        <v>4</v>
      </c>
      <c r="P93" s="4" t="s">
        <v>25</v>
      </c>
      <c r="Q93" s="4" t="s">
        <v>8</v>
      </c>
      <c r="R93" s="4" t="s">
        <v>7</v>
      </c>
      <c r="S93" s="4" t="s">
        <v>18</v>
      </c>
      <c r="T93" s="4" t="s">
        <v>15</v>
      </c>
      <c r="U93" s="4" t="s">
        <v>12</v>
      </c>
      <c r="V93" s="4" t="s">
        <v>6</v>
      </c>
      <c r="W93" s="4" t="s">
        <v>21</v>
      </c>
      <c r="X93" s="4" t="s">
        <v>22</v>
      </c>
      <c r="Y93" s="4" t="s">
        <v>5</v>
      </c>
      <c r="Z93" s="4" t="s">
        <v>23</v>
      </c>
      <c r="AA93" s="4" t="s">
        <v>24</v>
      </c>
      <c r="AB93" s="4" t="s">
        <v>10</v>
      </c>
      <c r="AC93" s="4" t="s">
        <v>2</v>
      </c>
    </row>
    <row r="94" spans="1:29" x14ac:dyDescent="0.55000000000000004">
      <c r="A94" s="2" t="s">
        <v>48</v>
      </c>
      <c r="B94">
        <v>2</v>
      </c>
      <c r="D94" s="7">
        <f>HLOOKUP(D$93,$D$77:$AC$90,$B94,FALSE)</f>
        <v>0</v>
      </c>
      <c r="E94" s="7">
        <f t="shared" ref="E94:AC104" si="13">HLOOKUP(E$93,$D$77:$AC$90,$B94,FALSE)</f>
        <v>0</v>
      </c>
      <c r="F94" s="7">
        <f t="shared" si="13"/>
        <v>0</v>
      </c>
      <c r="G94" s="7">
        <f t="shared" si="13"/>
        <v>0</v>
      </c>
      <c r="H94" s="7">
        <f t="shared" si="13"/>
        <v>0</v>
      </c>
      <c r="I94" s="7">
        <f t="shared" si="13"/>
        <v>0</v>
      </c>
      <c r="J94" s="7">
        <f t="shared" si="13"/>
        <v>0</v>
      </c>
      <c r="K94" s="7">
        <f t="shared" si="13"/>
        <v>0</v>
      </c>
      <c r="L94" s="7">
        <f t="shared" si="13"/>
        <v>0</v>
      </c>
      <c r="M94" s="7">
        <f t="shared" si="13"/>
        <v>0</v>
      </c>
      <c r="N94" s="7">
        <f t="shared" si="13"/>
        <v>0</v>
      </c>
      <c r="O94" s="7">
        <f t="shared" si="13"/>
        <v>0</v>
      </c>
      <c r="P94" s="7">
        <f t="shared" si="13"/>
        <v>0</v>
      </c>
      <c r="Q94" s="7">
        <f t="shared" si="13"/>
        <v>0</v>
      </c>
      <c r="R94" s="7">
        <f t="shared" si="13"/>
        <v>0</v>
      </c>
      <c r="S94" s="7">
        <f t="shared" si="13"/>
        <v>0</v>
      </c>
      <c r="T94" s="7">
        <f t="shared" si="13"/>
        <v>0</v>
      </c>
      <c r="U94" s="7">
        <f t="shared" si="13"/>
        <v>0</v>
      </c>
      <c r="V94" s="7">
        <f t="shared" si="13"/>
        <v>0</v>
      </c>
      <c r="W94" s="7">
        <f t="shared" si="13"/>
        <v>0</v>
      </c>
      <c r="X94" s="7">
        <f t="shared" si="13"/>
        <v>0</v>
      </c>
      <c r="Y94" s="7">
        <f t="shared" si="13"/>
        <v>0</v>
      </c>
      <c r="Z94" s="7">
        <f t="shared" si="13"/>
        <v>0</v>
      </c>
      <c r="AA94" s="7">
        <f t="shared" si="13"/>
        <v>0</v>
      </c>
      <c r="AB94" s="7">
        <f t="shared" si="13"/>
        <v>0</v>
      </c>
      <c r="AC94" s="7">
        <f t="shared" si="13"/>
        <v>0</v>
      </c>
    </row>
    <row r="95" spans="1:29" x14ac:dyDescent="0.55000000000000004">
      <c r="A95" s="2" t="s">
        <v>49</v>
      </c>
      <c r="B95">
        <v>3</v>
      </c>
      <c r="D95" s="7">
        <f t="shared" ref="D95:S106" si="14">HLOOKUP(D$93,$D$77:$AC$90,$B95,FALSE)</f>
        <v>0</v>
      </c>
      <c r="E95" s="7">
        <f t="shared" si="14"/>
        <v>0</v>
      </c>
      <c r="F95" s="7">
        <f t="shared" si="14"/>
        <v>0</v>
      </c>
      <c r="G95" s="7">
        <f t="shared" si="14"/>
        <v>0</v>
      </c>
      <c r="H95" s="7">
        <f t="shared" si="14"/>
        <v>0</v>
      </c>
      <c r="I95" s="7">
        <f t="shared" si="14"/>
        <v>0</v>
      </c>
      <c r="J95" s="7">
        <f t="shared" si="14"/>
        <v>0</v>
      </c>
      <c r="K95" s="7">
        <f t="shared" si="14"/>
        <v>0</v>
      </c>
      <c r="L95" s="7">
        <f t="shared" si="14"/>
        <v>0</v>
      </c>
      <c r="M95" s="7">
        <f t="shared" si="14"/>
        <v>0</v>
      </c>
      <c r="N95" s="7">
        <f t="shared" si="14"/>
        <v>0</v>
      </c>
      <c r="O95" s="7">
        <f t="shared" si="14"/>
        <v>0</v>
      </c>
      <c r="P95" s="7">
        <f t="shared" si="14"/>
        <v>0</v>
      </c>
      <c r="Q95" s="7">
        <f t="shared" si="14"/>
        <v>0</v>
      </c>
      <c r="R95" s="7">
        <f t="shared" si="14"/>
        <v>0</v>
      </c>
      <c r="S95" s="7">
        <f t="shared" si="14"/>
        <v>0</v>
      </c>
      <c r="T95" s="7">
        <f t="shared" si="13"/>
        <v>0</v>
      </c>
      <c r="U95" s="7">
        <f t="shared" si="13"/>
        <v>0</v>
      </c>
      <c r="V95" s="7">
        <f t="shared" si="13"/>
        <v>0</v>
      </c>
      <c r="W95" s="7">
        <f t="shared" si="13"/>
        <v>0</v>
      </c>
      <c r="X95" s="7">
        <f t="shared" si="13"/>
        <v>0</v>
      </c>
      <c r="Y95" s="7">
        <f t="shared" si="13"/>
        <v>0</v>
      </c>
      <c r="Z95" s="7">
        <f t="shared" si="13"/>
        <v>0</v>
      </c>
      <c r="AA95" s="7">
        <f t="shared" si="13"/>
        <v>0</v>
      </c>
      <c r="AB95" s="7">
        <f t="shared" si="13"/>
        <v>0</v>
      </c>
      <c r="AC95" s="7">
        <f t="shared" si="13"/>
        <v>0</v>
      </c>
    </row>
    <row r="96" spans="1:29" x14ac:dyDescent="0.55000000000000004">
      <c r="A96" s="2" t="s">
        <v>50</v>
      </c>
      <c r="B96">
        <v>4</v>
      </c>
      <c r="D96" s="7">
        <f t="shared" si="14"/>
        <v>0</v>
      </c>
      <c r="E96" s="7">
        <f t="shared" si="13"/>
        <v>0</v>
      </c>
      <c r="F96" s="7">
        <f t="shared" si="13"/>
        <v>0</v>
      </c>
      <c r="G96" s="7">
        <f t="shared" si="13"/>
        <v>0</v>
      </c>
      <c r="H96" s="7">
        <f t="shared" si="13"/>
        <v>0</v>
      </c>
      <c r="I96" s="7">
        <f t="shared" si="13"/>
        <v>0</v>
      </c>
      <c r="J96" s="7">
        <f t="shared" si="13"/>
        <v>0</v>
      </c>
      <c r="K96" s="7">
        <f t="shared" si="13"/>
        <v>0</v>
      </c>
      <c r="L96" s="7">
        <f t="shared" si="13"/>
        <v>0</v>
      </c>
      <c r="M96" s="7">
        <f t="shared" si="13"/>
        <v>0</v>
      </c>
      <c r="N96" s="7">
        <f t="shared" si="13"/>
        <v>0</v>
      </c>
      <c r="O96" s="7">
        <f t="shared" si="13"/>
        <v>0</v>
      </c>
      <c r="P96" s="7">
        <f t="shared" si="13"/>
        <v>0</v>
      </c>
      <c r="Q96" s="7">
        <f t="shared" si="13"/>
        <v>0</v>
      </c>
      <c r="R96" s="7">
        <f t="shared" si="13"/>
        <v>0</v>
      </c>
      <c r="S96" s="7">
        <f t="shared" si="13"/>
        <v>0</v>
      </c>
      <c r="T96" s="7">
        <f t="shared" si="13"/>
        <v>0</v>
      </c>
      <c r="U96" s="7">
        <f t="shared" si="13"/>
        <v>0</v>
      </c>
      <c r="V96" s="7">
        <f t="shared" si="13"/>
        <v>0</v>
      </c>
      <c r="W96" s="7">
        <f t="shared" si="13"/>
        <v>0</v>
      </c>
      <c r="X96" s="7">
        <f t="shared" si="13"/>
        <v>0</v>
      </c>
      <c r="Y96" s="7">
        <f t="shared" si="13"/>
        <v>0</v>
      </c>
      <c r="Z96" s="7">
        <f t="shared" si="13"/>
        <v>0</v>
      </c>
      <c r="AA96" s="7">
        <f t="shared" si="13"/>
        <v>0</v>
      </c>
      <c r="AB96" s="7">
        <f t="shared" si="13"/>
        <v>0</v>
      </c>
      <c r="AC96" s="7">
        <f t="shared" si="13"/>
        <v>0</v>
      </c>
    </row>
    <row r="97" spans="1:29" x14ac:dyDescent="0.55000000000000004">
      <c r="A97" s="2" t="s">
        <v>51</v>
      </c>
      <c r="B97">
        <v>5</v>
      </c>
      <c r="D97" s="7">
        <f t="shared" si="14"/>
        <v>0</v>
      </c>
      <c r="E97" s="7">
        <f t="shared" si="13"/>
        <v>0</v>
      </c>
      <c r="F97" s="7">
        <f t="shared" si="13"/>
        <v>0</v>
      </c>
      <c r="G97" s="7">
        <f t="shared" si="13"/>
        <v>0</v>
      </c>
      <c r="H97" s="7">
        <f t="shared" si="13"/>
        <v>0</v>
      </c>
      <c r="I97" s="7">
        <f t="shared" si="13"/>
        <v>0</v>
      </c>
      <c r="J97" s="7">
        <f t="shared" si="13"/>
        <v>0</v>
      </c>
      <c r="K97" s="7">
        <f t="shared" si="13"/>
        <v>0</v>
      </c>
      <c r="L97" s="7">
        <f t="shared" si="13"/>
        <v>0</v>
      </c>
      <c r="M97" s="7">
        <f t="shared" si="13"/>
        <v>0</v>
      </c>
      <c r="N97" s="7">
        <f t="shared" si="13"/>
        <v>0</v>
      </c>
      <c r="O97" s="7">
        <f t="shared" si="13"/>
        <v>0</v>
      </c>
      <c r="P97" s="7">
        <f t="shared" si="13"/>
        <v>0</v>
      </c>
      <c r="Q97" s="7">
        <f t="shared" si="13"/>
        <v>0</v>
      </c>
      <c r="R97" s="7">
        <f t="shared" si="13"/>
        <v>0</v>
      </c>
      <c r="S97" s="7">
        <f t="shared" si="13"/>
        <v>0</v>
      </c>
      <c r="T97" s="7">
        <f t="shared" si="13"/>
        <v>0</v>
      </c>
      <c r="U97" s="7">
        <f t="shared" si="13"/>
        <v>0</v>
      </c>
      <c r="V97" s="7">
        <f t="shared" si="13"/>
        <v>0</v>
      </c>
      <c r="W97" s="7">
        <f t="shared" si="13"/>
        <v>0</v>
      </c>
      <c r="X97" s="7">
        <f t="shared" si="13"/>
        <v>0</v>
      </c>
      <c r="Y97" s="7">
        <f t="shared" si="13"/>
        <v>0</v>
      </c>
      <c r="Z97" s="7">
        <f t="shared" si="13"/>
        <v>0</v>
      </c>
      <c r="AA97" s="7">
        <f t="shared" si="13"/>
        <v>0</v>
      </c>
      <c r="AB97" s="7">
        <f t="shared" si="13"/>
        <v>0</v>
      </c>
      <c r="AC97" s="7">
        <f t="shared" si="13"/>
        <v>0</v>
      </c>
    </row>
    <row r="98" spans="1:29" x14ac:dyDescent="0.55000000000000004">
      <c r="A98" s="2" t="s">
        <v>52</v>
      </c>
      <c r="B98">
        <v>6</v>
      </c>
      <c r="D98" s="7">
        <f t="shared" si="14"/>
        <v>0</v>
      </c>
      <c r="E98" s="7">
        <f t="shared" si="13"/>
        <v>0</v>
      </c>
      <c r="F98" s="7">
        <f t="shared" si="13"/>
        <v>0</v>
      </c>
      <c r="G98" s="7">
        <f t="shared" si="13"/>
        <v>0</v>
      </c>
      <c r="H98" s="7">
        <f t="shared" si="13"/>
        <v>0</v>
      </c>
      <c r="I98" s="7">
        <f t="shared" si="13"/>
        <v>0</v>
      </c>
      <c r="J98" s="7">
        <f t="shared" si="13"/>
        <v>0</v>
      </c>
      <c r="K98" s="7">
        <f t="shared" si="13"/>
        <v>0</v>
      </c>
      <c r="L98" s="7">
        <f t="shared" si="13"/>
        <v>0</v>
      </c>
      <c r="M98" s="7">
        <f t="shared" si="13"/>
        <v>0</v>
      </c>
      <c r="N98" s="7">
        <f t="shared" si="13"/>
        <v>0</v>
      </c>
      <c r="O98" s="7">
        <f t="shared" si="13"/>
        <v>0</v>
      </c>
      <c r="P98" s="7">
        <f t="shared" si="13"/>
        <v>0</v>
      </c>
      <c r="Q98" s="7">
        <f t="shared" si="13"/>
        <v>0</v>
      </c>
      <c r="R98" s="7">
        <f t="shared" si="13"/>
        <v>0</v>
      </c>
      <c r="S98" s="7">
        <f t="shared" si="13"/>
        <v>0</v>
      </c>
      <c r="T98" s="7">
        <f t="shared" si="13"/>
        <v>0</v>
      </c>
      <c r="U98" s="7">
        <f t="shared" si="13"/>
        <v>0</v>
      </c>
      <c r="V98" s="7">
        <f t="shared" si="13"/>
        <v>0</v>
      </c>
      <c r="W98" s="7">
        <f t="shared" si="13"/>
        <v>0</v>
      </c>
      <c r="X98" s="7">
        <f t="shared" si="13"/>
        <v>0</v>
      </c>
      <c r="Y98" s="7">
        <f t="shared" si="13"/>
        <v>0</v>
      </c>
      <c r="Z98" s="7">
        <f t="shared" si="13"/>
        <v>0</v>
      </c>
      <c r="AA98" s="7">
        <f t="shared" si="13"/>
        <v>0</v>
      </c>
      <c r="AB98" s="7">
        <f t="shared" si="13"/>
        <v>0</v>
      </c>
      <c r="AC98" s="7">
        <f t="shared" si="13"/>
        <v>0</v>
      </c>
    </row>
    <row r="99" spans="1:29" x14ac:dyDescent="0.55000000000000004">
      <c r="A99" s="2" t="s">
        <v>53</v>
      </c>
      <c r="B99">
        <v>7</v>
      </c>
      <c r="D99" s="7">
        <f t="shared" si="14"/>
        <v>0</v>
      </c>
      <c r="E99" s="7">
        <f t="shared" si="13"/>
        <v>0</v>
      </c>
      <c r="F99" s="7">
        <f t="shared" si="13"/>
        <v>0</v>
      </c>
      <c r="G99" s="7">
        <f t="shared" si="13"/>
        <v>0</v>
      </c>
      <c r="H99" s="7">
        <f t="shared" si="13"/>
        <v>0</v>
      </c>
      <c r="I99" s="7">
        <f t="shared" si="13"/>
        <v>0</v>
      </c>
      <c r="J99" s="7">
        <f t="shared" si="13"/>
        <v>0</v>
      </c>
      <c r="K99" s="7">
        <f t="shared" si="13"/>
        <v>0</v>
      </c>
      <c r="L99" s="7">
        <f t="shared" si="13"/>
        <v>0</v>
      </c>
      <c r="M99" s="7">
        <f t="shared" si="13"/>
        <v>0</v>
      </c>
      <c r="N99" s="7">
        <f t="shared" si="13"/>
        <v>0</v>
      </c>
      <c r="O99" s="7">
        <f t="shared" si="13"/>
        <v>0</v>
      </c>
      <c r="P99" s="7">
        <f t="shared" si="13"/>
        <v>0</v>
      </c>
      <c r="Q99" s="7">
        <f t="shared" si="13"/>
        <v>0</v>
      </c>
      <c r="R99" s="7">
        <f t="shared" si="13"/>
        <v>0</v>
      </c>
      <c r="S99" s="7">
        <f t="shared" si="13"/>
        <v>0</v>
      </c>
      <c r="T99" s="7">
        <f t="shared" si="13"/>
        <v>0</v>
      </c>
      <c r="U99" s="7">
        <f t="shared" si="13"/>
        <v>0</v>
      </c>
      <c r="V99" s="7">
        <f t="shared" si="13"/>
        <v>0</v>
      </c>
      <c r="W99" s="7">
        <f t="shared" si="13"/>
        <v>0</v>
      </c>
      <c r="X99" s="7">
        <f t="shared" si="13"/>
        <v>0</v>
      </c>
      <c r="Y99" s="7">
        <f t="shared" si="13"/>
        <v>0</v>
      </c>
      <c r="Z99" s="7">
        <f t="shared" si="13"/>
        <v>0</v>
      </c>
      <c r="AA99" s="7">
        <f t="shared" si="13"/>
        <v>0</v>
      </c>
      <c r="AB99" s="7">
        <f t="shared" si="13"/>
        <v>0</v>
      </c>
      <c r="AC99" s="7">
        <f t="shared" si="13"/>
        <v>0</v>
      </c>
    </row>
    <row r="100" spans="1:29" x14ac:dyDescent="0.55000000000000004">
      <c r="A100" s="2" t="s">
        <v>32</v>
      </c>
      <c r="B100">
        <v>8</v>
      </c>
      <c r="D100" s="7">
        <f t="shared" si="14"/>
        <v>0</v>
      </c>
      <c r="E100" s="7">
        <f t="shared" si="13"/>
        <v>0</v>
      </c>
      <c r="F100" s="7">
        <f t="shared" si="13"/>
        <v>0</v>
      </c>
      <c r="G100" s="7">
        <f t="shared" si="13"/>
        <v>0</v>
      </c>
      <c r="H100" s="7">
        <f t="shared" si="13"/>
        <v>0</v>
      </c>
      <c r="I100" s="7">
        <f t="shared" si="13"/>
        <v>0</v>
      </c>
      <c r="J100" s="7">
        <f t="shared" si="13"/>
        <v>0</v>
      </c>
      <c r="K100" s="7">
        <f t="shared" si="13"/>
        <v>0</v>
      </c>
      <c r="L100" s="7">
        <f t="shared" si="13"/>
        <v>0</v>
      </c>
      <c r="M100" s="7">
        <f t="shared" si="13"/>
        <v>0</v>
      </c>
      <c r="N100" s="7">
        <f t="shared" si="13"/>
        <v>0</v>
      </c>
      <c r="O100" s="7">
        <f t="shared" si="13"/>
        <v>0</v>
      </c>
      <c r="P100" s="7">
        <f t="shared" si="13"/>
        <v>0</v>
      </c>
      <c r="Q100" s="7">
        <f t="shared" si="13"/>
        <v>0</v>
      </c>
      <c r="R100" s="7">
        <f t="shared" si="13"/>
        <v>0</v>
      </c>
      <c r="S100" s="7">
        <f t="shared" si="13"/>
        <v>0</v>
      </c>
      <c r="T100" s="7">
        <f t="shared" si="13"/>
        <v>0</v>
      </c>
      <c r="U100" s="7">
        <f t="shared" si="13"/>
        <v>0</v>
      </c>
      <c r="V100" s="7">
        <f t="shared" si="13"/>
        <v>0</v>
      </c>
      <c r="W100" s="7">
        <f t="shared" si="13"/>
        <v>0</v>
      </c>
      <c r="X100" s="7">
        <f t="shared" si="13"/>
        <v>0</v>
      </c>
      <c r="Y100" s="7">
        <f t="shared" si="13"/>
        <v>0</v>
      </c>
      <c r="Z100" s="7">
        <f t="shared" si="13"/>
        <v>0</v>
      </c>
      <c r="AA100" s="7">
        <f t="shared" si="13"/>
        <v>0</v>
      </c>
      <c r="AB100" s="7">
        <f t="shared" si="13"/>
        <v>0</v>
      </c>
      <c r="AC100" s="7">
        <f t="shared" si="13"/>
        <v>0</v>
      </c>
    </row>
    <row r="101" spans="1:29" x14ac:dyDescent="0.55000000000000004">
      <c r="A101" s="2" t="s">
        <v>33</v>
      </c>
      <c r="B101">
        <v>9</v>
      </c>
      <c r="D101" s="7">
        <f t="shared" si="14"/>
        <v>0</v>
      </c>
      <c r="E101" s="7">
        <f t="shared" si="13"/>
        <v>0</v>
      </c>
      <c r="F101" s="7">
        <f t="shared" si="13"/>
        <v>0</v>
      </c>
      <c r="G101" s="7">
        <f t="shared" si="13"/>
        <v>0</v>
      </c>
      <c r="H101" s="7">
        <f t="shared" si="13"/>
        <v>0</v>
      </c>
      <c r="I101" s="7">
        <f t="shared" si="13"/>
        <v>0</v>
      </c>
      <c r="J101" s="7">
        <f t="shared" si="13"/>
        <v>0</v>
      </c>
      <c r="K101" s="7">
        <f t="shared" si="13"/>
        <v>0</v>
      </c>
      <c r="L101" s="7">
        <f t="shared" si="13"/>
        <v>0</v>
      </c>
      <c r="M101" s="7">
        <f t="shared" si="13"/>
        <v>0</v>
      </c>
      <c r="N101" s="7">
        <f t="shared" si="13"/>
        <v>0</v>
      </c>
      <c r="O101" s="7">
        <f t="shared" si="13"/>
        <v>0</v>
      </c>
      <c r="P101" s="7">
        <f t="shared" si="13"/>
        <v>0</v>
      </c>
      <c r="Q101" s="7">
        <f t="shared" si="13"/>
        <v>0</v>
      </c>
      <c r="R101" s="7">
        <f t="shared" si="13"/>
        <v>0</v>
      </c>
      <c r="S101" s="7">
        <f t="shared" si="13"/>
        <v>0</v>
      </c>
      <c r="T101" s="7">
        <f t="shared" si="13"/>
        <v>0</v>
      </c>
      <c r="U101" s="7">
        <f t="shared" si="13"/>
        <v>0</v>
      </c>
      <c r="V101" s="7">
        <f t="shared" si="13"/>
        <v>0</v>
      </c>
      <c r="W101" s="7">
        <f t="shared" si="13"/>
        <v>0</v>
      </c>
      <c r="X101" s="7">
        <f t="shared" si="13"/>
        <v>0</v>
      </c>
      <c r="Y101" s="7">
        <f t="shared" si="13"/>
        <v>0</v>
      </c>
      <c r="Z101" s="7">
        <f t="shared" si="13"/>
        <v>0</v>
      </c>
      <c r="AA101" s="7">
        <f t="shared" si="13"/>
        <v>0</v>
      </c>
      <c r="AB101" s="7">
        <f t="shared" si="13"/>
        <v>0</v>
      </c>
      <c r="AC101" s="7">
        <f t="shared" si="13"/>
        <v>0</v>
      </c>
    </row>
    <row r="102" spans="1:29" x14ac:dyDescent="0.55000000000000004">
      <c r="A102" s="8" t="s">
        <v>35</v>
      </c>
      <c r="B102">
        <v>10</v>
      </c>
      <c r="D102" s="7">
        <f t="shared" si="14"/>
        <v>0</v>
      </c>
      <c r="E102" s="7">
        <f t="shared" si="13"/>
        <v>0</v>
      </c>
      <c r="F102" s="7">
        <f t="shared" si="13"/>
        <v>0</v>
      </c>
      <c r="G102" s="7">
        <f t="shared" si="13"/>
        <v>0</v>
      </c>
      <c r="H102" s="7">
        <f t="shared" si="13"/>
        <v>0</v>
      </c>
      <c r="I102" s="7">
        <f t="shared" si="13"/>
        <v>0</v>
      </c>
      <c r="J102" s="7">
        <f t="shared" si="13"/>
        <v>0</v>
      </c>
      <c r="K102" s="7">
        <f t="shared" si="13"/>
        <v>0</v>
      </c>
      <c r="L102" s="7">
        <f t="shared" si="13"/>
        <v>0</v>
      </c>
      <c r="M102" s="7">
        <f t="shared" si="13"/>
        <v>0</v>
      </c>
      <c r="N102" s="7">
        <f t="shared" si="13"/>
        <v>0</v>
      </c>
      <c r="O102" s="7">
        <f t="shared" si="13"/>
        <v>0</v>
      </c>
      <c r="P102" s="7">
        <f t="shared" si="13"/>
        <v>0</v>
      </c>
      <c r="Q102" s="7">
        <f t="shared" si="13"/>
        <v>0</v>
      </c>
      <c r="R102" s="7">
        <f t="shared" si="13"/>
        <v>0</v>
      </c>
      <c r="S102" s="7">
        <f t="shared" si="13"/>
        <v>0</v>
      </c>
      <c r="T102" s="7">
        <f t="shared" si="13"/>
        <v>0</v>
      </c>
      <c r="U102" s="7">
        <f t="shared" si="13"/>
        <v>0</v>
      </c>
      <c r="V102" s="7">
        <f t="shared" si="13"/>
        <v>0</v>
      </c>
      <c r="W102" s="7">
        <f t="shared" si="13"/>
        <v>0</v>
      </c>
      <c r="X102" s="7">
        <f t="shared" si="13"/>
        <v>0</v>
      </c>
      <c r="Y102" s="7">
        <f t="shared" si="13"/>
        <v>0</v>
      </c>
      <c r="Z102" s="7">
        <f t="shared" si="13"/>
        <v>0</v>
      </c>
      <c r="AA102" s="7">
        <f t="shared" si="13"/>
        <v>0</v>
      </c>
      <c r="AB102" s="7">
        <f t="shared" si="13"/>
        <v>0</v>
      </c>
      <c r="AC102" s="7">
        <f t="shared" si="13"/>
        <v>0</v>
      </c>
    </row>
    <row r="103" spans="1:29" x14ac:dyDescent="0.55000000000000004">
      <c r="A103" s="8" t="s">
        <v>35</v>
      </c>
      <c r="B103">
        <v>11</v>
      </c>
      <c r="D103" s="7">
        <f t="shared" si="14"/>
        <v>0</v>
      </c>
      <c r="E103" s="7">
        <f t="shared" si="13"/>
        <v>0</v>
      </c>
      <c r="F103" s="7">
        <f t="shared" si="13"/>
        <v>0</v>
      </c>
      <c r="G103" s="7">
        <f t="shared" si="13"/>
        <v>0</v>
      </c>
      <c r="H103" s="7">
        <f t="shared" si="13"/>
        <v>0</v>
      </c>
      <c r="I103" s="7">
        <f t="shared" si="13"/>
        <v>0</v>
      </c>
      <c r="J103" s="7">
        <f t="shared" si="13"/>
        <v>0</v>
      </c>
      <c r="K103" s="7">
        <f t="shared" si="13"/>
        <v>0</v>
      </c>
      <c r="L103" s="7">
        <f t="shared" si="13"/>
        <v>0</v>
      </c>
      <c r="M103" s="7">
        <f t="shared" si="13"/>
        <v>0</v>
      </c>
      <c r="N103" s="7">
        <f t="shared" si="13"/>
        <v>0</v>
      </c>
      <c r="O103" s="7">
        <f t="shared" si="13"/>
        <v>0</v>
      </c>
      <c r="P103" s="7">
        <f t="shared" si="13"/>
        <v>0</v>
      </c>
      <c r="Q103" s="7">
        <f t="shared" si="13"/>
        <v>0</v>
      </c>
      <c r="R103" s="7">
        <f t="shared" si="13"/>
        <v>0</v>
      </c>
      <c r="S103" s="7">
        <f t="shared" si="13"/>
        <v>0</v>
      </c>
      <c r="T103" s="7">
        <f t="shared" si="13"/>
        <v>0</v>
      </c>
      <c r="U103" s="7">
        <f t="shared" si="13"/>
        <v>0</v>
      </c>
      <c r="V103" s="7">
        <f t="shared" si="13"/>
        <v>0</v>
      </c>
      <c r="W103" s="7">
        <f t="shared" si="13"/>
        <v>0</v>
      </c>
      <c r="X103" s="7">
        <f t="shared" si="13"/>
        <v>0</v>
      </c>
      <c r="Y103" s="7">
        <f t="shared" si="13"/>
        <v>0</v>
      </c>
      <c r="Z103" s="7">
        <f t="shared" si="13"/>
        <v>0</v>
      </c>
      <c r="AA103" s="7">
        <f t="shared" si="13"/>
        <v>0</v>
      </c>
      <c r="AB103" s="7">
        <f t="shared" si="13"/>
        <v>0</v>
      </c>
      <c r="AC103" s="7">
        <f t="shared" si="13"/>
        <v>0</v>
      </c>
    </row>
    <row r="104" spans="1:29" x14ac:dyDescent="0.55000000000000004">
      <c r="A104" s="8" t="s">
        <v>35</v>
      </c>
      <c r="B104">
        <v>12</v>
      </c>
      <c r="D104" s="7">
        <f t="shared" si="14"/>
        <v>0</v>
      </c>
      <c r="E104" s="7">
        <f t="shared" si="13"/>
        <v>0</v>
      </c>
      <c r="F104" s="7">
        <f t="shared" si="13"/>
        <v>0</v>
      </c>
      <c r="G104" s="7">
        <f t="shared" si="13"/>
        <v>0</v>
      </c>
      <c r="H104" s="7">
        <f t="shared" si="13"/>
        <v>0</v>
      </c>
      <c r="I104" s="7">
        <f t="shared" si="13"/>
        <v>0</v>
      </c>
      <c r="J104" s="7">
        <f t="shared" si="13"/>
        <v>0</v>
      </c>
      <c r="K104" s="7">
        <f t="shared" si="13"/>
        <v>0</v>
      </c>
      <c r="L104" s="7">
        <f t="shared" si="13"/>
        <v>0</v>
      </c>
      <c r="M104" s="7">
        <f t="shared" si="13"/>
        <v>0</v>
      </c>
      <c r="N104" s="7">
        <f t="shared" si="13"/>
        <v>0</v>
      </c>
      <c r="O104" s="7">
        <f t="shared" si="13"/>
        <v>0</v>
      </c>
      <c r="P104" s="7">
        <f t="shared" si="13"/>
        <v>0</v>
      </c>
      <c r="Q104" s="7">
        <f t="shared" si="13"/>
        <v>0</v>
      </c>
      <c r="R104" s="7">
        <f t="shared" si="13"/>
        <v>0</v>
      </c>
      <c r="S104" s="7">
        <f t="shared" si="13"/>
        <v>0</v>
      </c>
      <c r="T104" s="7">
        <f t="shared" si="13"/>
        <v>0</v>
      </c>
      <c r="U104" s="7">
        <f t="shared" si="13"/>
        <v>0</v>
      </c>
      <c r="V104" s="7">
        <f t="shared" si="13"/>
        <v>0</v>
      </c>
      <c r="W104" s="7">
        <f t="shared" si="13"/>
        <v>0</v>
      </c>
      <c r="X104" s="7">
        <f t="shared" si="13"/>
        <v>0</v>
      </c>
      <c r="Y104" s="7">
        <f t="shared" ref="Y104:AC104" si="15">HLOOKUP(Y$93,$D$77:$AC$90,$B104,FALSE)</f>
        <v>0</v>
      </c>
      <c r="Z104" s="7">
        <f t="shared" si="15"/>
        <v>0</v>
      </c>
      <c r="AA104" s="7">
        <f t="shared" si="15"/>
        <v>0</v>
      </c>
      <c r="AB104" s="7">
        <f t="shared" si="15"/>
        <v>0</v>
      </c>
      <c r="AC104" s="7">
        <f t="shared" si="15"/>
        <v>0</v>
      </c>
    </row>
    <row r="105" spans="1:29" x14ac:dyDescent="0.55000000000000004">
      <c r="A105" s="2" t="s">
        <v>36</v>
      </c>
      <c r="B105">
        <v>13</v>
      </c>
      <c r="D105" s="7">
        <f t="shared" si="14"/>
        <v>0</v>
      </c>
      <c r="E105" s="7">
        <f t="shared" si="14"/>
        <v>0</v>
      </c>
      <c r="F105" s="7">
        <f t="shared" si="14"/>
        <v>0</v>
      </c>
      <c r="G105" s="7">
        <f t="shared" si="14"/>
        <v>0</v>
      </c>
      <c r="H105" s="7">
        <f t="shared" si="14"/>
        <v>0</v>
      </c>
      <c r="I105" s="7">
        <f t="shared" si="14"/>
        <v>0</v>
      </c>
      <c r="J105" s="7">
        <f t="shared" si="14"/>
        <v>0</v>
      </c>
      <c r="K105" s="7">
        <f t="shared" si="14"/>
        <v>0</v>
      </c>
      <c r="L105" s="7">
        <f t="shared" si="14"/>
        <v>0</v>
      </c>
      <c r="M105" s="7">
        <f t="shared" si="14"/>
        <v>0</v>
      </c>
      <c r="N105" s="7">
        <f t="shared" si="14"/>
        <v>0</v>
      </c>
      <c r="O105" s="7">
        <f t="shared" si="14"/>
        <v>0</v>
      </c>
      <c r="P105" s="7">
        <f t="shared" si="14"/>
        <v>0</v>
      </c>
      <c r="Q105" s="7">
        <f t="shared" si="14"/>
        <v>0</v>
      </c>
      <c r="R105" s="7">
        <f t="shared" si="14"/>
        <v>0</v>
      </c>
      <c r="S105" s="7">
        <f t="shared" si="14"/>
        <v>0</v>
      </c>
      <c r="T105" s="7">
        <f t="shared" ref="T105:AC106" si="16">HLOOKUP(T$93,$D$77:$AC$90,$B105,FALSE)</f>
        <v>0</v>
      </c>
      <c r="U105" s="7">
        <f t="shared" si="16"/>
        <v>0</v>
      </c>
      <c r="V105" s="7">
        <f t="shared" si="16"/>
        <v>0</v>
      </c>
      <c r="W105" s="7">
        <f t="shared" si="16"/>
        <v>0</v>
      </c>
      <c r="X105" s="7">
        <f t="shared" si="16"/>
        <v>0</v>
      </c>
      <c r="Y105" s="7">
        <f t="shared" si="16"/>
        <v>0</v>
      </c>
      <c r="Z105" s="7">
        <f t="shared" si="16"/>
        <v>0</v>
      </c>
      <c r="AA105" s="7">
        <f t="shared" si="16"/>
        <v>0</v>
      </c>
      <c r="AB105" s="7">
        <f t="shared" si="16"/>
        <v>0</v>
      </c>
      <c r="AC105" s="7">
        <f t="shared" si="16"/>
        <v>0</v>
      </c>
    </row>
    <row r="106" spans="1:29" x14ac:dyDescent="0.55000000000000004">
      <c r="A106" s="8" t="s">
        <v>54</v>
      </c>
      <c r="B106">
        <v>14</v>
      </c>
      <c r="D106" s="7">
        <f t="shared" si="14"/>
        <v>0</v>
      </c>
      <c r="E106" s="7">
        <f t="shared" si="14"/>
        <v>0</v>
      </c>
      <c r="F106" s="7">
        <f t="shared" si="14"/>
        <v>0</v>
      </c>
      <c r="G106" s="7">
        <f t="shared" si="14"/>
        <v>0</v>
      </c>
      <c r="H106" s="7">
        <f t="shared" si="14"/>
        <v>0</v>
      </c>
      <c r="I106" s="7">
        <f t="shared" si="14"/>
        <v>0</v>
      </c>
      <c r="J106" s="7">
        <f t="shared" si="14"/>
        <v>0</v>
      </c>
      <c r="K106" s="7">
        <f t="shared" si="14"/>
        <v>0</v>
      </c>
      <c r="L106" s="7">
        <f t="shared" si="14"/>
        <v>0</v>
      </c>
      <c r="M106" s="7">
        <f t="shared" si="14"/>
        <v>0</v>
      </c>
      <c r="N106" s="7">
        <f t="shared" si="14"/>
        <v>0</v>
      </c>
      <c r="O106" s="7">
        <f t="shared" si="14"/>
        <v>0</v>
      </c>
      <c r="P106" s="7">
        <f t="shared" si="14"/>
        <v>0</v>
      </c>
      <c r="Q106" s="7">
        <f t="shared" si="14"/>
        <v>0</v>
      </c>
      <c r="R106" s="7">
        <f t="shared" si="14"/>
        <v>0</v>
      </c>
      <c r="S106" s="7">
        <f t="shared" si="14"/>
        <v>0</v>
      </c>
      <c r="T106" s="7">
        <f t="shared" si="16"/>
        <v>0</v>
      </c>
      <c r="U106" s="7">
        <f t="shared" si="16"/>
        <v>0</v>
      </c>
      <c r="V106" s="7">
        <f t="shared" si="16"/>
        <v>0</v>
      </c>
      <c r="W106" s="7">
        <f t="shared" si="16"/>
        <v>0</v>
      </c>
      <c r="X106" s="7">
        <f t="shared" si="16"/>
        <v>0</v>
      </c>
      <c r="Y106" s="7">
        <f t="shared" si="16"/>
        <v>0</v>
      </c>
      <c r="Z106" s="7">
        <f t="shared" si="16"/>
        <v>0</v>
      </c>
      <c r="AA106" s="7">
        <f t="shared" si="16"/>
        <v>0</v>
      </c>
      <c r="AB106" s="7">
        <f t="shared" si="16"/>
        <v>0</v>
      </c>
      <c r="AC106" s="7">
        <f t="shared" si="16"/>
        <v>0</v>
      </c>
    </row>
    <row r="108" spans="1:29" x14ac:dyDescent="0.55000000000000004">
      <c r="C108" t="s">
        <v>42</v>
      </c>
      <c r="D108" s="7">
        <f>SUM(D100:D101)/1000</f>
        <v>0</v>
      </c>
      <c r="E108" s="7">
        <f t="shared" ref="E108:AC108" si="17">SUM(E100:E101)/1000</f>
        <v>0</v>
      </c>
      <c r="F108" s="7">
        <f t="shared" si="17"/>
        <v>0</v>
      </c>
      <c r="G108" s="7">
        <f t="shared" si="17"/>
        <v>0</v>
      </c>
      <c r="H108" s="7">
        <f t="shared" si="17"/>
        <v>0</v>
      </c>
      <c r="I108" s="7">
        <f t="shared" si="17"/>
        <v>0</v>
      </c>
      <c r="J108" s="7">
        <f t="shared" si="17"/>
        <v>0</v>
      </c>
      <c r="K108" s="7">
        <f t="shared" si="17"/>
        <v>0</v>
      </c>
      <c r="L108" s="7">
        <f t="shared" si="17"/>
        <v>0</v>
      </c>
      <c r="M108" s="7">
        <f t="shared" si="17"/>
        <v>0</v>
      </c>
      <c r="N108" s="7">
        <f t="shared" si="17"/>
        <v>0</v>
      </c>
      <c r="O108" s="7">
        <f t="shared" si="17"/>
        <v>0</v>
      </c>
      <c r="P108" s="7">
        <f t="shared" si="17"/>
        <v>0</v>
      </c>
      <c r="Q108" s="7">
        <f t="shared" si="17"/>
        <v>0</v>
      </c>
      <c r="R108" s="7">
        <f t="shared" si="17"/>
        <v>0</v>
      </c>
      <c r="S108" s="7">
        <f t="shared" si="17"/>
        <v>0</v>
      </c>
      <c r="T108" s="7">
        <f t="shared" si="17"/>
        <v>0</v>
      </c>
      <c r="U108" s="7">
        <f t="shared" si="17"/>
        <v>0</v>
      </c>
      <c r="V108" s="7">
        <f t="shared" si="17"/>
        <v>0</v>
      </c>
      <c r="W108" s="7">
        <f t="shared" si="17"/>
        <v>0</v>
      </c>
      <c r="X108" s="7">
        <f t="shared" si="17"/>
        <v>0</v>
      </c>
      <c r="Y108" s="7">
        <f t="shared" si="17"/>
        <v>0</v>
      </c>
      <c r="Z108" s="7">
        <f t="shared" si="17"/>
        <v>0</v>
      </c>
      <c r="AA108" s="7">
        <f t="shared" si="17"/>
        <v>0</v>
      </c>
      <c r="AB108" s="7">
        <f t="shared" si="17"/>
        <v>0</v>
      </c>
      <c r="AC108" s="7">
        <f t="shared" si="17"/>
        <v>0</v>
      </c>
    </row>
    <row r="109" spans="1:29" x14ac:dyDescent="0.55000000000000004">
      <c r="C109" t="s">
        <v>45</v>
      </c>
      <c r="D109" s="7">
        <f>SUM(D94:D97)/1000</f>
        <v>0</v>
      </c>
      <c r="E109" s="7">
        <f t="shared" ref="E109:AC109" si="18">SUM(E94:E97)/1000</f>
        <v>0</v>
      </c>
      <c r="F109" s="7">
        <f t="shared" si="18"/>
        <v>0</v>
      </c>
      <c r="G109" s="7">
        <f t="shared" si="18"/>
        <v>0</v>
      </c>
      <c r="H109" s="7">
        <f t="shared" si="18"/>
        <v>0</v>
      </c>
      <c r="I109" s="7">
        <f t="shared" si="18"/>
        <v>0</v>
      </c>
      <c r="J109" s="7">
        <f t="shared" si="18"/>
        <v>0</v>
      </c>
      <c r="K109" s="7">
        <f t="shared" si="18"/>
        <v>0</v>
      </c>
      <c r="L109" s="7">
        <f t="shared" si="18"/>
        <v>0</v>
      </c>
      <c r="M109" s="7">
        <f t="shared" si="18"/>
        <v>0</v>
      </c>
      <c r="N109" s="7">
        <f t="shared" si="18"/>
        <v>0</v>
      </c>
      <c r="O109" s="7">
        <f t="shared" si="18"/>
        <v>0</v>
      </c>
      <c r="P109" s="7">
        <f t="shared" si="18"/>
        <v>0</v>
      </c>
      <c r="Q109" s="7">
        <f t="shared" si="18"/>
        <v>0</v>
      </c>
      <c r="R109" s="7">
        <f t="shared" si="18"/>
        <v>0</v>
      </c>
      <c r="S109" s="7">
        <f t="shared" si="18"/>
        <v>0</v>
      </c>
      <c r="T109" s="7">
        <f t="shared" si="18"/>
        <v>0</v>
      </c>
      <c r="U109" s="7">
        <f t="shared" si="18"/>
        <v>0</v>
      </c>
      <c r="V109" s="7">
        <f t="shared" si="18"/>
        <v>0</v>
      </c>
      <c r="W109" s="7">
        <f t="shared" si="18"/>
        <v>0</v>
      </c>
      <c r="X109" s="7">
        <f t="shared" si="18"/>
        <v>0</v>
      </c>
      <c r="Y109" s="7">
        <f t="shared" si="18"/>
        <v>0</v>
      </c>
      <c r="Z109" s="7">
        <f t="shared" si="18"/>
        <v>0</v>
      </c>
      <c r="AA109" s="7">
        <f t="shared" si="18"/>
        <v>0</v>
      </c>
      <c r="AB109" s="7">
        <f t="shared" si="18"/>
        <v>0</v>
      </c>
      <c r="AC109" s="7">
        <f t="shared" si="18"/>
        <v>0</v>
      </c>
    </row>
    <row r="110" spans="1:29" x14ac:dyDescent="0.55000000000000004">
      <c r="C110" t="s">
        <v>35</v>
      </c>
      <c r="D110" s="7">
        <f>SUM(D102:D104)/1000</f>
        <v>0</v>
      </c>
      <c r="E110" s="7">
        <f t="shared" ref="E110:AC110" si="19">SUM(E102:E104)/1000</f>
        <v>0</v>
      </c>
      <c r="F110" s="7">
        <f t="shared" si="19"/>
        <v>0</v>
      </c>
      <c r="G110" s="7">
        <f t="shared" si="19"/>
        <v>0</v>
      </c>
      <c r="H110" s="7">
        <f t="shared" si="19"/>
        <v>0</v>
      </c>
      <c r="I110" s="7">
        <f t="shared" si="19"/>
        <v>0</v>
      </c>
      <c r="J110" s="7">
        <f t="shared" si="19"/>
        <v>0</v>
      </c>
      <c r="K110" s="7">
        <f t="shared" si="19"/>
        <v>0</v>
      </c>
      <c r="L110" s="7">
        <f t="shared" si="19"/>
        <v>0</v>
      </c>
      <c r="M110" s="7">
        <f t="shared" si="19"/>
        <v>0</v>
      </c>
      <c r="N110" s="7">
        <f t="shared" si="19"/>
        <v>0</v>
      </c>
      <c r="O110" s="7">
        <f t="shared" si="19"/>
        <v>0</v>
      </c>
      <c r="P110" s="7">
        <f t="shared" si="19"/>
        <v>0</v>
      </c>
      <c r="Q110" s="7">
        <f t="shared" si="19"/>
        <v>0</v>
      </c>
      <c r="R110" s="7">
        <f t="shared" si="19"/>
        <v>0</v>
      </c>
      <c r="S110" s="7">
        <f t="shared" si="19"/>
        <v>0</v>
      </c>
      <c r="T110" s="7">
        <f t="shared" si="19"/>
        <v>0</v>
      </c>
      <c r="U110" s="7">
        <f t="shared" si="19"/>
        <v>0</v>
      </c>
      <c r="V110" s="7">
        <f t="shared" si="19"/>
        <v>0</v>
      </c>
      <c r="W110" s="7">
        <f t="shared" si="19"/>
        <v>0</v>
      </c>
      <c r="X110" s="7">
        <f t="shared" si="19"/>
        <v>0</v>
      </c>
      <c r="Y110" s="7">
        <f t="shared" si="19"/>
        <v>0</v>
      </c>
      <c r="Z110" s="7">
        <f t="shared" si="19"/>
        <v>0</v>
      </c>
      <c r="AA110" s="7">
        <f t="shared" si="19"/>
        <v>0</v>
      </c>
      <c r="AB110" s="7">
        <f t="shared" si="19"/>
        <v>0</v>
      </c>
      <c r="AC110" s="7">
        <f t="shared" si="19"/>
        <v>0</v>
      </c>
    </row>
    <row r="111" spans="1:29" x14ac:dyDescent="0.55000000000000004"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 spans="1:29" x14ac:dyDescent="0.55000000000000004">
      <c r="C112" t="s">
        <v>43</v>
      </c>
      <c r="D112" s="7">
        <f>SUM(D94:D106)/1000</f>
        <v>0</v>
      </c>
      <c r="E112" s="7">
        <f t="shared" ref="E112:AC112" si="20">SUM(E94:E106)/1000</f>
        <v>0</v>
      </c>
      <c r="F112" s="7">
        <f t="shared" si="20"/>
        <v>0</v>
      </c>
      <c r="G112" s="7">
        <f t="shared" si="20"/>
        <v>0</v>
      </c>
      <c r="H112" s="7">
        <f t="shared" si="20"/>
        <v>0</v>
      </c>
      <c r="I112" s="7">
        <f t="shared" si="20"/>
        <v>0</v>
      </c>
      <c r="J112" s="7">
        <f t="shared" si="20"/>
        <v>0</v>
      </c>
      <c r="K112" s="7">
        <f t="shared" si="20"/>
        <v>0</v>
      </c>
      <c r="L112" s="7">
        <f t="shared" si="20"/>
        <v>0</v>
      </c>
      <c r="M112" s="7">
        <f t="shared" si="20"/>
        <v>0</v>
      </c>
      <c r="N112" s="7">
        <f t="shared" si="20"/>
        <v>0</v>
      </c>
      <c r="O112" s="7">
        <f t="shared" si="20"/>
        <v>0</v>
      </c>
      <c r="P112" s="7">
        <f t="shared" si="20"/>
        <v>0</v>
      </c>
      <c r="Q112" s="7">
        <f t="shared" si="20"/>
        <v>0</v>
      </c>
      <c r="R112" s="7">
        <f t="shared" si="20"/>
        <v>0</v>
      </c>
      <c r="S112" s="7">
        <f t="shared" si="20"/>
        <v>0</v>
      </c>
      <c r="T112" s="7">
        <f t="shared" si="20"/>
        <v>0</v>
      </c>
      <c r="U112" s="7">
        <f t="shared" si="20"/>
        <v>0</v>
      </c>
      <c r="V112" s="7">
        <f t="shared" si="20"/>
        <v>0</v>
      </c>
      <c r="W112" s="7">
        <f t="shared" si="20"/>
        <v>0</v>
      </c>
      <c r="X112" s="7">
        <f t="shared" si="20"/>
        <v>0</v>
      </c>
      <c r="Y112" s="7">
        <f t="shared" si="20"/>
        <v>0</v>
      </c>
      <c r="Z112" s="7">
        <f t="shared" si="20"/>
        <v>0</v>
      </c>
      <c r="AA112" s="7">
        <f t="shared" si="20"/>
        <v>0</v>
      </c>
      <c r="AB112" s="7">
        <f t="shared" si="20"/>
        <v>0</v>
      </c>
      <c r="AC112" s="7">
        <f t="shared" si="20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31B3B-BF7E-4AE2-B219-21C694B357FC}">
  <dimension ref="A1:AC71"/>
  <sheetViews>
    <sheetView topLeftCell="A41" workbookViewId="0">
      <selection activeCell="C67" sqref="C67:AC69"/>
    </sheetView>
  </sheetViews>
  <sheetFormatPr defaultRowHeight="14.4" x14ac:dyDescent="0.55000000000000004"/>
  <cols>
    <col min="1" max="1" width="34.41796875" bestFit="1" customWidth="1"/>
    <col min="2" max="2" width="3.89453125" bestFit="1" customWidth="1"/>
  </cols>
  <sheetData>
    <row r="1" spans="1:29" x14ac:dyDescent="0.55000000000000004">
      <c r="A1" s="1" t="s">
        <v>37</v>
      </c>
      <c r="B1" s="2"/>
    </row>
    <row r="2" spans="1:29" x14ac:dyDescent="0.55000000000000004">
      <c r="A2" s="1" t="s">
        <v>28</v>
      </c>
      <c r="B2" s="1" t="s">
        <v>40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  <c r="L2" s="6" t="s">
        <v>10</v>
      </c>
      <c r="M2" s="6" t="s">
        <v>11</v>
      </c>
      <c r="N2" s="6" t="s">
        <v>12</v>
      </c>
      <c r="O2" s="6" t="s">
        <v>13</v>
      </c>
      <c r="P2" s="6" t="s">
        <v>14</v>
      </c>
      <c r="Q2" s="6" t="s">
        <v>15</v>
      </c>
      <c r="R2" s="6" t="s">
        <v>16</v>
      </c>
      <c r="S2" s="6" t="s">
        <v>17</v>
      </c>
      <c r="T2" s="6" t="s">
        <v>18</v>
      </c>
      <c r="U2" s="6" t="s">
        <v>19</v>
      </c>
      <c r="V2" s="6" t="s">
        <v>20</v>
      </c>
      <c r="W2" s="6" t="s">
        <v>21</v>
      </c>
      <c r="X2" s="6" t="s">
        <v>22</v>
      </c>
      <c r="Y2" s="6" t="s">
        <v>23</v>
      </c>
      <c r="Z2" s="6" t="s">
        <v>24</v>
      </c>
      <c r="AA2" s="6" t="s">
        <v>25</v>
      </c>
      <c r="AB2" s="6" t="s">
        <v>26</v>
      </c>
      <c r="AC2" s="6" t="s">
        <v>27</v>
      </c>
    </row>
    <row r="3" spans="1:29" x14ac:dyDescent="0.55000000000000004">
      <c r="A3" s="2" t="s">
        <v>29</v>
      </c>
      <c r="B3" s="3" t="s">
        <v>55</v>
      </c>
      <c r="C3" s="7">
        <v>81</v>
      </c>
      <c r="D3" s="7">
        <v>0</v>
      </c>
      <c r="E3" s="7">
        <v>0</v>
      </c>
      <c r="F3" s="7">
        <v>0</v>
      </c>
      <c r="G3" s="7">
        <v>2</v>
      </c>
      <c r="H3" s="7">
        <v>2</v>
      </c>
      <c r="I3" s="7">
        <v>2</v>
      </c>
      <c r="J3" s="7">
        <v>0</v>
      </c>
      <c r="K3" s="7">
        <v>5</v>
      </c>
      <c r="L3" s="7">
        <v>0</v>
      </c>
      <c r="M3" s="7">
        <v>12</v>
      </c>
      <c r="N3" s="7">
        <v>5</v>
      </c>
      <c r="O3" s="7">
        <v>0</v>
      </c>
      <c r="P3" s="7">
        <v>7</v>
      </c>
      <c r="Q3" s="7">
        <v>3</v>
      </c>
      <c r="R3" s="7">
        <v>2</v>
      </c>
      <c r="S3" s="7">
        <v>0</v>
      </c>
      <c r="T3" s="7">
        <v>1</v>
      </c>
      <c r="U3" s="7">
        <v>13</v>
      </c>
      <c r="V3" s="7">
        <v>2</v>
      </c>
      <c r="W3" s="7">
        <v>2</v>
      </c>
      <c r="X3" s="7">
        <v>0</v>
      </c>
      <c r="Y3" s="7">
        <v>12</v>
      </c>
      <c r="Z3" s="7">
        <v>0</v>
      </c>
      <c r="AA3" s="7">
        <v>0</v>
      </c>
      <c r="AB3" s="7">
        <v>0</v>
      </c>
      <c r="AC3" s="7">
        <v>11</v>
      </c>
    </row>
    <row r="4" spans="1:29" x14ac:dyDescent="0.55000000000000004">
      <c r="A4" s="2" t="s">
        <v>30</v>
      </c>
      <c r="B4" s="3" t="s">
        <v>55</v>
      </c>
      <c r="C4" s="7">
        <v>447</v>
      </c>
      <c r="D4" s="7">
        <v>0</v>
      </c>
      <c r="E4" s="7">
        <v>154</v>
      </c>
      <c r="F4" s="7">
        <v>7</v>
      </c>
      <c r="G4" s="7">
        <v>3</v>
      </c>
      <c r="H4" s="7">
        <v>6</v>
      </c>
      <c r="I4" s="7">
        <v>0</v>
      </c>
      <c r="J4" s="7">
        <v>0</v>
      </c>
      <c r="K4" s="7">
        <v>5</v>
      </c>
      <c r="L4" s="7">
        <v>0</v>
      </c>
      <c r="M4" s="7">
        <v>26</v>
      </c>
      <c r="N4" s="7">
        <v>25</v>
      </c>
      <c r="O4" s="7">
        <v>9</v>
      </c>
      <c r="P4" s="7">
        <v>18</v>
      </c>
      <c r="Q4" s="7">
        <v>7</v>
      </c>
      <c r="R4" s="7">
        <v>2</v>
      </c>
      <c r="S4" s="7">
        <v>0</v>
      </c>
      <c r="T4" s="7">
        <v>0</v>
      </c>
      <c r="U4" s="7">
        <v>17</v>
      </c>
      <c r="V4" s="7">
        <v>3</v>
      </c>
      <c r="W4" s="7">
        <v>20</v>
      </c>
      <c r="X4" s="7">
        <v>2</v>
      </c>
      <c r="Y4" s="7">
        <v>96</v>
      </c>
      <c r="Z4" s="7">
        <v>0</v>
      </c>
      <c r="AA4" s="7">
        <v>30</v>
      </c>
      <c r="AB4" s="7">
        <v>0</v>
      </c>
      <c r="AC4" s="7">
        <v>17</v>
      </c>
    </row>
    <row r="5" spans="1:29" x14ac:dyDescent="0.55000000000000004">
      <c r="A5" s="2" t="s">
        <v>31</v>
      </c>
      <c r="B5" s="3" t="s">
        <v>55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</row>
    <row r="6" spans="1:29" x14ac:dyDescent="0.55000000000000004">
      <c r="A6" s="2" t="s">
        <v>32</v>
      </c>
      <c r="B6" s="3" t="s">
        <v>55</v>
      </c>
      <c r="C6" s="7">
        <v>7286</v>
      </c>
      <c r="D6" s="7">
        <v>729</v>
      </c>
      <c r="E6" s="7">
        <v>1681</v>
      </c>
      <c r="F6" s="7">
        <v>304</v>
      </c>
      <c r="G6" s="7">
        <v>8</v>
      </c>
      <c r="H6" s="7">
        <v>74</v>
      </c>
      <c r="I6" s="7">
        <v>4</v>
      </c>
      <c r="J6" s="7">
        <v>21</v>
      </c>
      <c r="K6" s="7">
        <v>69</v>
      </c>
      <c r="L6" s="7">
        <v>0</v>
      </c>
      <c r="M6" s="7">
        <v>355</v>
      </c>
      <c r="N6" s="7">
        <v>486</v>
      </c>
      <c r="O6" s="7">
        <v>79</v>
      </c>
      <c r="P6" s="7">
        <v>563</v>
      </c>
      <c r="Q6" s="7">
        <v>104</v>
      </c>
      <c r="R6" s="7">
        <v>14</v>
      </c>
      <c r="S6" s="7">
        <v>5</v>
      </c>
      <c r="T6" s="7">
        <v>657</v>
      </c>
      <c r="U6" s="7">
        <v>158</v>
      </c>
      <c r="V6" s="7">
        <v>188</v>
      </c>
      <c r="W6" s="7">
        <v>377</v>
      </c>
      <c r="X6" s="7">
        <v>337</v>
      </c>
      <c r="Y6" s="7">
        <v>313</v>
      </c>
      <c r="Z6" s="7">
        <v>331</v>
      </c>
      <c r="AA6" s="7">
        <v>156</v>
      </c>
      <c r="AB6" s="7">
        <v>188</v>
      </c>
      <c r="AC6" s="7">
        <v>85</v>
      </c>
    </row>
    <row r="7" spans="1:29" x14ac:dyDescent="0.55000000000000004">
      <c r="A7" s="2" t="s">
        <v>33</v>
      </c>
      <c r="B7" s="3" t="s">
        <v>55</v>
      </c>
      <c r="C7" s="7">
        <v>1880</v>
      </c>
      <c r="D7" s="7">
        <v>444</v>
      </c>
      <c r="E7" s="7">
        <v>230</v>
      </c>
      <c r="F7" s="7">
        <v>190</v>
      </c>
      <c r="G7" s="7">
        <v>6</v>
      </c>
      <c r="H7" s="7">
        <v>11</v>
      </c>
      <c r="I7" s="7">
        <v>2</v>
      </c>
      <c r="J7" s="7">
        <v>3</v>
      </c>
      <c r="K7" s="7">
        <v>1</v>
      </c>
      <c r="L7" s="7">
        <v>0</v>
      </c>
      <c r="M7" s="7">
        <v>128</v>
      </c>
      <c r="N7" s="7">
        <v>64</v>
      </c>
      <c r="O7" s="7">
        <v>44</v>
      </c>
      <c r="P7" s="7">
        <v>36</v>
      </c>
      <c r="Q7" s="7">
        <v>20</v>
      </c>
      <c r="R7" s="7">
        <v>28</v>
      </c>
      <c r="S7" s="7">
        <v>2</v>
      </c>
      <c r="T7" s="7">
        <v>228</v>
      </c>
      <c r="U7" s="7">
        <v>82</v>
      </c>
      <c r="V7" s="7">
        <v>38</v>
      </c>
      <c r="W7" s="7">
        <v>171</v>
      </c>
      <c r="X7" s="7">
        <v>5</v>
      </c>
      <c r="Y7" s="7">
        <v>113</v>
      </c>
      <c r="Z7" s="7">
        <v>18</v>
      </c>
      <c r="AA7" s="7">
        <v>9</v>
      </c>
      <c r="AB7" s="7">
        <v>3</v>
      </c>
      <c r="AC7" s="7">
        <v>4</v>
      </c>
    </row>
    <row r="8" spans="1:29" x14ac:dyDescent="0.55000000000000004">
      <c r="A8" s="2" t="s">
        <v>34</v>
      </c>
      <c r="B8" s="3" t="s">
        <v>55</v>
      </c>
      <c r="C8" s="7">
        <v>477</v>
      </c>
      <c r="D8" s="7">
        <v>20</v>
      </c>
      <c r="E8" s="7">
        <v>185</v>
      </c>
      <c r="F8" s="7">
        <v>0</v>
      </c>
      <c r="G8" s="7">
        <v>3</v>
      </c>
      <c r="H8" s="7">
        <v>33</v>
      </c>
      <c r="I8" s="7">
        <v>9</v>
      </c>
      <c r="J8" s="7">
        <v>6</v>
      </c>
      <c r="K8" s="7">
        <v>6</v>
      </c>
      <c r="L8" s="7">
        <v>0</v>
      </c>
      <c r="M8" s="7">
        <v>50</v>
      </c>
      <c r="N8" s="7">
        <v>6</v>
      </c>
      <c r="O8" s="7">
        <v>35</v>
      </c>
      <c r="P8" s="7">
        <v>11</v>
      </c>
      <c r="Q8" s="7">
        <v>30</v>
      </c>
      <c r="R8" s="7">
        <v>6</v>
      </c>
      <c r="S8" s="7">
        <v>1</v>
      </c>
      <c r="T8" s="7">
        <v>2</v>
      </c>
      <c r="U8" s="7">
        <v>4</v>
      </c>
      <c r="V8" s="7">
        <v>0</v>
      </c>
      <c r="W8" s="7">
        <v>25</v>
      </c>
      <c r="X8" s="7">
        <v>18</v>
      </c>
      <c r="Y8" s="7">
        <v>7</v>
      </c>
      <c r="Z8" s="7">
        <v>14</v>
      </c>
      <c r="AA8" s="7">
        <v>3</v>
      </c>
      <c r="AB8" s="7">
        <v>0</v>
      </c>
      <c r="AC8" s="7">
        <v>3</v>
      </c>
    </row>
    <row r="9" spans="1:29" x14ac:dyDescent="0.55000000000000004">
      <c r="A9" s="2" t="s">
        <v>35</v>
      </c>
      <c r="B9" s="3" t="s">
        <v>55</v>
      </c>
      <c r="C9" s="7">
        <v>426</v>
      </c>
      <c r="D9" s="7">
        <v>0</v>
      </c>
      <c r="E9" s="7">
        <v>55</v>
      </c>
      <c r="F9" s="7">
        <v>11</v>
      </c>
      <c r="G9" s="7">
        <v>4</v>
      </c>
      <c r="H9" s="7">
        <v>4</v>
      </c>
      <c r="I9" s="7">
        <v>0</v>
      </c>
      <c r="J9" s="7">
        <v>1</v>
      </c>
      <c r="K9" s="7">
        <v>6</v>
      </c>
      <c r="L9" s="7">
        <v>0</v>
      </c>
      <c r="M9" s="7">
        <v>18</v>
      </c>
      <c r="N9" s="7">
        <v>13</v>
      </c>
      <c r="O9" s="7">
        <v>5</v>
      </c>
      <c r="P9" s="7">
        <v>17</v>
      </c>
      <c r="Q9" s="7">
        <v>0</v>
      </c>
      <c r="R9" s="7">
        <v>8</v>
      </c>
      <c r="S9" s="7">
        <v>0</v>
      </c>
      <c r="T9" s="7">
        <v>30</v>
      </c>
      <c r="U9" s="7">
        <v>16</v>
      </c>
      <c r="V9" s="7">
        <v>4</v>
      </c>
      <c r="W9" s="7">
        <v>11</v>
      </c>
      <c r="X9" s="7">
        <v>29</v>
      </c>
      <c r="Y9" s="7">
        <v>126</v>
      </c>
      <c r="Z9" s="7">
        <v>13</v>
      </c>
      <c r="AA9" s="7">
        <v>17</v>
      </c>
      <c r="AB9" s="7">
        <v>26</v>
      </c>
      <c r="AC9" s="7">
        <v>12</v>
      </c>
    </row>
    <row r="10" spans="1:29" x14ac:dyDescent="0.55000000000000004">
      <c r="A10" s="2" t="s">
        <v>36</v>
      </c>
      <c r="B10" s="3" t="s">
        <v>55</v>
      </c>
      <c r="C10" s="7">
        <v>11</v>
      </c>
      <c r="D10" s="7">
        <v>0</v>
      </c>
      <c r="E10" s="7">
        <v>3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3</v>
      </c>
      <c r="V10" s="7">
        <v>0</v>
      </c>
      <c r="W10" s="7">
        <v>2</v>
      </c>
      <c r="X10" s="7">
        <v>0</v>
      </c>
      <c r="Y10" s="7">
        <v>1</v>
      </c>
      <c r="Z10" s="7">
        <v>0</v>
      </c>
      <c r="AA10" s="7">
        <v>0</v>
      </c>
      <c r="AB10" s="7">
        <v>2</v>
      </c>
      <c r="AC10" s="7">
        <v>0</v>
      </c>
    </row>
    <row r="11" spans="1:29" x14ac:dyDescent="0.55000000000000004">
      <c r="A11" s="2"/>
      <c r="B11" s="3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8"/>
      <c r="Z11" s="8"/>
      <c r="AA11" s="8"/>
      <c r="AB11" s="8"/>
      <c r="AC11" s="8"/>
    </row>
    <row r="12" spans="1:29" x14ac:dyDescent="0.55000000000000004">
      <c r="A12" s="1" t="s">
        <v>39</v>
      </c>
      <c r="B12" s="2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</row>
    <row r="13" spans="1:29" x14ac:dyDescent="0.55000000000000004">
      <c r="A13" s="1" t="s">
        <v>28</v>
      </c>
      <c r="B13" s="1" t="s">
        <v>40</v>
      </c>
      <c r="C13" s="6" t="s">
        <v>1</v>
      </c>
      <c r="D13" s="6" t="s">
        <v>2</v>
      </c>
      <c r="E13" s="6" t="s">
        <v>3</v>
      </c>
      <c r="F13" s="6" t="s">
        <v>4</v>
      </c>
      <c r="G13" s="6" t="s">
        <v>5</v>
      </c>
      <c r="H13" s="6" t="s">
        <v>6</v>
      </c>
      <c r="I13" s="6" t="s">
        <v>7</v>
      </c>
      <c r="J13" s="6" t="s">
        <v>8</v>
      </c>
      <c r="K13" s="6" t="s">
        <v>9</v>
      </c>
      <c r="L13" s="6" t="s">
        <v>10</v>
      </c>
      <c r="M13" s="6" t="s">
        <v>11</v>
      </c>
      <c r="N13" s="6" t="s">
        <v>12</v>
      </c>
      <c r="O13" s="6" t="s">
        <v>13</v>
      </c>
      <c r="P13" s="6" t="s">
        <v>14</v>
      </c>
      <c r="Q13" s="6" t="s">
        <v>15</v>
      </c>
      <c r="R13" s="6" t="s">
        <v>16</v>
      </c>
      <c r="S13" s="6" t="s">
        <v>17</v>
      </c>
      <c r="T13" s="6" t="s">
        <v>18</v>
      </c>
      <c r="U13" s="6" t="s">
        <v>19</v>
      </c>
      <c r="V13" s="6" t="s">
        <v>20</v>
      </c>
      <c r="W13" s="6" t="s">
        <v>21</v>
      </c>
      <c r="X13" s="6" t="s">
        <v>22</v>
      </c>
      <c r="Y13" s="6" t="s">
        <v>23</v>
      </c>
      <c r="Z13" s="6" t="s">
        <v>24</v>
      </c>
      <c r="AA13" s="6" t="s">
        <v>25</v>
      </c>
      <c r="AB13" s="6" t="s">
        <v>26</v>
      </c>
      <c r="AC13" s="6" t="s">
        <v>27</v>
      </c>
    </row>
    <row r="14" spans="1:29" x14ac:dyDescent="0.55000000000000004">
      <c r="A14" s="2" t="s">
        <v>29</v>
      </c>
      <c r="B14" s="3" t="s">
        <v>55</v>
      </c>
      <c r="C14" s="7">
        <v>8</v>
      </c>
      <c r="D14" s="7">
        <v>0</v>
      </c>
      <c r="E14" s="7">
        <v>0</v>
      </c>
      <c r="F14" s="7">
        <v>0</v>
      </c>
      <c r="G14" s="7">
        <v>1</v>
      </c>
      <c r="H14" s="7">
        <v>0</v>
      </c>
      <c r="I14" s="7">
        <v>1</v>
      </c>
      <c r="J14" s="7">
        <v>0</v>
      </c>
      <c r="K14" s="7">
        <v>1</v>
      </c>
      <c r="L14" s="7">
        <v>0</v>
      </c>
      <c r="M14" s="7">
        <v>1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2</v>
      </c>
      <c r="V14" s="7">
        <v>1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1</v>
      </c>
    </row>
    <row r="15" spans="1:29" x14ac:dyDescent="0.55000000000000004">
      <c r="A15" s="2" t="s">
        <v>30</v>
      </c>
      <c r="B15" s="3" t="s">
        <v>55</v>
      </c>
      <c r="C15" s="7">
        <v>175</v>
      </c>
      <c r="D15" s="7">
        <v>0</v>
      </c>
      <c r="E15" s="7">
        <v>54</v>
      </c>
      <c r="F15" s="7">
        <v>8</v>
      </c>
      <c r="G15" s="7">
        <v>0</v>
      </c>
      <c r="H15" s="7">
        <v>1</v>
      </c>
      <c r="I15" s="7">
        <v>0</v>
      </c>
      <c r="J15" s="7">
        <v>2</v>
      </c>
      <c r="K15" s="7">
        <v>1</v>
      </c>
      <c r="L15" s="7">
        <v>0</v>
      </c>
      <c r="M15" s="7">
        <v>13</v>
      </c>
      <c r="N15" s="7">
        <v>12</v>
      </c>
      <c r="O15" s="7">
        <v>1</v>
      </c>
      <c r="P15" s="7">
        <v>12</v>
      </c>
      <c r="Q15" s="7">
        <v>2</v>
      </c>
      <c r="R15" s="7">
        <v>2</v>
      </c>
      <c r="S15" s="7">
        <v>0</v>
      </c>
      <c r="T15" s="7">
        <v>0</v>
      </c>
      <c r="U15" s="7">
        <v>11</v>
      </c>
      <c r="V15" s="7">
        <v>5</v>
      </c>
      <c r="W15" s="7">
        <v>9</v>
      </c>
      <c r="X15" s="7">
        <v>0</v>
      </c>
      <c r="Y15" s="7">
        <v>28</v>
      </c>
      <c r="Z15" s="7">
        <v>3</v>
      </c>
      <c r="AA15" s="7">
        <v>9</v>
      </c>
      <c r="AB15" s="7">
        <v>0</v>
      </c>
      <c r="AC15" s="7">
        <v>2</v>
      </c>
    </row>
    <row r="16" spans="1:29" x14ac:dyDescent="0.55000000000000004">
      <c r="A16" s="2" t="s">
        <v>31</v>
      </c>
      <c r="B16" s="3" t="s">
        <v>55</v>
      </c>
      <c r="C16" s="7">
        <v>13</v>
      </c>
      <c r="D16" s="7">
        <v>0</v>
      </c>
      <c r="E16" s="7">
        <v>5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1</v>
      </c>
      <c r="N16" s="7">
        <v>0</v>
      </c>
      <c r="O16" s="7">
        <v>1</v>
      </c>
      <c r="P16" s="7">
        <v>2</v>
      </c>
      <c r="Q16" s="7">
        <v>1</v>
      </c>
      <c r="R16" s="7">
        <v>0</v>
      </c>
      <c r="S16" s="7">
        <v>0</v>
      </c>
      <c r="T16" s="7">
        <v>0</v>
      </c>
      <c r="U16" s="7">
        <v>1</v>
      </c>
      <c r="V16" s="7">
        <v>0</v>
      </c>
      <c r="W16" s="7">
        <v>0</v>
      </c>
      <c r="X16" s="7">
        <v>0</v>
      </c>
      <c r="Y16" s="7">
        <v>2</v>
      </c>
      <c r="Z16" s="7">
        <v>0</v>
      </c>
      <c r="AA16" s="7">
        <v>0</v>
      </c>
      <c r="AB16" s="7">
        <v>0</v>
      </c>
      <c r="AC16" s="7">
        <v>0</v>
      </c>
    </row>
    <row r="17" spans="1:29" x14ac:dyDescent="0.55000000000000004">
      <c r="A17" s="2" t="s">
        <v>32</v>
      </c>
      <c r="B17" s="3" t="s">
        <v>55</v>
      </c>
      <c r="C17" s="7">
        <v>775</v>
      </c>
      <c r="D17" s="7">
        <v>65</v>
      </c>
      <c r="E17" s="7">
        <v>222</v>
      </c>
      <c r="F17" s="7">
        <v>76</v>
      </c>
      <c r="G17" s="7">
        <v>3</v>
      </c>
      <c r="H17" s="7">
        <v>21</v>
      </c>
      <c r="I17" s="7">
        <v>1</v>
      </c>
      <c r="J17" s="7">
        <v>30</v>
      </c>
      <c r="K17" s="7">
        <v>6</v>
      </c>
      <c r="L17" s="7">
        <v>0</v>
      </c>
      <c r="M17" s="7">
        <v>38</v>
      </c>
      <c r="N17" s="7">
        <v>46</v>
      </c>
      <c r="O17" s="7">
        <v>22</v>
      </c>
      <c r="P17" s="7">
        <v>43</v>
      </c>
      <c r="Q17" s="7">
        <v>4</v>
      </c>
      <c r="R17" s="7">
        <v>4</v>
      </c>
      <c r="S17" s="7">
        <v>0</v>
      </c>
      <c r="T17" s="7">
        <v>18</v>
      </c>
      <c r="U17" s="7">
        <v>35</v>
      </c>
      <c r="V17" s="7">
        <v>21</v>
      </c>
      <c r="W17" s="7">
        <v>31</v>
      </c>
      <c r="X17" s="7">
        <v>20</v>
      </c>
      <c r="Y17" s="7">
        <v>16</v>
      </c>
      <c r="Z17" s="7">
        <v>35</v>
      </c>
      <c r="AA17" s="7">
        <v>10</v>
      </c>
      <c r="AB17" s="7">
        <v>2</v>
      </c>
      <c r="AC17" s="7">
        <v>6</v>
      </c>
    </row>
    <row r="18" spans="1:29" x14ac:dyDescent="0.55000000000000004">
      <c r="A18" s="2" t="s">
        <v>33</v>
      </c>
      <c r="B18" s="3" t="s">
        <v>55</v>
      </c>
      <c r="C18" s="7">
        <v>539</v>
      </c>
      <c r="D18" s="7">
        <v>150</v>
      </c>
      <c r="E18" s="7">
        <v>62</v>
      </c>
      <c r="F18" s="7">
        <v>122</v>
      </c>
      <c r="G18" s="7">
        <v>2</v>
      </c>
      <c r="H18" s="7">
        <v>7</v>
      </c>
      <c r="I18" s="7">
        <v>3</v>
      </c>
      <c r="J18" s="7">
        <v>10</v>
      </c>
      <c r="K18" s="7">
        <v>0</v>
      </c>
      <c r="L18" s="7">
        <v>0</v>
      </c>
      <c r="M18" s="7">
        <v>22</v>
      </c>
      <c r="N18" s="7">
        <v>17</v>
      </c>
      <c r="O18" s="7">
        <v>5</v>
      </c>
      <c r="P18" s="7">
        <v>5</v>
      </c>
      <c r="Q18" s="7">
        <v>4</v>
      </c>
      <c r="R18" s="7">
        <v>4</v>
      </c>
      <c r="S18" s="7">
        <v>4</v>
      </c>
      <c r="T18" s="7">
        <v>28</v>
      </c>
      <c r="U18" s="7">
        <v>38</v>
      </c>
      <c r="V18" s="7">
        <v>17</v>
      </c>
      <c r="W18" s="7">
        <v>20</v>
      </c>
      <c r="X18" s="7">
        <v>2</v>
      </c>
      <c r="Y18" s="7">
        <v>15</v>
      </c>
      <c r="Z18" s="7">
        <v>1</v>
      </c>
      <c r="AA18" s="7">
        <v>0</v>
      </c>
      <c r="AB18" s="7">
        <v>0</v>
      </c>
      <c r="AC18" s="7">
        <v>1</v>
      </c>
    </row>
    <row r="19" spans="1:29" x14ac:dyDescent="0.55000000000000004">
      <c r="A19" s="2" t="s">
        <v>34</v>
      </c>
      <c r="B19" s="3" t="s">
        <v>55</v>
      </c>
      <c r="C19" s="7">
        <v>487</v>
      </c>
      <c r="D19" s="7">
        <v>14</v>
      </c>
      <c r="E19" s="7">
        <v>167</v>
      </c>
      <c r="F19" s="7">
        <v>0</v>
      </c>
      <c r="G19" s="7">
        <v>6</v>
      </c>
      <c r="H19" s="7">
        <v>35</v>
      </c>
      <c r="I19" s="7">
        <v>9</v>
      </c>
      <c r="J19" s="7">
        <v>29</v>
      </c>
      <c r="K19" s="7">
        <v>7</v>
      </c>
      <c r="L19" s="7">
        <v>0</v>
      </c>
      <c r="M19" s="7">
        <v>49</v>
      </c>
      <c r="N19" s="7">
        <v>12</v>
      </c>
      <c r="O19" s="7">
        <v>60</v>
      </c>
      <c r="P19" s="7">
        <v>7</v>
      </c>
      <c r="Q19" s="7">
        <v>15</v>
      </c>
      <c r="R19" s="7">
        <v>2</v>
      </c>
      <c r="S19" s="7">
        <v>2</v>
      </c>
      <c r="T19" s="7">
        <v>1</v>
      </c>
      <c r="U19" s="7">
        <v>12</v>
      </c>
      <c r="V19" s="7">
        <v>0</v>
      </c>
      <c r="W19" s="7">
        <v>10</v>
      </c>
      <c r="X19" s="7">
        <v>12</v>
      </c>
      <c r="Y19" s="7">
        <v>11</v>
      </c>
      <c r="Z19" s="7">
        <v>24</v>
      </c>
      <c r="AA19" s="7">
        <v>3</v>
      </c>
      <c r="AB19" s="7">
        <v>0</v>
      </c>
      <c r="AC19" s="7">
        <v>0</v>
      </c>
    </row>
    <row r="20" spans="1:29" x14ac:dyDescent="0.55000000000000004">
      <c r="A20" s="2" t="s">
        <v>35</v>
      </c>
      <c r="B20" s="3" t="s">
        <v>55</v>
      </c>
      <c r="C20" s="7">
        <v>161</v>
      </c>
      <c r="D20" s="7">
        <v>0</v>
      </c>
      <c r="E20" s="7">
        <v>32</v>
      </c>
      <c r="F20" s="7">
        <v>11</v>
      </c>
      <c r="G20" s="7">
        <v>2</v>
      </c>
      <c r="H20" s="7">
        <v>1</v>
      </c>
      <c r="I20" s="7">
        <v>0</v>
      </c>
      <c r="J20" s="7">
        <v>1</v>
      </c>
      <c r="K20" s="7">
        <v>0</v>
      </c>
      <c r="L20" s="7">
        <v>0</v>
      </c>
      <c r="M20" s="7">
        <v>3</v>
      </c>
      <c r="N20" s="7">
        <v>1</v>
      </c>
      <c r="O20" s="7">
        <v>6</v>
      </c>
      <c r="P20" s="7">
        <v>11</v>
      </c>
      <c r="Q20" s="7">
        <v>6</v>
      </c>
      <c r="R20" s="7">
        <v>2</v>
      </c>
      <c r="S20" s="7">
        <v>0</v>
      </c>
      <c r="T20" s="7">
        <v>3</v>
      </c>
      <c r="U20" s="7">
        <v>13</v>
      </c>
      <c r="V20" s="7">
        <v>1</v>
      </c>
      <c r="W20" s="7">
        <v>0</v>
      </c>
      <c r="X20" s="7">
        <v>5</v>
      </c>
      <c r="Y20" s="7">
        <v>24</v>
      </c>
      <c r="Z20" s="7">
        <v>1</v>
      </c>
      <c r="AA20" s="7">
        <v>9</v>
      </c>
      <c r="AB20" s="7">
        <v>26</v>
      </c>
      <c r="AC20" s="7">
        <v>3</v>
      </c>
    </row>
    <row r="21" spans="1:29" x14ac:dyDescent="0.55000000000000004">
      <c r="A21" s="2" t="s">
        <v>36</v>
      </c>
      <c r="B21" s="3" t="s">
        <v>55</v>
      </c>
      <c r="C21" s="7">
        <v>14</v>
      </c>
      <c r="D21" s="7">
        <v>0</v>
      </c>
      <c r="E21" s="7">
        <v>10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2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1</v>
      </c>
      <c r="V21" s="7">
        <v>0</v>
      </c>
      <c r="W21" s="7">
        <v>0</v>
      </c>
      <c r="X21" s="7">
        <v>0</v>
      </c>
      <c r="Y21" s="7">
        <v>1</v>
      </c>
      <c r="Z21" s="7">
        <v>0</v>
      </c>
      <c r="AA21" s="7">
        <v>0</v>
      </c>
      <c r="AB21" s="7">
        <v>0</v>
      </c>
      <c r="AC21" s="7">
        <v>0</v>
      </c>
    </row>
    <row r="22" spans="1:29" x14ac:dyDescent="0.55000000000000004">
      <c r="A22" s="2"/>
      <c r="B22" s="3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8"/>
      <c r="Z22" s="8"/>
      <c r="AA22" s="8"/>
      <c r="AB22" s="8"/>
      <c r="AC22" s="8"/>
    </row>
    <row r="23" spans="1:29" x14ac:dyDescent="0.55000000000000004">
      <c r="A23" s="1" t="s">
        <v>38</v>
      </c>
      <c r="B23" s="2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</row>
    <row r="24" spans="1:29" x14ac:dyDescent="0.55000000000000004">
      <c r="A24" s="1" t="s">
        <v>28</v>
      </c>
      <c r="B24" s="1" t="s">
        <v>40</v>
      </c>
      <c r="C24" s="6" t="s">
        <v>1</v>
      </c>
      <c r="D24" s="6" t="s">
        <v>2</v>
      </c>
      <c r="E24" s="6" t="s">
        <v>3</v>
      </c>
      <c r="F24" s="6" t="s">
        <v>4</v>
      </c>
      <c r="G24" s="6" t="s">
        <v>5</v>
      </c>
      <c r="H24" s="6" t="s">
        <v>6</v>
      </c>
      <c r="I24" s="6" t="s">
        <v>7</v>
      </c>
      <c r="J24" s="6" t="s">
        <v>8</v>
      </c>
      <c r="K24" s="6" t="s">
        <v>9</v>
      </c>
      <c r="L24" s="6" t="s">
        <v>10</v>
      </c>
      <c r="M24" s="6" t="s">
        <v>11</v>
      </c>
      <c r="N24" s="6" t="s">
        <v>12</v>
      </c>
      <c r="O24" s="6" t="s">
        <v>13</v>
      </c>
      <c r="P24" s="6" t="s">
        <v>14</v>
      </c>
      <c r="Q24" s="6" t="s">
        <v>15</v>
      </c>
      <c r="R24" s="6" t="s">
        <v>16</v>
      </c>
      <c r="S24" s="6" t="s">
        <v>17</v>
      </c>
      <c r="T24" s="6" t="s">
        <v>18</v>
      </c>
      <c r="U24" s="6" t="s">
        <v>19</v>
      </c>
      <c r="V24" s="6" t="s">
        <v>20</v>
      </c>
      <c r="W24" s="6" t="s">
        <v>21</v>
      </c>
      <c r="X24" s="6" t="s">
        <v>22</v>
      </c>
      <c r="Y24" s="6" t="s">
        <v>23</v>
      </c>
      <c r="Z24" s="6" t="s">
        <v>24</v>
      </c>
      <c r="AA24" s="6" t="s">
        <v>25</v>
      </c>
      <c r="AB24" s="6" t="s">
        <v>26</v>
      </c>
      <c r="AC24" s="6" t="s">
        <v>27</v>
      </c>
    </row>
    <row r="25" spans="1:29" x14ac:dyDescent="0.55000000000000004">
      <c r="A25" s="2" t="s">
        <v>29</v>
      </c>
      <c r="B25" s="3" t="s">
        <v>55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</row>
    <row r="26" spans="1:29" x14ac:dyDescent="0.55000000000000004">
      <c r="A26" s="2" t="s">
        <v>30</v>
      </c>
      <c r="B26" s="3" t="s">
        <v>55</v>
      </c>
      <c r="C26" s="7">
        <v>33</v>
      </c>
      <c r="D26" s="7">
        <v>0</v>
      </c>
      <c r="E26" s="7">
        <v>12</v>
      </c>
      <c r="F26" s="7">
        <v>1</v>
      </c>
      <c r="G26" s="7">
        <v>0</v>
      </c>
      <c r="H26" s="7">
        <v>0</v>
      </c>
      <c r="I26" s="7">
        <v>0</v>
      </c>
      <c r="J26" s="7">
        <v>0</v>
      </c>
      <c r="K26" s="7">
        <v>1</v>
      </c>
      <c r="L26" s="7">
        <v>0</v>
      </c>
      <c r="M26" s="7">
        <v>1</v>
      </c>
      <c r="N26" s="7">
        <v>1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6</v>
      </c>
      <c r="V26" s="7">
        <v>0</v>
      </c>
      <c r="W26" s="7">
        <v>2</v>
      </c>
      <c r="X26" s="7">
        <v>0</v>
      </c>
      <c r="Y26" s="7">
        <v>5</v>
      </c>
      <c r="Z26" s="7">
        <v>1</v>
      </c>
      <c r="AA26" s="7">
        <v>2</v>
      </c>
      <c r="AB26" s="7">
        <v>0</v>
      </c>
      <c r="AC26" s="7">
        <v>1</v>
      </c>
    </row>
    <row r="27" spans="1:29" x14ac:dyDescent="0.55000000000000004">
      <c r="A27" s="2" t="s">
        <v>31</v>
      </c>
      <c r="B27" s="3" t="s">
        <v>55</v>
      </c>
      <c r="C27" s="7">
        <v>17</v>
      </c>
      <c r="D27" s="7">
        <v>0</v>
      </c>
      <c r="E27" s="7">
        <v>3</v>
      </c>
      <c r="F27" s="7">
        <v>2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2</v>
      </c>
      <c r="N27" s="7">
        <v>1</v>
      </c>
      <c r="O27" s="7">
        <v>0</v>
      </c>
      <c r="P27" s="7">
        <v>4</v>
      </c>
      <c r="Q27" s="7">
        <v>0</v>
      </c>
      <c r="R27" s="7">
        <v>0</v>
      </c>
      <c r="S27" s="7">
        <v>0</v>
      </c>
      <c r="T27" s="7">
        <v>1</v>
      </c>
      <c r="U27" s="7">
        <v>0</v>
      </c>
      <c r="V27" s="7">
        <v>0</v>
      </c>
      <c r="W27" s="7">
        <v>0</v>
      </c>
      <c r="X27" s="7">
        <v>0</v>
      </c>
      <c r="Y27" s="7">
        <v>2</v>
      </c>
      <c r="Z27" s="7">
        <v>1</v>
      </c>
      <c r="AA27" s="7">
        <v>0</v>
      </c>
      <c r="AB27" s="7">
        <v>0</v>
      </c>
      <c r="AC27" s="7">
        <v>1</v>
      </c>
    </row>
    <row r="28" spans="1:29" x14ac:dyDescent="0.55000000000000004">
      <c r="A28" s="2" t="s">
        <v>32</v>
      </c>
      <c r="B28" s="3" t="s">
        <v>55</v>
      </c>
      <c r="C28" s="7">
        <v>82</v>
      </c>
      <c r="D28" s="7">
        <v>9</v>
      </c>
      <c r="E28" s="7">
        <v>19</v>
      </c>
      <c r="F28" s="7">
        <v>5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3</v>
      </c>
      <c r="N28" s="7">
        <v>6</v>
      </c>
      <c r="O28" s="7">
        <v>0</v>
      </c>
      <c r="P28" s="7">
        <v>3</v>
      </c>
      <c r="Q28" s="7">
        <v>2</v>
      </c>
      <c r="R28" s="7">
        <v>0</v>
      </c>
      <c r="S28" s="7">
        <v>1</v>
      </c>
      <c r="T28" s="7">
        <v>5</v>
      </c>
      <c r="U28" s="7">
        <v>4</v>
      </c>
      <c r="V28" s="7">
        <v>2</v>
      </c>
      <c r="W28" s="7">
        <v>10</v>
      </c>
      <c r="X28" s="7">
        <v>4</v>
      </c>
      <c r="Y28" s="7">
        <v>5</v>
      </c>
      <c r="Z28" s="7">
        <v>1</v>
      </c>
      <c r="AA28" s="7">
        <v>2</v>
      </c>
      <c r="AB28" s="7">
        <v>1</v>
      </c>
      <c r="AC28" s="7">
        <v>0</v>
      </c>
    </row>
    <row r="29" spans="1:29" x14ac:dyDescent="0.55000000000000004">
      <c r="A29" s="2" t="s">
        <v>33</v>
      </c>
      <c r="B29" s="3" t="s">
        <v>55</v>
      </c>
      <c r="C29" s="7">
        <v>63</v>
      </c>
      <c r="D29" s="7">
        <v>10</v>
      </c>
      <c r="E29" s="7">
        <v>6</v>
      </c>
      <c r="F29" s="7">
        <v>9</v>
      </c>
      <c r="G29" s="7">
        <v>0</v>
      </c>
      <c r="H29" s="7">
        <v>3</v>
      </c>
      <c r="I29" s="7">
        <v>1</v>
      </c>
      <c r="J29" s="7">
        <v>0</v>
      </c>
      <c r="K29" s="7">
        <v>0</v>
      </c>
      <c r="L29" s="7">
        <v>0</v>
      </c>
      <c r="M29" s="7">
        <v>3</v>
      </c>
      <c r="N29" s="7">
        <v>3</v>
      </c>
      <c r="O29" s="7">
        <v>1</v>
      </c>
      <c r="P29" s="7">
        <v>2</v>
      </c>
      <c r="Q29" s="7">
        <v>0</v>
      </c>
      <c r="R29" s="7">
        <v>2</v>
      </c>
      <c r="S29" s="7">
        <v>1</v>
      </c>
      <c r="T29" s="7">
        <v>7</v>
      </c>
      <c r="U29" s="7">
        <v>3</v>
      </c>
      <c r="V29" s="7">
        <v>1</v>
      </c>
      <c r="W29" s="7">
        <v>6</v>
      </c>
      <c r="X29" s="7">
        <v>3</v>
      </c>
      <c r="Y29" s="7">
        <v>0</v>
      </c>
      <c r="Z29" s="7">
        <v>2</v>
      </c>
      <c r="AA29" s="7">
        <v>0</v>
      </c>
      <c r="AB29" s="7">
        <v>0</v>
      </c>
      <c r="AC29" s="7">
        <v>0</v>
      </c>
    </row>
    <row r="30" spans="1:29" x14ac:dyDescent="0.55000000000000004">
      <c r="A30" s="2" t="s">
        <v>34</v>
      </c>
      <c r="B30" s="3" t="s">
        <v>55</v>
      </c>
      <c r="C30" s="7">
        <v>125</v>
      </c>
      <c r="D30" s="7">
        <v>2</v>
      </c>
      <c r="E30" s="7">
        <v>41</v>
      </c>
      <c r="F30" s="7">
        <v>0</v>
      </c>
      <c r="G30" s="7">
        <v>3</v>
      </c>
      <c r="H30" s="7">
        <v>1</v>
      </c>
      <c r="I30" s="7">
        <v>2</v>
      </c>
      <c r="J30" s="7">
        <v>4</v>
      </c>
      <c r="K30" s="7">
        <v>3</v>
      </c>
      <c r="L30" s="7">
        <v>0</v>
      </c>
      <c r="M30" s="7">
        <v>17</v>
      </c>
      <c r="N30" s="7">
        <v>2</v>
      </c>
      <c r="O30" s="7">
        <v>0</v>
      </c>
      <c r="P30" s="7">
        <v>11</v>
      </c>
      <c r="Q30" s="7">
        <v>2</v>
      </c>
      <c r="R30" s="7">
        <v>0</v>
      </c>
      <c r="S30" s="7">
        <v>4</v>
      </c>
      <c r="T30" s="7">
        <v>0</v>
      </c>
      <c r="U30" s="7">
        <v>7</v>
      </c>
      <c r="V30" s="7">
        <v>0</v>
      </c>
      <c r="W30" s="7">
        <v>16</v>
      </c>
      <c r="X30" s="7">
        <v>6</v>
      </c>
      <c r="Y30" s="7">
        <v>1</v>
      </c>
      <c r="Z30" s="7">
        <v>1</v>
      </c>
      <c r="AA30" s="7">
        <v>0</v>
      </c>
      <c r="AB30" s="7">
        <v>1</v>
      </c>
      <c r="AC30" s="7">
        <v>1</v>
      </c>
    </row>
    <row r="31" spans="1:29" x14ac:dyDescent="0.55000000000000004">
      <c r="A31" s="2" t="s">
        <v>35</v>
      </c>
      <c r="B31" s="3" t="s">
        <v>55</v>
      </c>
      <c r="C31" s="7">
        <v>12</v>
      </c>
      <c r="D31" s="7">
        <v>0</v>
      </c>
      <c r="E31" s="7">
        <v>2</v>
      </c>
      <c r="F31" s="7">
        <v>1</v>
      </c>
      <c r="G31" s="7">
        <v>0</v>
      </c>
      <c r="H31" s="7">
        <v>1</v>
      </c>
      <c r="I31" s="7">
        <v>0</v>
      </c>
      <c r="J31" s="7">
        <v>0</v>
      </c>
      <c r="K31" s="7">
        <v>0</v>
      </c>
      <c r="L31" s="7">
        <v>0</v>
      </c>
      <c r="M31" s="7">
        <v>2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1</v>
      </c>
      <c r="U31" s="7">
        <v>2</v>
      </c>
      <c r="V31" s="7">
        <v>0</v>
      </c>
      <c r="W31" s="7">
        <v>1</v>
      </c>
      <c r="X31" s="7">
        <v>0</v>
      </c>
      <c r="Y31" s="7">
        <v>0</v>
      </c>
      <c r="Z31" s="7">
        <v>1</v>
      </c>
      <c r="AA31" s="7">
        <v>0</v>
      </c>
      <c r="AB31" s="7">
        <v>0</v>
      </c>
      <c r="AC31" s="7">
        <v>1</v>
      </c>
    </row>
    <row r="32" spans="1:29" x14ac:dyDescent="0.55000000000000004">
      <c r="A32" s="2" t="s">
        <v>36</v>
      </c>
      <c r="B32" s="3" t="s">
        <v>55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</row>
    <row r="34" spans="1:29" x14ac:dyDescent="0.55000000000000004">
      <c r="A34" s="1" t="s">
        <v>37</v>
      </c>
      <c r="B34" s="1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spans="1:29" x14ac:dyDescent="0.55000000000000004">
      <c r="A35" s="1" t="s">
        <v>28</v>
      </c>
      <c r="B35" s="1" t="s">
        <v>41</v>
      </c>
      <c r="D35" s="4" t="s">
        <v>20</v>
      </c>
      <c r="E35" s="4" t="s">
        <v>17</v>
      </c>
      <c r="F35" s="4" t="s">
        <v>16</v>
      </c>
      <c r="G35" s="4" t="s">
        <v>3</v>
      </c>
      <c r="H35" s="4" t="s">
        <v>14</v>
      </c>
      <c r="I35" s="4" t="s">
        <v>13</v>
      </c>
      <c r="J35" s="4" t="s">
        <v>11</v>
      </c>
      <c r="K35" s="4" t="s">
        <v>26</v>
      </c>
      <c r="L35" s="4" t="s">
        <v>9</v>
      </c>
      <c r="M35" s="4" t="s">
        <v>19</v>
      </c>
      <c r="N35" s="4" t="s">
        <v>27</v>
      </c>
      <c r="O35" s="4" t="s">
        <v>4</v>
      </c>
      <c r="P35" s="4" t="s">
        <v>25</v>
      </c>
      <c r="Q35" s="4" t="s">
        <v>8</v>
      </c>
      <c r="R35" s="4" t="s">
        <v>7</v>
      </c>
      <c r="S35" s="4" t="s">
        <v>18</v>
      </c>
      <c r="T35" s="4" t="s">
        <v>15</v>
      </c>
      <c r="U35" s="4" t="s">
        <v>12</v>
      </c>
      <c r="V35" s="4" t="s">
        <v>6</v>
      </c>
      <c r="W35" s="4" t="s">
        <v>21</v>
      </c>
      <c r="X35" s="4" t="s">
        <v>22</v>
      </c>
      <c r="Y35" s="4" t="s">
        <v>5</v>
      </c>
      <c r="Z35" s="4" t="s">
        <v>23</v>
      </c>
      <c r="AA35" s="4" t="s">
        <v>24</v>
      </c>
      <c r="AB35" s="4" t="s">
        <v>10</v>
      </c>
      <c r="AC35" s="4" t="s">
        <v>2</v>
      </c>
    </row>
    <row r="36" spans="1:29" x14ac:dyDescent="0.55000000000000004">
      <c r="A36" s="2" t="s">
        <v>29</v>
      </c>
      <c r="B36">
        <v>2</v>
      </c>
      <c r="D36" s="7">
        <f>HLOOKUP(D$35,$D$2:$AC$10,$B36,FALSE)</f>
        <v>2</v>
      </c>
      <c r="E36" s="7">
        <f t="shared" ref="E36:AC43" si="0">HLOOKUP(E$35,$D$2:$AC$10,$B36,FALSE)</f>
        <v>0</v>
      </c>
      <c r="F36" s="7">
        <f t="shared" si="0"/>
        <v>2</v>
      </c>
      <c r="G36" s="7">
        <f t="shared" si="0"/>
        <v>0</v>
      </c>
      <c r="H36" s="7">
        <f t="shared" si="0"/>
        <v>7</v>
      </c>
      <c r="I36" s="7">
        <f t="shared" si="0"/>
        <v>0</v>
      </c>
      <c r="J36" s="7">
        <f t="shared" si="0"/>
        <v>12</v>
      </c>
      <c r="K36" s="7">
        <f t="shared" si="0"/>
        <v>0</v>
      </c>
      <c r="L36" s="7">
        <f t="shared" si="0"/>
        <v>5</v>
      </c>
      <c r="M36" s="7">
        <f t="shared" si="0"/>
        <v>13</v>
      </c>
      <c r="N36" s="7">
        <f t="shared" si="0"/>
        <v>11</v>
      </c>
      <c r="O36" s="7">
        <f t="shared" si="0"/>
        <v>0</v>
      </c>
      <c r="P36" s="7">
        <f t="shared" si="0"/>
        <v>0</v>
      </c>
      <c r="Q36" s="7">
        <f t="shared" si="0"/>
        <v>0</v>
      </c>
      <c r="R36" s="7">
        <f t="shared" si="0"/>
        <v>2</v>
      </c>
      <c r="S36" s="7">
        <f t="shared" si="0"/>
        <v>1</v>
      </c>
      <c r="T36" s="7">
        <f t="shared" si="0"/>
        <v>3</v>
      </c>
      <c r="U36" s="7">
        <f t="shared" si="0"/>
        <v>5</v>
      </c>
      <c r="V36" s="7">
        <f t="shared" si="0"/>
        <v>2</v>
      </c>
      <c r="W36" s="7">
        <f t="shared" si="0"/>
        <v>2</v>
      </c>
      <c r="X36" s="7">
        <f t="shared" si="0"/>
        <v>0</v>
      </c>
      <c r="Y36" s="7">
        <f t="shared" si="0"/>
        <v>2</v>
      </c>
      <c r="Z36" s="7">
        <f t="shared" si="0"/>
        <v>12</v>
      </c>
      <c r="AA36" s="7">
        <f t="shared" si="0"/>
        <v>0</v>
      </c>
      <c r="AB36" s="7">
        <f t="shared" si="0"/>
        <v>0</v>
      </c>
      <c r="AC36" s="7">
        <f t="shared" si="0"/>
        <v>0</v>
      </c>
    </row>
    <row r="37" spans="1:29" x14ac:dyDescent="0.55000000000000004">
      <c r="A37" s="2" t="s">
        <v>30</v>
      </c>
      <c r="B37">
        <v>3</v>
      </c>
      <c r="D37" s="7">
        <f t="shared" ref="D37:D42" si="1">HLOOKUP(D$35,$D$2:$AC$10,$B37,FALSE)</f>
        <v>3</v>
      </c>
      <c r="E37" s="7">
        <f t="shared" si="0"/>
        <v>0</v>
      </c>
      <c r="F37" s="7">
        <f t="shared" si="0"/>
        <v>2</v>
      </c>
      <c r="G37" s="7">
        <f t="shared" si="0"/>
        <v>154</v>
      </c>
      <c r="H37" s="7">
        <f t="shared" si="0"/>
        <v>18</v>
      </c>
      <c r="I37" s="7">
        <f t="shared" si="0"/>
        <v>9</v>
      </c>
      <c r="J37" s="7">
        <f t="shared" si="0"/>
        <v>26</v>
      </c>
      <c r="K37" s="7">
        <f t="shared" si="0"/>
        <v>0</v>
      </c>
      <c r="L37" s="7">
        <f t="shared" si="0"/>
        <v>5</v>
      </c>
      <c r="M37" s="7">
        <f t="shared" si="0"/>
        <v>17</v>
      </c>
      <c r="N37" s="7">
        <f t="shared" si="0"/>
        <v>17</v>
      </c>
      <c r="O37" s="7">
        <f t="shared" si="0"/>
        <v>7</v>
      </c>
      <c r="P37" s="7">
        <f t="shared" si="0"/>
        <v>30</v>
      </c>
      <c r="Q37" s="7">
        <f t="shared" si="0"/>
        <v>0</v>
      </c>
      <c r="R37" s="7">
        <f t="shared" si="0"/>
        <v>0</v>
      </c>
      <c r="S37" s="7">
        <f t="shared" si="0"/>
        <v>0</v>
      </c>
      <c r="T37" s="7">
        <f t="shared" si="0"/>
        <v>7</v>
      </c>
      <c r="U37" s="7">
        <f t="shared" si="0"/>
        <v>25</v>
      </c>
      <c r="V37" s="7">
        <f t="shared" si="0"/>
        <v>6</v>
      </c>
      <c r="W37" s="7">
        <f t="shared" si="0"/>
        <v>20</v>
      </c>
      <c r="X37" s="7">
        <f t="shared" si="0"/>
        <v>2</v>
      </c>
      <c r="Y37" s="7">
        <f t="shared" si="0"/>
        <v>3</v>
      </c>
      <c r="Z37" s="7">
        <f t="shared" si="0"/>
        <v>96</v>
      </c>
      <c r="AA37" s="7">
        <f t="shared" si="0"/>
        <v>0</v>
      </c>
      <c r="AB37" s="7">
        <f t="shared" si="0"/>
        <v>0</v>
      </c>
      <c r="AC37" s="7">
        <f t="shared" si="0"/>
        <v>0</v>
      </c>
    </row>
    <row r="38" spans="1:29" x14ac:dyDescent="0.55000000000000004">
      <c r="A38" s="2" t="s">
        <v>31</v>
      </c>
      <c r="B38">
        <v>4</v>
      </c>
      <c r="D38" s="7">
        <f t="shared" si="1"/>
        <v>0</v>
      </c>
      <c r="E38" s="7">
        <f t="shared" si="0"/>
        <v>0</v>
      </c>
      <c r="F38" s="7">
        <f t="shared" si="0"/>
        <v>0</v>
      </c>
      <c r="G38" s="7">
        <f t="shared" si="0"/>
        <v>0</v>
      </c>
      <c r="H38" s="7">
        <f t="shared" si="0"/>
        <v>0</v>
      </c>
      <c r="I38" s="7">
        <f t="shared" si="0"/>
        <v>0</v>
      </c>
      <c r="J38" s="7">
        <f t="shared" si="0"/>
        <v>0</v>
      </c>
      <c r="K38" s="7">
        <f t="shared" si="0"/>
        <v>0</v>
      </c>
      <c r="L38" s="7">
        <f t="shared" si="0"/>
        <v>0</v>
      </c>
      <c r="M38" s="7">
        <f t="shared" si="0"/>
        <v>0</v>
      </c>
      <c r="N38" s="7">
        <f t="shared" si="0"/>
        <v>0</v>
      </c>
      <c r="O38" s="7">
        <f t="shared" si="0"/>
        <v>0</v>
      </c>
      <c r="P38" s="7">
        <f t="shared" si="0"/>
        <v>0</v>
      </c>
      <c r="Q38" s="7">
        <f t="shared" si="0"/>
        <v>0</v>
      </c>
      <c r="R38" s="7">
        <f t="shared" si="0"/>
        <v>0</v>
      </c>
      <c r="S38" s="7">
        <f t="shared" si="0"/>
        <v>0</v>
      </c>
      <c r="T38" s="7">
        <f t="shared" si="0"/>
        <v>0</v>
      </c>
      <c r="U38" s="7">
        <f t="shared" si="0"/>
        <v>0</v>
      </c>
      <c r="V38" s="7">
        <f t="shared" si="0"/>
        <v>0</v>
      </c>
      <c r="W38" s="7">
        <f t="shared" si="0"/>
        <v>0</v>
      </c>
      <c r="X38" s="7">
        <f t="shared" si="0"/>
        <v>0</v>
      </c>
      <c r="Y38" s="7">
        <f t="shared" si="0"/>
        <v>0</v>
      </c>
      <c r="Z38" s="7">
        <f t="shared" si="0"/>
        <v>0</v>
      </c>
      <c r="AA38" s="7">
        <f t="shared" si="0"/>
        <v>0</v>
      </c>
      <c r="AB38" s="7">
        <f t="shared" si="0"/>
        <v>0</v>
      </c>
      <c r="AC38" s="7">
        <f t="shared" si="0"/>
        <v>0</v>
      </c>
    </row>
    <row r="39" spans="1:29" x14ac:dyDescent="0.55000000000000004">
      <c r="A39" s="2" t="s">
        <v>32</v>
      </c>
      <c r="B39">
        <v>5</v>
      </c>
      <c r="D39" s="7">
        <f t="shared" si="1"/>
        <v>188</v>
      </c>
      <c r="E39" s="7">
        <f t="shared" si="0"/>
        <v>5</v>
      </c>
      <c r="F39" s="7">
        <f t="shared" si="0"/>
        <v>14</v>
      </c>
      <c r="G39" s="7">
        <f t="shared" si="0"/>
        <v>1681</v>
      </c>
      <c r="H39" s="7">
        <f t="shared" si="0"/>
        <v>563</v>
      </c>
      <c r="I39" s="7">
        <f t="shared" si="0"/>
        <v>79</v>
      </c>
      <c r="J39" s="7">
        <f t="shared" si="0"/>
        <v>355</v>
      </c>
      <c r="K39" s="7">
        <f t="shared" si="0"/>
        <v>188</v>
      </c>
      <c r="L39" s="7">
        <f t="shared" si="0"/>
        <v>69</v>
      </c>
      <c r="M39" s="7">
        <f t="shared" si="0"/>
        <v>158</v>
      </c>
      <c r="N39" s="7">
        <f t="shared" si="0"/>
        <v>85</v>
      </c>
      <c r="O39" s="7">
        <f t="shared" si="0"/>
        <v>304</v>
      </c>
      <c r="P39" s="7">
        <f t="shared" si="0"/>
        <v>156</v>
      </c>
      <c r="Q39" s="7">
        <f t="shared" si="0"/>
        <v>21</v>
      </c>
      <c r="R39" s="7">
        <f t="shared" si="0"/>
        <v>4</v>
      </c>
      <c r="S39" s="7">
        <f t="shared" si="0"/>
        <v>657</v>
      </c>
      <c r="T39" s="7">
        <f t="shared" si="0"/>
        <v>104</v>
      </c>
      <c r="U39" s="7">
        <f t="shared" si="0"/>
        <v>486</v>
      </c>
      <c r="V39" s="7">
        <f t="shared" si="0"/>
        <v>74</v>
      </c>
      <c r="W39" s="7">
        <f t="shared" si="0"/>
        <v>377</v>
      </c>
      <c r="X39" s="7">
        <f t="shared" si="0"/>
        <v>337</v>
      </c>
      <c r="Y39" s="7">
        <f t="shared" si="0"/>
        <v>8</v>
      </c>
      <c r="Z39" s="7">
        <f t="shared" si="0"/>
        <v>313</v>
      </c>
      <c r="AA39" s="7">
        <f t="shared" si="0"/>
        <v>331</v>
      </c>
      <c r="AB39" s="7">
        <f t="shared" si="0"/>
        <v>0</v>
      </c>
      <c r="AC39" s="7">
        <f t="shared" si="0"/>
        <v>729</v>
      </c>
    </row>
    <row r="40" spans="1:29" x14ac:dyDescent="0.55000000000000004">
      <c r="A40" s="2" t="s">
        <v>33</v>
      </c>
      <c r="B40">
        <v>6</v>
      </c>
      <c r="D40" s="7">
        <f t="shared" si="1"/>
        <v>38</v>
      </c>
      <c r="E40" s="7">
        <f t="shared" si="0"/>
        <v>2</v>
      </c>
      <c r="F40" s="7">
        <f t="shared" si="0"/>
        <v>28</v>
      </c>
      <c r="G40" s="7">
        <f t="shared" si="0"/>
        <v>230</v>
      </c>
      <c r="H40" s="7">
        <f t="shared" si="0"/>
        <v>36</v>
      </c>
      <c r="I40" s="7">
        <f t="shared" si="0"/>
        <v>44</v>
      </c>
      <c r="J40" s="7">
        <f t="shared" si="0"/>
        <v>128</v>
      </c>
      <c r="K40" s="7">
        <f t="shared" si="0"/>
        <v>3</v>
      </c>
      <c r="L40" s="7">
        <f t="shared" si="0"/>
        <v>1</v>
      </c>
      <c r="M40" s="7">
        <f t="shared" si="0"/>
        <v>82</v>
      </c>
      <c r="N40" s="7">
        <f t="shared" si="0"/>
        <v>4</v>
      </c>
      <c r="O40" s="7">
        <f t="shared" si="0"/>
        <v>190</v>
      </c>
      <c r="P40" s="7">
        <f t="shared" si="0"/>
        <v>9</v>
      </c>
      <c r="Q40" s="7">
        <f t="shared" si="0"/>
        <v>3</v>
      </c>
      <c r="R40" s="7">
        <f t="shared" si="0"/>
        <v>2</v>
      </c>
      <c r="S40" s="7">
        <f t="shared" si="0"/>
        <v>228</v>
      </c>
      <c r="T40" s="7">
        <f t="shared" si="0"/>
        <v>20</v>
      </c>
      <c r="U40" s="7">
        <f t="shared" si="0"/>
        <v>64</v>
      </c>
      <c r="V40" s="7">
        <f t="shared" si="0"/>
        <v>11</v>
      </c>
      <c r="W40" s="7">
        <f t="shared" si="0"/>
        <v>171</v>
      </c>
      <c r="X40" s="7">
        <f t="shared" si="0"/>
        <v>5</v>
      </c>
      <c r="Y40" s="7">
        <f t="shared" si="0"/>
        <v>6</v>
      </c>
      <c r="Z40" s="7">
        <f t="shared" si="0"/>
        <v>113</v>
      </c>
      <c r="AA40" s="7">
        <f t="shared" si="0"/>
        <v>18</v>
      </c>
      <c r="AB40" s="7">
        <f t="shared" si="0"/>
        <v>0</v>
      </c>
      <c r="AC40" s="7">
        <f t="shared" si="0"/>
        <v>444</v>
      </c>
    </row>
    <row r="41" spans="1:29" x14ac:dyDescent="0.55000000000000004">
      <c r="A41" s="2" t="s">
        <v>34</v>
      </c>
      <c r="B41">
        <v>7</v>
      </c>
      <c r="D41" s="7">
        <f t="shared" si="1"/>
        <v>0</v>
      </c>
      <c r="E41" s="7">
        <f t="shared" si="0"/>
        <v>1</v>
      </c>
      <c r="F41" s="7">
        <f t="shared" si="0"/>
        <v>6</v>
      </c>
      <c r="G41" s="7">
        <f t="shared" si="0"/>
        <v>185</v>
      </c>
      <c r="H41" s="7">
        <f t="shared" si="0"/>
        <v>11</v>
      </c>
      <c r="I41" s="7">
        <f t="shared" si="0"/>
        <v>35</v>
      </c>
      <c r="J41" s="7">
        <f t="shared" si="0"/>
        <v>50</v>
      </c>
      <c r="K41" s="7">
        <f t="shared" si="0"/>
        <v>0</v>
      </c>
      <c r="L41" s="7">
        <f t="shared" si="0"/>
        <v>6</v>
      </c>
      <c r="M41" s="7">
        <f t="shared" si="0"/>
        <v>4</v>
      </c>
      <c r="N41" s="7">
        <f t="shared" si="0"/>
        <v>3</v>
      </c>
      <c r="O41" s="7">
        <f t="shared" si="0"/>
        <v>0</v>
      </c>
      <c r="P41" s="7">
        <f t="shared" si="0"/>
        <v>3</v>
      </c>
      <c r="Q41" s="7">
        <f t="shared" si="0"/>
        <v>6</v>
      </c>
      <c r="R41" s="7">
        <f t="shared" si="0"/>
        <v>9</v>
      </c>
      <c r="S41" s="7">
        <f t="shared" si="0"/>
        <v>2</v>
      </c>
      <c r="T41" s="7">
        <f t="shared" si="0"/>
        <v>30</v>
      </c>
      <c r="U41" s="7">
        <f t="shared" si="0"/>
        <v>6</v>
      </c>
      <c r="V41" s="7">
        <f t="shared" si="0"/>
        <v>33</v>
      </c>
      <c r="W41" s="7">
        <f t="shared" si="0"/>
        <v>25</v>
      </c>
      <c r="X41" s="7">
        <f t="shared" si="0"/>
        <v>18</v>
      </c>
      <c r="Y41" s="7">
        <f t="shared" si="0"/>
        <v>3</v>
      </c>
      <c r="Z41" s="7">
        <f t="shared" si="0"/>
        <v>7</v>
      </c>
      <c r="AA41" s="7">
        <f t="shared" si="0"/>
        <v>14</v>
      </c>
      <c r="AB41" s="7">
        <f t="shared" si="0"/>
        <v>0</v>
      </c>
      <c r="AC41" s="7">
        <f t="shared" si="0"/>
        <v>20</v>
      </c>
    </row>
    <row r="42" spans="1:29" x14ac:dyDescent="0.55000000000000004">
      <c r="A42" s="2" t="s">
        <v>35</v>
      </c>
      <c r="B42">
        <v>8</v>
      </c>
      <c r="D42" s="7">
        <f t="shared" si="1"/>
        <v>4</v>
      </c>
      <c r="E42" s="7">
        <f t="shared" si="0"/>
        <v>0</v>
      </c>
      <c r="F42" s="7">
        <f t="shared" si="0"/>
        <v>8</v>
      </c>
      <c r="G42" s="7">
        <f t="shared" si="0"/>
        <v>55</v>
      </c>
      <c r="H42" s="7">
        <f t="shared" si="0"/>
        <v>17</v>
      </c>
      <c r="I42" s="7">
        <f t="shared" si="0"/>
        <v>5</v>
      </c>
      <c r="J42" s="7">
        <f t="shared" si="0"/>
        <v>18</v>
      </c>
      <c r="K42" s="7">
        <f t="shared" si="0"/>
        <v>26</v>
      </c>
      <c r="L42" s="7">
        <f t="shared" si="0"/>
        <v>6</v>
      </c>
      <c r="M42" s="7">
        <f t="shared" si="0"/>
        <v>16</v>
      </c>
      <c r="N42" s="7">
        <f t="shared" si="0"/>
        <v>12</v>
      </c>
      <c r="O42" s="7">
        <f t="shared" si="0"/>
        <v>11</v>
      </c>
      <c r="P42" s="7">
        <f t="shared" si="0"/>
        <v>17</v>
      </c>
      <c r="Q42" s="7">
        <f t="shared" si="0"/>
        <v>1</v>
      </c>
      <c r="R42" s="7">
        <f t="shared" si="0"/>
        <v>0</v>
      </c>
      <c r="S42" s="7">
        <f t="shared" si="0"/>
        <v>30</v>
      </c>
      <c r="T42" s="7">
        <f t="shared" si="0"/>
        <v>0</v>
      </c>
      <c r="U42" s="7">
        <f t="shared" si="0"/>
        <v>13</v>
      </c>
      <c r="V42" s="7">
        <f t="shared" si="0"/>
        <v>4</v>
      </c>
      <c r="W42" s="7">
        <f t="shared" si="0"/>
        <v>11</v>
      </c>
      <c r="X42" s="7">
        <f t="shared" si="0"/>
        <v>29</v>
      </c>
      <c r="Y42" s="7">
        <f t="shared" si="0"/>
        <v>4</v>
      </c>
      <c r="Z42" s="7">
        <f t="shared" si="0"/>
        <v>126</v>
      </c>
      <c r="AA42" s="7">
        <f t="shared" si="0"/>
        <v>13</v>
      </c>
      <c r="AB42" s="7">
        <f t="shared" si="0"/>
        <v>0</v>
      </c>
      <c r="AC42" s="7">
        <f t="shared" si="0"/>
        <v>0</v>
      </c>
    </row>
    <row r="43" spans="1:29" x14ac:dyDescent="0.55000000000000004">
      <c r="A43" s="2" t="s">
        <v>36</v>
      </c>
      <c r="B43">
        <v>9</v>
      </c>
      <c r="D43" s="7">
        <f>HLOOKUP(D$35,$D$2:$AC$10,$B43,FALSE)</f>
        <v>0</v>
      </c>
      <c r="E43" s="7">
        <f t="shared" si="0"/>
        <v>0</v>
      </c>
      <c r="F43" s="7">
        <f t="shared" si="0"/>
        <v>0</v>
      </c>
      <c r="G43" s="7">
        <f t="shared" si="0"/>
        <v>3</v>
      </c>
      <c r="H43" s="7">
        <f t="shared" si="0"/>
        <v>0</v>
      </c>
      <c r="I43" s="7">
        <f t="shared" si="0"/>
        <v>0</v>
      </c>
      <c r="J43" s="7">
        <f t="shared" si="0"/>
        <v>0</v>
      </c>
      <c r="K43" s="7">
        <f t="shared" si="0"/>
        <v>2</v>
      </c>
      <c r="L43" s="7">
        <f t="shared" si="0"/>
        <v>0</v>
      </c>
      <c r="M43" s="7">
        <f t="shared" si="0"/>
        <v>3</v>
      </c>
      <c r="N43" s="7">
        <f t="shared" si="0"/>
        <v>0</v>
      </c>
      <c r="O43" s="7">
        <f t="shared" si="0"/>
        <v>0</v>
      </c>
      <c r="P43" s="7">
        <f t="shared" si="0"/>
        <v>0</v>
      </c>
      <c r="Q43" s="7">
        <f t="shared" si="0"/>
        <v>0</v>
      </c>
      <c r="R43" s="7">
        <f t="shared" si="0"/>
        <v>0</v>
      </c>
      <c r="S43" s="7">
        <f t="shared" si="0"/>
        <v>0</v>
      </c>
      <c r="T43" s="7">
        <f t="shared" si="0"/>
        <v>0</v>
      </c>
      <c r="U43" s="7">
        <f t="shared" si="0"/>
        <v>0</v>
      </c>
      <c r="V43" s="7">
        <f t="shared" si="0"/>
        <v>0</v>
      </c>
      <c r="W43" s="7">
        <f t="shared" si="0"/>
        <v>2</v>
      </c>
      <c r="X43" s="7">
        <f t="shared" si="0"/>
        <v>0</v>
      </c>
      <c r="Y43" s="7">
        <f t="shared" si="0"/>
        <v>0</v>
      </c>
      <c r="Z43" s="7">
        <f t="shared" si="0"/>
        <v>1</v>
      </c>
      <c r="AA43" s="7">
        <f t="shared" si="0"/>
        <v>0</v>
      </c>
      <c r="AB43" s="7">
        <f t="shared" si="0"/>
        <v>0</v>
      </c>
      <c r="AC43" s="7">
        <f t="shared" si="0"/>
        <v>0</v>
      </c>
    </row>
    <row r="44" spans="1:29" x14ac:dyDescent="0.55000000000000004">
      <c r="A44" s="2"/>
    </row>
    <row r="45" spans="1:29" x14ac:dyDescent="0.55000000000000004">
      <c r="A45" s="1" t="s">
        <v>39</v>
      </c>
      <c r="B45" s="1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spans="1:29" x14ac:dyDescent="0.55000000000000004">
      <c r="A46" s="1" t="s">
        <v>28</v>
      </c>
      <c r="B46" s="1" t="s">
        <v>41</v>
      </c>
      <c r="D46" s="4" t="s">
        <v>20</v>
      </c>
      <c r="E46" s="4" t="s">
        <v>17</v>
      </c>
      <c r="F46" s="4" t="s">
        <v>16</v>
      </c>
      <c r="G46" s="4" t="s">
        <v>3</v>
      </c>
      <c r="H46" s="4" t="s">
        <v>14</v>
      </c>
      <c r="I46" s="4" t="s">
        <v>13</v>
      </c>
      <c r="J46" s="4" t="s">
        <v>11</v>
      </c>
      <c r="K46" s="4" t="s">
        <v>26</v>
      </c>
      <c r="L46" s="4" t="s">
        <v>9</v>
      </c>
      <c r="M46" s="4" t="s">
        <v>19</v>
      </c>
      <c r="N46" s="4" t="s">
        <v>27</v>
      </c>
      <c r="O46" s="4" t="s">
        <v>4</v>
      </c>
      <c r="P46" s="4" t="s">
        <v>25</v>
      </c>
      <c r="Q46" s="4" t="s">
        <v>8</v>
      </c>
      <c r="R46" s="4" t="s">
        <v>7</v>
      </c>
      <c r="S46" s="4" t="s">
        <v>18</v>
      </c>
      <c r="T46" s="4" t="s">
        <v>15</v>
      </c>
      <c r="U46" s="4" t="s">
        <v>12</v>
      </c>
      <c r="V46" s="4" t="s">
        <v>6</v>
      </c>
      <c r="W46" s="4" t="s">
        <v>21</v>
      </c>
      <c r="X46" s="4" t="s">
        <v>22</v>
      </c>
      <c r="Y46" s="4" t="s">
        <v>5</v>
      </c>
      <c r="Z46" s="4" t="s">
        <v>23</v>
      </c>
      <c r="AA46" s="4" t="s">
        <v>24</v>
      </c>
      <c r="AB46" s="4" t="s">
        <v>10</v>
      </c>
      <c r="AC46" s="4" t="s">
        <v>2</v>
      </c>
    </row>
    <row r="47" spans="1:29" x14ac:dyDescent="0.55000000000000004">
      <c r="A47" s="2" t="s">
        <v>29</v>
      </c>
      <c r="B47">
        <v>2</v>
      </c>
      <c r="D47" s="7">
        <f>HLOOKUP(D$46,$D$13:$AC$21,$B47,FALSE)</f>
        <v>1</v>
      </c>
      <c r="E47" s="7">
        <f t="shared" ref="E47:AC54" si="2">HLOOKUP(E$46,$D$13:$AC$21,$B47,FALSE)</f>
        <v>0</v>
      </c>
      <c r="F47" s="7">
        <f t="shared" si="2"/>
        <v>0</v>
      </c>
      <c r="G47" s="7">
        <f t="shared" si="2"/>
        <v>0</v>
      </c>
      <c r="H47" s="7">
        <f t="shared" si="2"/>
        <v>0</v>
      </c>
      <c r="I47" s="7">
        <f t="shared" si="2"/>
        <v>0</v>
      </c>
      <c r="J47" s="7">
        <f t="shared" si="2"/>
        <v>1</v>
      </c>
      <c r="K47" s="7">
        <f t="shared" si="2"/>
        <v>0</v>
      </c>
      <c r="L47" s="7">
        <f t="shared" si="2"/>
        <v>1</v>
      </c>
      <c r="M47" s="7">
        <f t="shared" si="2"/>
        <v>2</v>
      </c>
      <c r="N47" s="7">
        <f t="shared" si="2"/>
        <v>1</v>
      </c>
      <c r="O47" s="7">
        <f t="shared" si="2"/>
        <v>0</v>
      </c>
      <c r="P47" s="7">
        <f t="shared" si="2"/>
        <v>0</v>
      </c>
      <c r="Q47" s="7">
        <f t="shared" si="2"/>
        <v>0</v>
      </c>
      <c r="R47" s="7">
        <f t="shared" si="2"/>
        <v>1</v>
      </c>
      <c r="S47" s="7">
        <f t="shared" si="2"/>
        <v>0</v>
      </c>
      <c r="T47" s="7">
        <f t="shared" si="2"/>
        <v>0</v>
      </c>
      <c r="U47" s="7">
        <f t="shared" si="2"/>
        <v>0</v>
      </c>
      <c r="V47" s="7">
        <f t="shared" si="2"/>
        <v>0</v>
      </c>
      <c r="W47" s="7">
        <f t="shared" si="2"/>
        <v>0</v>
      </c>
      <c r="X47" s="7">
        <f t="shared" si="2"/>
        <v>0</v>
      </c>
      <c r="Y47" s="7">
        <f t="shared" si="2"/>
        <v>1</v>
      </c>
      <c r="Z47" s="7">
        <f t="shared" si="2"/>
        <v>0</v>
      </c>
      <c r="AA47" s="7">
        <f t="shared" si="2"/>
        <v>0</v>
      </c>
      <c r="AB47" s="7">
        <f t="shared" si="2"/>
        <v>0</v>
      </c>
      <c r="AC47" s="7">
        <f t="shared" si="2"/>
        <v>0</v>
      </c>
    </row>
    <row r="48" spans="1:29" x14ac:dyDescent="0.55000000000000004">
      <c r="A48" s="2" t="s">
        <v>30</v>
      </c>
      <c r="B48">
        <v>3</v>
      </c>
      <c r="D48" s="7">
        <f t="shared" ref="D48:S54" si="3">HLOOKUP(D$46,$D$13:$AC$21,$B48,FALSE)</f>
        <v>5</v>
      </c>
      <c r="E48" s="7">
        <f t="shared" si="3"/>
        <v>0</v>
      </c>
      <c r="F48" s="7">
        <f t="shared" si="3"/>
        <v>2</v>
      </c>
      <c r="G48" s="7">
        <f t="shared" si="3"/>
        <v>54</v>
      </c>
      <c r="H48" s="7">
        <f t="shared" si="3"/>
        <v>12</v>
      </c>
      <c r="I48" s="7">
        <f t="shared" si="3"/>
        <v>1</v>
      </c>
      <c r="J48" s="7">
        <f t="shared" si="3"/>
        <v>13</v>
      </c>
      <c r="K48" s="7">
        <f t="shared" si="3"/>
        <v>0</v>
      </c>
      <c r="L48" s="7">
        <f t="shared" si="3"/>
        <v>1</v>
      </c>
      <c r="M48" s="7">
        <f t="shared" si="3"/>
        <v>11</v>
      </c>
      <c r="N48" s="7">
        <f t="shared" si="3"/>
        <v>2</v>
      </c>
      <c r="O48" s="7">
        <f t="shared" si="3"/>
        <v>8</v>
      </c>
      <c r="P48" s="7">
        <f t="shared" si="3"/>
        <v>9</v>
      </c>
      <c r="Q48" s="7">
        <f t="shared" si="3"/>
        <v>2</v>
      </c>
      <c r="R48" s="7">
        <f t="shared" si="3"/>
        <v>0</v>
      </c>
      <c r="S48" s="7">
        <f t="shared" si="3"/>
        <v>0</v>
      </c>
      <c r="T48" s="7">
        <f t="shared" si="2"/>
        <v>2</v>
      </c>
      <c r="U48" s="7">
        <f t="shared" si="2"/>
        <v>12</v>
      </c>
      <c r="V48" s="7">
        <f t="shared" si="2"/>
        <v>1</v>
      </c>
      <c r="W48" s="7">
        <f t="shared" si="2"/>
        <v>9</v>
      </c>
      <c r="X48" s="7">
        <f t="shared" si="2"/>
        <v>0</v>
      </c>
      <c r="Y48" s="7">
        <f t="shared" si="2"/>
        <v>0</v>
      </c>
      <c r="Z48" s="7">
        <f t="shared" si="2"/>
        <v>28</v>
      </c>
      <c r="AA48" s="7">
        <f t="shared" si="2"/>
        <v>3</v>
      </c>
      <c r="AB48" s="7">
        <f t="shared" si="2"/>
        <v>0</v>
      </c>
      <c r="AC48" s="7">
        <f t="shared" si="2"/>
        <v>0</v>
      </c>
    </row>
    <row r="49" spans="1:29" x14ac:dyDescent="0.55000000000000004">
      <c r="A49" s="2" t="s">
        <v>31</v>
      </c>
      <c r="B49">
        <v>4</v>
      </c>
      <c r="D49" s="7">
        <f t="shared" si="3"/>
        <v>0</v>
      </c>
      <c r="E49" s="7">
        <f t="shared" si="2"/>
        <v>0</v>
      </c>
      <c r="F49" s="7">
        <f t="shared" si="2"/>
        <v>0</v>
      </c>
      <c r="G49" s="7">
        <f t="shared" si="2"/>
        <v>5</v>
      </c>
      <c r="H49" s="7">
        <f t="shared" si="2"/>
        <v>2</v>
      </c>
      <c r="I49" s="7">
        <f t="shared" si="2"/>
        <v>1</v>
      </c>
      <c r="J49" s="7">
        <f t="shared" si="2"/>
        <v>1</v>
      </c>
      <c r="K49" s="7">
        <f t="shared" si="2"/>
        <v>0</v>
      </c>
      <c r="L49" s="7">
        <f t="shared" si="2"/>
        <v>0</v>
      </c>
      <c r="M49" s="7">
        <f t="shared" si="2"/>
        <v>1</v>
      </c>
      <c r="N49" s="7">
        <f t="shared" si="2"/>
        <v>0</v>
      </c>
      <c r="O49" s="7">
        <f t="shared" si="2"/>
        <v>0</v>
      </c>
      <c r="P49" s="7">
        <f t="shared" si="2"/>
        <v>0</v>
      </c>
      <c r="Q49" s="7">
        <f t="shared" si="2"/>
        <v>0</v>
      </c>
      <c r="R49" s="7">
        <f t="shared" si="2"/>
        <v>0</v>
      </c>
      <c r="S49" s="7">
        <f t="shared" si="2"/>
        <v>0</v>
      </c>
      <c r="T49" s="7">
        <f t="shared" si="2"/>
        <v>1</v>
      </c>
      <c r="U49" s="7">
        <f t="shared" si="2"/>
        <v>0</v>
      </c>
      <c r="V49" s="7">
        <f t="shared" si="2"/>
        <v>0</v>
      </c>
      <c r="W49" s="7">
        <f t="shared" si="2"/>
        <v>0</v>
      </c>
      <c r="X49" s="7">
        <f t="shared" si="2"/>
        <v>0</v>
      </c>
      <c r="Y49" s="7">
        <f t="shared" si="2"/>
        <v>0</v>
      </c>
      <c r="Z49" s="7">
        <f t="shared" si="2"/>
        <v>2</v>
      </c>
      <c r="AA49" s="7">
        <f t="shared" si="2"/>
        <v>0</v>
      </c>
      <c r="AB49" s="7">
        <f t="shared" si="2"/>
        <v>0</v>
      </c>
      <c r="AC49" s="7">
        <f t="shared" si="2"/>
        <v>0</v>
      </c>
    </row>
    <row r="50" spans="1:29" x14ac:dyDescent="0.55000000000000004">
      <c r="A50" s="2" t="s">
        <v>32</v>
      </c>
      <c r="B50">
        <v>5</v>
      </c>
      <c r="D50" s="7">
        <f t="shared" si="3"/>
        <v>21</v>
      </c>
      <c r="E50" s="7">
        <f t="shared" si="2"/>
        <v>0</v>
      </c>
      <c r="F50" s="7">
        <f t="shared" si="2"/>
        <v>4</v>
      </c>
      <c r="G50" s="7">
        <f t="shared" si="2"/>
        <v>222</v>
      </c>
      <c r="H50" s="7">
        <f t="shared" si="2"/>
        <v>43</v>
      </c>
      <c r="I50" s="7">
        <f t="shared" si="2"/>
        <v>22</v>
      </c>
      <c r="J50" s="7">
        <f t="shared" si="2"/>
        <v>38</v>
      </c>
      <c r="K50" s="7">
        <f t="shared" si="2"/>
        <v>2</v>
      </c>
      <c r="L50" s="7">
        <f t="shared" si="2"/>
        <v>6</v>
      </c>
      <c r="M50" s="7">
        <f t="shared" si="2"/>
        <v>35</v>
      </c>
      <c r="N50" s="7">
        <f t="shared" si="2"/>
        <v>6</v>
      </c>
      <c r="O50" s="7">
        <f t="shared" si="2"/>
        <v>76</v>
      </c>
      <c r="P50" s="7">
        <f t="shared" si="2"/>
        <v>10</v>
      </c>
      <c r="Q50" s="7">
        <f t="shared" si="2"/>
        <v>30</v>
      </c>
      <c r="R50" s="7">
        <f t="shared" si="2"/>
        <v>1</v>
      </c>
      <c r="S50" s="7">
        <f t="shared" si="2"/>
        <v>18</v>
      </c>
      <c r="T50" s="7">
        <f t="shared" si="2"/>
        <v>4</v>
      </c>
      <c r="U50" s="7">
        <f t="shared" si="2"/>
        <v>46</v>
      </c>
      <c r="V50" s="7">
        <f t="shared" si="2"/>
        <v>21</v>
      </c>
      <c r="W50" s="7">
        <f t="shared" si="2"/>
        <v>31</v>
      </c>
      <c r="X50" s="7">
        <f t="shared" si="2"/>
        <v>20</v>
      </c>
      <c r="Y50" s="7">
        <f t="shared" si="2"/>
        <v>3</v>
      </c>
      <c r="Z50" s="7">
        <f t="shared" si="2"/>
        <v>16</v>
      </c>
      <c r="AA50" s="7">
        <f t="shared" si="2"/>
        <v>35</v>
      </c>
      <c r="AB50" s="7">
        <f t="shared" si="2"/>
        <v>0</v>
      </c>
      <c r="AC50" s="7">
        <f t="shared" si="2"/>
        <v>65</v>
      </c>
    </row>
    <row r="51" spans="1:29" x14ac:dyDescent="0.55000000000000004">
      <c r="A51" s="2" t="s">
        <v>33</v>
      </c>
      <c r="B51">
        <v>6</v>
      </c>
      <c r="D51" s="7">
        <f t="shared" si="3"/>
        <v>17</v>
      </c>
      <c r="E51" s="7">
        <f t="shared" si="2"/>
        <v>4</v>
      </c>
      <c r="F51" s="7">
        <f t="shared" si="2"/>
        <v>4</v>
      </c>
      <c r="G51" s="7">
        <f t="shared" si="2"/>
        <v>62</v>
      </c>
      <c r="H51" s="7">
        <f t="shared" si="2"/>
        <v>5</v>
      </c>
      <c r="I51" s="7">
        <f t="shared" si="2"/>
        <v>5</v>
      </c>
      <c r="J51" s="7">
        <f t="shared" si="2"/>
        <v>22</v>
      </c>
      <c r="K51" s="7">
        <f t="shared" si="2"/>
        <v>0</v>
      </c>
      <c r="L51" s="7">
        <f t="shared" si="2"/>
        <v>0</v>
      </c>
      <c r="M51" s="7">
        <f t="shared" si="2"/>
        <v>38</v>
      </c>
      <c r="N51" s="7">
        <f t="shared" si="2"/>
        <v>1</v>
      </c>
      <c r="O51" s="7">
        <f t="shared" si="2"/>
        <v>122</v>
      </c>
      <c r="P51" s="7">
        <f t="shared" si="2"/>
        <v>0</v>
      </c>
      <c r="Q51" s="7">
        <f t="shared" si="2"/>
        <v>10</v>
      </c>
      <c r="R51" s="7">
        <f t="shared" si="2"/>
        <v>3</v>
      </c>
      <c r="S51" s="7">
        <f t="shared" si="2"/>
        <v>28</v>
      </c>
      <c r="T51" s="7">
        <f t="shared" si="2"/>
        <v>4</v>
      </c>
      <c r="U51" s="7">
        <f t="shared" si="2"/>
        <v>17</v>
      </c>
      <c r="V51" s="7">
        <f t="shared" si="2"/>
        <v>7</v>
      </c>
      <c r="W51" s="7">
        <f t="shared" si="2"/>
        <v>20</v>
      </c>
      <c r="X51" s="7">
        <f t="shared" si="2"/>
        <v>2</v>
      </c>
      <c r="Y51" s="7">
        <f t="shared" si="2"/>
        <v>2</v>
      </c>
      <c r="Z51" s="7">
        <f t="shared" si="2"/>
        <v>15</v>
      </c>
      <c r="AA51" s="7">
        <f t="shared" si="2"/>
        <v>1</v>
      </c>
      <c r="AB51" s="7">
        <f t="shared" si="2"/>
        <v>0</v>
      </c>
      <c r="AC51" s="7">
        <f t="shared" si="2"/>
        <v>150</v>
      </c>
    </row>
    <row r="52" spans="1:29" x14ac:dyDescent="0.55000000000000004">
      <c r="A52" s="2" t="s">
        <v>34</v>
      </c>
      <c r="B52">
        <v>7</v>
      </c>
      <c r="D52" s="7">
        <f t="shared" si="3"/>
        <v>0</v>
      </c>
      <c r="E52" s="7">
        <f t="shared" si="2"/>
        <v>2</v>
      </c>
      <c r="F52" s="7">
        <f t="shared" si="2"/>
        <v>2</v>
      </c>
      <c r="G52" s="7">
        <f t="shared" si="2"/>
        <v>167</v>
      </c>
      <c r="H52" s="7">
        <f t="shared" si="2"/>
        <v>7</v>
      </c>
      <c r="I52" s="7">
        <f t="shared" si="2"/>
        <v>60</v>
      </c>
      <c r="J52" s="7">
        <f t="shared" si="2"/>
        <v>49</v>
      </c>
      <c r="K52" s="7">
        <f t="shared" si="2"/>
        <v>0</v>
      </c>
      <c r="L52" s="7">
        <f t="shared" si="2"/>
        <v>7</v>
      </c>
      <c r="M52" s="7">
        <f t="shared" si="2"/>
        <v>12</v>
      </c>
      <c r="N52" s="7">
        <f t="shared" si="2"/>
        <v>0</v>
      </c>
      <c r="O52" s="7">
        <f t="shared" si="2"/>
        <v>0</v>
      </c>
      <c r="P52" s="7">
        <f t="shared" si="2"/>
        <v>3</v>
      </c>
      <c r="Q52" s="7">
        <f t="shared" si="2"/>
        <v>29</v>
      </c>
      <c r="R52" s="7">
        <f t="shared" si="2"/>
        <v>9</v>
      </c>
      <c r="S52" s="7">
        <f t="shared" si="2"/>
        <v>1</v>
      </c>
      <c r="T52" s="7">
        <f t="shared" si="2"/>
        <v>15</v>
      </c>
      <c r="U52" s="7">
        <f t="shared" si="2"/>
        <v>12</v>
      </c>
      <c r="V52" s="7">
        <f t="shared" si="2"/>
        <v>35</v>
      </c>
      <c r="W52" s="7">
        <f t="shared" si="2"/>
        <v>10</v>
      </c>
      <c r="X52" s="7">
        <f t="shared" si="2"/>
        <v>12</v>
      </c>
      <c r="Y52" s="7">
        <f t="shared" si="2"/>
        <v>6</v>
      </c>
      <c r="Z52" s="7">
        <f t="shared" si="2"/>
        <v>11</v>
      </c>
      <c r="AA52" s="7">
        <f t="shared" si="2"/>
        <v>24</v>
      </c>
      <c r="AB52" s="7">
        <f t="shared" si="2"/>
        <v>0</v>
      </c>
      <c r="AC52" s="7">
        <f t="shared" si="2"/>
        <v>14</v>
      </c>
    </row>
    <row r="53" spans="1:29" x14ac:dyDescent="0.55000000000000004">
      <c r="A53" s="2" t="s">
        <v>35</v>
      </c>
      <c r="B53">
        <v>8</v>
      </c>
      <c r="D53" s="7">
        <f t="shared" si="3"/>
        <v>1</v>
      </c>
      <c r="E53" s="7">
        <f t="shared" si="2"/>
        <v>0</v>
      </c>
      <c r="F53" s="7">
        <f t="shared" si="2"/>
        <v>2</v>
      </c>
      <c r="G53" s="7">
        <f t="shared" si="2"/>
        <v>32</v>
      </c>
      <c r="H53" s="7">
        <f t="shared" si="2"/>
        <v>11</v>
      </c>
      <c r="I53" s="7">
        <f t="shared" si="2"/>
        <v>6</v>
      </c>
      <c r="J53" s="7">
        <f t="shared" si="2"/>
        <v>3</v>
      </c>
      <c r="K53" s="7">
        <f t="shared" si="2"/>
        <v>26</v>
      </c>
      <c r="L53" s="7">
        <f t="shared" si="2"/>
        <v>0</v>
      </c>
      <c r="M53" s="7">
        <f t="shared" si="2"/>
        <v>13</v>
      </c>
      <c r="N53" s="7">
        <f t="shared" si="2"/>
        <v>3</v>
      </c>
      <c r="O53" s="7">
        <f t="shared" si="2"/>
        <v>11</v>
      </c>
      <c r="P53" s="7">
        <f t="shared" si="2"/>
        <v>9</v>
      </c>
      <c r="Q53" s="7">
        <f t="shared" si="2"/>
        <v>1</v>
      </c>
      <c r="R53" s="7">
        <f t="shared" si="2"/>
        <v>0</v>
      </c>
      <c r="S53" s="7">
        <f t="shared" si="2"/>
        <v>3</v>
      </c>
      <c r="T53" s="7">
        <f t="shared" si="2"/>
        <v>6</v>
      </c>
      <c r="U53" s="7">
        <f t="shared" si="2"/>
        <v>1</v>
      </c>
      <c r="V53" s="7">
        <f t="shared" si="2"/>
        <v>1</v>
      </c>
      <c r="W53" s="7">
        <f t="shared" si="2"/>
        <v>0</v>
      </c>
      <c r="X53" s="7">
        <f t="shared" si="2"/>
        <v>5</v>
      </c>
      <c r="Y53" s="7">
        <f t="shared" si="2"/>
        <v>2</v>
      </c>
      <c r="Z53" s="7">
        <f t="shared" si="2"/>
        <v>24</v>
      </c>
      <c r="AA53" s="7">
        <f t="shared" si="2"/>
        <v>1</v>
      </c>
      <c r="AB53" s="7">
        <f t="shared" si="2"/>
        <v>0</v>
      </c>
      <c r="AC53" s="7">
        <f t="shared" si="2"/>
        <v>0</v>
      </c>
    </row>
    <row r="54" spans="1:29" x14ac:dyDescent="0.55000000000000004">
      <c r="A54" s="2" t="s">
        <v>36</v>
      </c>
      <c r="B54">
        <v>9</v>
      </c>
      <c r="D54" s="7">
        <f t="shared" si="3"/>
        <v>0</v>
      </c>
      <c r="E54" s="7">
        <f t="shared" si="2"/>
        <v>0</v>
      </c>
      <c r="F54" s="7">
        <f t="shared" si="2"/>
        <v>0</v>
      </c>
      <c r="G54" s="7">
        <f t="shared" si="2"/>
        <v>10</v>
      </c>
      <c r="H54" s="7">
        <f t="shared" si="2"/>
        <v>0</v>
      </c>
      <c r="I54" s="7">
        <f t="shared" si="2"/>
        <v>2</v>
      </c>
      <c r="J54" s="7">
        <f t="shared" si="2"/>
        <v>0</v>
      </c>
      <c r="K54" s="7">
        <f t="shared" si="2"/>
        <v>0</v>
      </c>
      <c r="L54" s="7">
        <f t="shared" si="2"/>
        <v>0</v>
      </c>
      <c r="M54" s="7">
        <f t="shared" si="2"/>
        <v>1</v>
      </c>
      <c r="N54" s="7">
        <f t="shared" si="2"/>
        <v>0</v>
      </c>
      <c r="O54" s="7">
        <f t="shared" si="2"/>
        <v>0</v>
      </c>
      <c r="P54" s="7">
        <f t="shared" si="2"/>
        <v>0</v>
      </c>
      <c r="Q54" s="7">
        <f t="shared" si="2"/>
        <v>0</v>
      </c>
      <c r="R54" s="7">
        <f t="shared" si="2"/>
        <v>0</v>
      </c>
      <c r="S54" s="7">
        <f t="shared" si="2"/>
        <v>0</v>
      </c>
      <c r="T54" s="7">
        <f t="shared" si="2"/>
        <v>0</v>
      </c>
      <c r="U54" s="7">
        <f t="shared" si="2"/>
        <v>0</v>
      </c>
      <c r="V54" s="7">
        <f t="shared" si="2"/>
        <v>0</v>
      </c>
      <c r="W54" s="7">
        <f t="shared" si="2"/>
        <v>0</v>
      </c>
      <c r="X54" s="7">
        <f t="shared" si="2"/>
        <v>0</v>
      </c>
      <c r="Y54" s="7">
        <f t="shared" si="2"/>
        <v>0</v>
      </c>
      <c r="Z54" s="7">
        <f t="shared" si="2"/>
        <v>1</v>
      </c>
      <c r="AA54" s="7">
        <f t="shared" si="2"/>
        <v>0</v>
      </c>
      <c r="AB54" s="7">
        <f t="shared" si="2"/>
        <v>0</v>
      </c>
      <c r="AC54" s="7">
        <f t="shared" si="2"/>
        <v>0</v>
      </c>
    </row>
    <row r="55" spans="1:29" x14ac:dyDescent="0.55000000000000004">
      <c r="A55" s="2"/>
    </row>
    <row r="56" spans="1:29" x14ac:dyDescent="0.55000000000000004">
      <c r="A56" s="1" t="s">
        <v>38</v>
      </c>
      <c r="B56" s="1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spans="1:29" x14ac:dyDescent="0.55000000000000004">
      <c r="A57" s="1" t="s">
        <v>28</v>
      </c>
      <c r="B57" s="1" t="s">
        <v>41</v>
      </c>
      <c r="D57" s="4" t="s">
        <v>20</v>
      </c>
      <c r="E57" s="4" t="s">
        <v>17</v>
      </c>
      <c r="F57" s="4" t="s">
        <v>16</v>
      </c>
      <c r="G57" s="4" t="s">
        <v>3</v>
      </c>
      <c r="H57" s="4" t="s">
        <v>14</v>
      </c>
      <c r="I57" s="4" t="s">
        <v>13</v>
      </c>
      <c r="J57" s="4" t="s">
        <v>11</v>
      </c>
      <c r="K57" s="4" t="s">
        <v>26</v>
      </c>
      <c r="L57" s="4" t="s">
        <v>9</v>
      </c>
      <c r="M57" s="4" t="s">
        <v>19</v>
      </c>
      <c r="N57" s="4" t="s">
        <v>27</v>
      </c>
      <c r="O57" s="4" t="s">
        <v>4</v>
      </c>
      <c r="P57" s="4" t="s">
        <v>25</v>
      </c>
      <c r="Q57" s="4" t="s">
        <v>8</v>
      </c>
      <c r="R57" s="4" t="s">
        <v>7</v>
      </c>
      <c r="S57" s="4" t="s">
        <v>18</v>
      </c>
      <c r="T57" s="4" t="s">
        <v>15</v>
      </c>
      <c r="U57" s="4" t="s">
        <v>12</v>
      </c>
      <c r="V57" s="4" t="s">
        <v>6</v>
      </c>
      <c r="W57" s="4" t="s">
        <v>21</v>
      </c>
      <c r="X57" s="4" t="s">
        <v>22</v>
      </c>
      <c r="Y57" s="4" t="s">
        <v>5</v>
      </c>
      <c r="Z57" s="4" t="s">
        <v>23</v>
      </c>
      <c r="AA57" s="4" t="s">
        <v>24</v>
      </c>
      <c r="AB57" s="4" t="s">
        <v>10</v>
      </c>
      <c r="AC57" s="4" t="s">
        <v>2</v>
      </c>
    </row>
    <row r="58" spans="1:29" x14ac:dyDescent="0.55000000000000004">
      <c r="A58" s="2" t="s">
        <v>29</v>
      </c>
      <c r="B58">
        <v>2</v>
      </c>
      <c r="D58" s="7">
        <f>HLOOKUP(D$57,$D$24:$AC$32,$B58,FALSE)</f>
        <v>0</v>
      </c>
      <c r="E58" s="7">
        <f t="shared" ref="E58:AC65" si="4">HLOOKUP(E$57,$D$24:$AC$32,$B58,FALSE)</f>
        <v>0</v>
      </c>
      <c r="F58" s="7">
        <f t="shared" si="4"/>
        <v>0</v>
      </c>
      <c r="G58" s="7">
        <f t="shared" si="4"/>
        <v>0</v>
      </c>
      <c r="H58" s="7">
        <f t="shared" si="4"/>
        <v>0</v>
      </c>
      <c r="I58" s="7">
        <f t="shared" si="4"/>
        <v>0</v>
      </c>
      <c r="J58" s="7">
        <f t="shared" si="4"/>
        <v>0</v>
      </c>
      <c r="K58" s="7">
        <f t="shared" si="4"/>
        <v>0</v>
      </c>
      <c r="L58" s="7">
        <f t="shared" si="4"/>
        <v>0</v>
      </c>
      <c r="M58" s="7">
        <f t="shared" si="4"/>
        <v>0</v>
      </c>
      <c r="N58" s="7">
        <f t="shared" si="4"/>
        <v>0</v>
      </c>
      <c r="O58" s="7">
        <f t="shared" si="4"/>
        <v>0</v>
      </c>
      <c r="P58" s="7">
        <f t="shared" si="4"/>
        <v>0</v>
      </c>
      <c r="Q58" s="7">
        <f t="shared" si="4"/>
        <v>0</v>
      </c>
      <c r="R58" s="7">
        <f t="shared" si="4"/>
        <v>0</v>
      </c>
      <c r="S58" s="7">
        <f t="shared" si="4"/>
        <v>0</v>
      </c>
      <c r="T58" s="7">
        <f t="shared" si="4"/>
        <v>0</v>
      </c>
      <c r="U58" s="7">
        <f t="shared" si="4"/>
        <v>0</v>
      </c>
      <c r="V58" s="7">
        <f t="shared" si="4"/>
        <v>0</v>
      </c>
      <c r="W58" s="7">
        <f t="shared" si="4"/>
        <v>0</v>
      </c>
      <c r="X58" s="7">
        <f t="shared" si="4"/>
        <v>0</v>
      </c>
      <c r="Y58" s="7">
        <f t="shared" si="4"/>
        <v>0</v>
      </c>
      <c r="Z58" s="7">
        <f t="shared" si="4"/>
        <v>0</v>
      </c>
      <c r="AA58" s="7">
        <f t="shared" si="4"/>
        <v>0</v>
      </c>
      <c r="AB58" s="7">
        <f t="shared" si="4"/>
        <v>0</v>
      </c>
      <c r="AC58" s="7">
        <f t="shared" si="4"/>
        <v>0</v>
      </c>
    </row>
    <row r="59" spans="1:29" x14ac:dyDescent="0.55000000000000004">
      <c r="A59" s="2" t="s">
        <v>30</v>
      </c>
      <c r="B59">
        <v>3</v>
      </c>
      <c r="D59" s="7">
        <f t="shared" ref="D59:D65" si="5">HLOOKUP(D$57,$D$24:$AC$32,$B59,FALSE)</f>
        <v>0</v>
      </c>
      <c r="E59" s="7">
        <f t="shared" si="4"/>
        <v>0</v>
      </c>
      <c r="F59" s="7">
        <f t="shared" si="4"/>
        <v>0</v>
      </c>
      <c r="G59" s="7">
        <f t="shared" si="4"/>
        <v>12</v>
      </c>
      <c r="H59" s="7">
        <f t="shared" si="4"/>
        <v>0</v>
      </c>
      <c r="I59" s="7">
        <f t="shared" si="4"/>
        <v>0</v>
      </c>
      <c r="J59" s="7">
        <f t="shared" si="4"/>
        <v>1</v>
      </c>
      <c r="K59" s="7">
        <f t="shared" si="4"/>
        <v>0</v>
      </c>
      <c r="L59" s="7">
        <f t="shared" si="4"/>
        <v>1</v>
      </c>
      <c r="M59" s="7">
        <f t="shared" si="4"/>
        <v>6</v>
      </c>
      <c r="N59" s="7">
        <f t="shared" si="4"/>
        <v>1</v>
      </c>
      <c r="O59" s="7">
        <f t="shared" si="4"/>
        <v>1</v>
      </c>
      <c r="P59" s="7">
        <f t="shared" si="4"/>
        <v>2</v>
      </c>
      <c r="Q59" s="7">
        <f t="shared" si="4"/>
        <v>0</v>
      </c>
      <c r="R59" s="7">
        <f t="shared" si="4"/>
        <v>0</v>
      </c>
      <c r="S59" s="7">
        <f t="shared" si="4"/>
        <v>0</v>
      </c>
      <c r="T59" s="7">
        <f t="shared" si="4"/>
        <v>0</v>
      </c>
      <c r="U59" s="7">
        <f t="shared" si="4"/>
        <v>1</v>
      </c>
      <c r="V59" s="7">
        <f t="shared" si="4"/>
        <v>0</v>
      </c>
      <c r="W59" s="7">
        <f t="shared" si="4"/>
        <v>2</v>
      </c>
      <c r="X59" s="7">
        <f t="shared" si="4"/>
        <v>0</v>
      </c>
      <c r="Y59" s="7">
        <f t="shared" si="4"/>
        <v>0</v>
      </c>
      <c r="Z59" s="7">
        <f t="shared" si="4"/>
        <v>5</v>
      </c>
      <c r="AA59" s="7">
        <f t="shared" si="4"/>
        <v>1</v>
      </c>
      <c r="AB59" s="7">
        <f t="shared" si="4"/>
        <v>0</v>
      </c>
      <c r="AC59" s="7">
        <f t="shared" si="4"/>
        <v>0</v>
      </c>
    </row>
    <row r="60" spans="1:29" x14ac:dyDescent="0.55000000000000004">
      <c r="A60" s="2" t="s">
        <v>31</v>
      </c>
      <c r="B60">
        <v>4</v>
      </c>
      <c r="D60" s="7">
        <f t="shared" si="5"/>
        <v>0</v>
      </c>
      <c r="E60" s="7">
        <f t="shared" si="4"/>
        <v>0</v>
      </c>
      <c r="F60" s="7">
        <f t="shared" si="4"/>
        <v>0</v>
      </c>
      <c r="G60" s="7">
        <f t="shared" si="4"/>
        <v>3</v>
      </c>
      <c r="H60" s="7">
        <f t="shared" si="4"/>
        <v>4</v>
      </c>
      <c r="I60" s="7">
        <f t="shared" si="4"/>
        <v>0</v>
      </c>
      <c r="J60" s="7">
        <f t="shared" si="4"/>
        <v>2</v>
      </c>
      <c r="K60" s="7">
        <f t="shared" si="4"/>
        <v>0</v>
      </c>
      <c r="L60" s="7">
        <f t="shared" si="4"/>
        <v>0</v>
      </c>
      <c r="M60" s="7">
        <f t="shared" si="4"/>
        <v>0</v>
      </c>
      <c r="N60" s="7">
        <f t="shared" si="4"/>
        <v>1</v>
      </c>
      <c r="O60" s="7">
        <f t="shared" si="4"/>
        <v>2</v>
      </c>
      <c r="P60" s="7">
        <f t="shared" si="4"/>
        <v>0</v>
      </c>
      <c r="Q60" s="7">
        <f t="shared" si="4"/>
        <v>0</v>
      </c>
      <c r="R60" s="7">
        <f t="shared" si="4"/>
        <v>0</v>
      </c>
      <c r="S60" s="7">
        <f t="shared" si="4"/>
        <v>1</v>
      </c>
      <c r="T60" s="7">
        <f t="shared" si="4"/>
        <v>0</v>
      </c>
      <c r="U60" s="7">
        <f t="shared" si="4"/>
        <v>1</v>
      </c>
      <c r="V60" s="7">
        <f t="shared" si="4"/>
        <v>0</v>
      </c>
      <c r="W60" s="7">
        <f t="shared" si="4"/>
        <v>0</v>
      </c>
      <c r="X60" s="7">
        <f t="shared" si="4"/>
        <v>0</v>
      </c>
      <c r="Y60" s="7">
        <f t="shared" si="4"/>
        <v>0</v>
      </c>
      <c r="Z60" s="7">
        <f t="shared" si="4"/>
        <v>2</v>
      </c>
      <c r="AA60" s="7">
        <f t="shared" si="4"/>
        <v>1</v>
      </c>
      <c r="AB60" s="7">
        <f t="shared" si="4"/>
        <v>0</v>
      </c>
      <c r="AC60" s="7">
        <f t="shared" si="4"/>
        <v>0</v>
      </c>
    </row>
    <row r="61" spans="1:29" x14ac:dyDescent="0.55000000000000004">
      <c r="A61" s="2" t="s">
        <v>32</v>
      </c>
      <c r="B61">
        <v>5</v>
      </c>
      <c r="D61" s="7">
        <f t="shared" si="5"/>
        <v>2</v>
      </c>
      <c r="E61" s="7">
        <f t="shared" si="4"/>
        <v>1</v>
      </c>
      <c r="F61" s="7">
        <f t="shared" si="4"/>
        <v>0</v>
      </c>
      <c r="G61" s="7">
        <f t="shared" si="4"/>
        <v>19</v>
      </c>
      <c r="H61" s="7">
        <f t="shared" si="4"/>
        <v>3</v>
      </c>
      <c r="I61" s="7">
        <f t="shared" si="4"/>
        <v>0</v>
      </c>
      <c r="J61" s="7">
        <f t="shared" si="4"/>
        <v>3</v>
      </c>
      <c r="K61" s="7">
        <f t="shared" si="4"/>
        <v>1</v>
      </c>
      <c r="L61" s="7">
        <f t="shared" si="4"/>
        <v>0</v>
      </c>
      <c r="M61" s="7">
        <f t="shared" si="4"/>
        <v>4</v>
      </c>
      <c r="N61" s="7">
        <f t="shared" si="4"/>
        <v>0</v>
      </c>
      <c r="O61" s="7">
        <f t="shared" si="4"/>
        <v>5</v>
      </c>
      <c r="P61" s="7">
        <f t="shared" si="4"/>
        <v>2</v>
      </c>
      <c r="Q61" s="7">
        <f t="shared" si="4"/>
        <v>0</v>
      </c>
      <c r="R61" s="7">
        <f t="shared" si="4"/>
        <v>0</v>
      </c>
      <c r="S61" s="7">
        <f t="shared" si="4"/>
        <v>5</v>
      </c>
      <c r="T61" s="7">
        <f t="shared" si="4"/>
        <v>2</v>
      </c>
      <c r="U61" s="7">
        <f t="shared" si="4"/>
        <v>6</v>
      </c>
      <c r="V61" s="7">
        <f t="shared" si="4"/>
        <v>0</v>
      </c>
      <c r="W61" s="7">
        <f t="shared" si="4"/>
        <v>10</v>
      </c>
      <c r="X61" s="7">
        <f t="shared" si="4"/>
        <v>4</v>
      </c>
      <c r="Y61" s="7">
        <f t="shared" si="4"/>
        <v>0</v>
      </c>
      <c r="Z61" s="7">
        <f t="shared" si="4"/>
        <v>5</v>
      </c>
      <c r="AA61" s="7">
        <f t="shared" si="4"/>
        <v>1</v>
      </c>
      <c r="AB61" s="7">
        <f t="shared" si="4"/>
        <v>0</v>
      </c>
      <c r="AC61" s="7">
        <f t="shared" si="4"/>
        <v>9</v>
      </c>
    </row>
    <row r="62" spans="1:29" x14ac:dyDescent="0.55000000000000004">
      <c r="A62" s="2" t="s">
        <v>33</v>
      </c>
      <c r="B62">
        <v>6</v>
      </c>
      <c r="D62" s="7">
        <f t="shared" si="5"/>
        <v>1</v>
      </c>
      <c r="E62" s="7">
        <f t="shared" si="4"/>
        <v>1</v>
      </c>
      <c r="F62" s="7">
        <f t="shared" si="4"/>
        <v>2</v>
      </c>
      <c r="G62" s="7">
        <f t="shared" si="4"/>
        <v>6</v>
      </c>
      <c r="H62" s="7">
        <f t="shared" si="4"/>
        <v>2</v>
      </c>
      <c r="I62" s="7">
        <f t="shared" si="4"/>
        <v>1</v>
      </c>
      <c r="J62" s="7">
        <f t="shared" si="4"/>
        <v>3</v>
      </c>
      <c r="K62" s="7">
        <f t="shared" si="4"/>
        <v>0</v>
      </c>
      <c r="L62" s="7">
        <f t="shared" si="4"/>
        <v>0</v>
      </c>
      <c r="M62" s="7">
        <f t="shared" si="4"/>
        <v>3</v>
      </c>
      <c r="N62" s="7">
        <f t="shared" si="4"/>
        <v>0</v>
      </c>
      <c r="O62" s="7">
        <f t="shared" si="4"/>
        <v>9</v>
      </c>
      <c r="P62" s="7">
        <f t="shared" si="4"/>
        <v>0</v>
      </c>
      <c r="Q62" s="7">
        <f t="shared" si="4"/>
        <v>0</v>
      </c>
      <c r="R62" s="7">
        <f t="shared" si="4"/>
        <v>1</v>
      </c>
      <c r="S62" s="7">
        <f t="shared" si="4"/>
        <v>7</v>
      </c>
      <c r="T62" s="7">
        <f t="shared" si="4"/>
        <v>0</v>
      </c>
      <c r="U62" s="7">
        <f t="shared" si="4"/>
        <v>3</v>
      </c>
      <c r="V62" s="7">
        <f t="shared" si="4"/>
        <v>3</v>
      </c>
      <c r="W62" s="7">
        <f t="shared" si="4"/>
        <v>6</v>
      </c>
      <c r="X62" s="7">
        <f t="shared" si="4"/>
        <v>3</v>
      </c>
      <c r="Y62" s="7">
        <f t="shared" si="4"/>
        <v>0</v>
      </c>
      <c r="Z62" s="7">
        <f t="shared" si="4"/>
        <v>0</v>
      </c>
      <c r="AA62" s="7">
        <f t="shared" si="4"/>
        <v>2</v>
      </c>
      <c r="AB62" s="7">
        <f t="shared" si="4"/>
        <v>0</v>
      </c>
      <c r="AC62" s="7">
        <f t="shared" si="4"/>
        <v>10</v>
      </c>
    </row>
    <row r="63" spans="1:29" x14ac:dyDescent="0.55000000000000004">
      <c r="A63" s="2" t="s">
        <v>34</v>
      </c>
      <c r="B63">
        <v>7</v>
      </c>
      <c r="D63" s="7">
        <f t="shared" si="5"/>
        <v>0</v>
      </c>
      <c r="E63" s="7">
        <f t="shared" si="4"/>
        <v>4</v>
      </c>
      <c r="F63" s="7">
        <f t="shared" si="4"/>
        <v>0</v>
      </c>
      <c r="G63" s="7">
        <f t="shared" si="4"/>
        <v>41</v>
      </c>
      <c r="H63" s="7">
        <f t="shared" si="4"/>
        <v>11</v>
      </c>
      <c r="I63" s="7">
        <f t="shared" si="4"/>
        <v>0</v>
      </c>
      <c r="J63" s="7">
        <f t="shared" si="4"/>
        <v>17</v>
      </c>
      <c r="K63" s="7">
        <f t="shared" si="4"/>
        <v>1</v>
      </c>
      <c r="L63" s="7">
        <f t="shared" si="4"/>
        <v>3</v>
      </c>
      <c r="M63" s="7">
        <f t="shared" si="4"/>
        <v>7</v>
      </c>
      <c r="N63" s="7">
        <f t="shared" si="4"/>
        <v>1</v>
      </c>
      <c r="O63" s="7">
        <f t="shared" si="4"/>
        <v>0</v>
      </c>
      <c r="P63" s="7">
        <f t="shared" si="4"/>
        <v>0</v>
      </c>
      <c r="Q63" s="7">
        <f t="shared" si="4"/>
        <v>4</v>
      </c>
      <c r="R63" s="7">
        <f t="shared" si="4"/>
        <v>2</v>
      </c>
      <c r="S63" s="7">
        <f t="shared" si="4"/>
        <v>0</v>
      </c>
      <c r="T63" s="7">
        <f t="shared" si="4"/>
        <v>2</v>
      </c>
      <c r="U63" s="7">
        <f t="shared" si="4"/>
        <v>2</v>
      </c>
      <c r="V63" s="7">
        <f t="shared" si="4"/>
        <v>1</v>
      </c>
      <c r="W63" s="7">
        <f t="shared" si="4"/>
        <v>16</v>
      </c>
      <c r="X63" s="7">
        <f t="shared" si="4"/>
        <v>6</v>
      </c>
      <c r="Y63" s="7">
        <f t="shared" si="4"/>
        <v>3</v>
      </c>
      <c r="Z63" s="7">
        <f t="shared" si="4"/>
        <v>1</v>
      </c>
      <c r="AA63" s="7">
        <f t="shared" si="4"/>
        <v>1</v>
      </c>
      <c r="AB63" s="7">
        <f t="shared" si="4"/>
        <v>0</v>
      </c>
      <c r="AC63" s="7">
        <f t="shared" si="4"/>
        <v>2</v>
      </c>
    </row>
    <row r="64" spans="1:29" x14ac:dyDescent="0.55000000000000004">
      <c r="A64" s="2" t="s">
        <v>35</v>
      </c>
      <c r="B64">
        <v>8</v>
      </c>
      <c r="D64" s="7">
        <f t="shared" si="5"/>
        <v>0</v>
      </c>
      <c r="E64" s="7">
        <f t="shared" si="4"/>
        <v>0</v>
      </c>
      <c r="F64" s="7">
        <f t="shared" si="4"/>
        <v>0</v>
      </c>
      <c r="G64" s="7">
        <f t="shared" si="4"/>
        <v>2</v>
      </c>
      <c r="H64" s="7">
        <f t="shared" si="4"/>
        <v>0</v>
      </c>
      <c r="I64" s="7">
        <f t="shared" si="4"/>
        <v>0</v>
      </c>
      <c r="J64" s="7">
        <f t="shared" si="4"/>
        <v>2</v>
      </c>
      <c r="K64" s="7">
        <f t="shared" si="4"/>
        <v>0</v>
      </c>
      <c r="L64" s="7">
        <f t="shared" si="4"/>
        <v>0</v>
      </c>
      <c r="M64" s="7">
        <f t="shared" si="4"/>
        <v>2</v>
      </c>
      <c r="N64" s="7">
        <f t="shared" si="4"/>
        <v>1</v>
      </c>
      <c r="O64" s="7">
        <f t="shared" si="4"/>
        <v>1</v>
      </c>
      <c r="P64" s="7">
        <f t="shared" si="4"/>
        <v>0</v>
      </c>
      <c r="Q64" s="7">
        <f t="shared" si="4"/>
        <v>0</v>
      </c>
      <c r="R64" s="7">
        <f t="shared" si="4"/>
        <v>0</v>
      </c>
      <c r="S64" s="7">
        <f t="shared" si="4"/>
        <v>1</v>
      </c>
      <c r="T64" s="7">
        <f t="shared" si="4"/>
        <v>0</v>
      </c>
      <c r="U64" s="7">
        <f t="shared" si="4"/>
        <v>0</v>
      </c>
      <c r="V64" s="7">
        <f t="shared" si="4"/>
        <v>1</v>
      </c>
      <c r="W64" s="7">
        <f t="shared" si="4"/>
        <v>1</v>
      </c>
      <c r="X64" s="7">
        <f t="shared" si="4"/>
        <v>0</v>
      </c>
      <c r="Y64" s="7">
        <f t="shared" si="4"/>
        <v>0</v>
      </c>
      <c r="Z64" s="7">
        <f t="shared" si="4"/>
        <v>0</v>
      </c>
      <c r="AA64" s="7">
        <f t="shared" si="4"/>
        <v>1</v>
      </c>
      <c r="AB64" s="7">
        <f t="shared" si="4"/>
        <v>0</v>
      </c>
      <c r="AC64" s="7">
        <f t="shared" si="4"/>
        <v>0</v>
      </c>
    </row>
    <row r="65" spans="1:29" x14ac:dyDescent="0.55000000000000004">
      <c r="A65" s="2" t="s">
        <v>36</v>
      </c>
      <c r="B65">
        <v>9</v>
      </c>
      <c r="D65" s="7">
        <f t="shared" si="5"/>
        <v>0</v>
      </c>
      <c r="E65" s="7">
        <f t="shared" si="4"/>
        <v>0</v>
      </c>
      <c r="F65" s="7">
        <f t="shared" si="4"/>
        <v>0</v>
      </c>
      <c r="G65" s="7">
        <f t="shared" si="4"/>
        <v>0</v>
      </c>
      <c r="H65" s="7">
        <f t="shared" si="4"/>
        <v>0</v>
      </c>
      <c r="I65" s="7">
        <f t="shared" si="4"/>
        <v>0</v>
      </c>
      <c r="J65" s="7">
        <f t="shared" si="4"/>
        <v>0</v>
      </c>
      <c r="K65" s="7">
        <f t="shared" si="4"/>
        <v>0</v>
      </c>
      <c r="L65" s="7">
        <f t="shared" si="4"/>
        <v>0</v>
      </c>
      <c r="M65" s="7">
        <f t="shared" si="4"/>
        <v>0</v>
      </c>
      <c r="N65" s="7">
        <f t="shared" si="4"/>
        <v>0</v>
      </c>
      <c r="O65" s="7">
        <f t="shared" si="4"/>
        <v>0</v>
      </c>
      <c r="P65" s="7">
        <f t="shared" si="4"/>
        <v>0</v>
      </c>
      <c r="Q65" s="7">
        <f t="shared" si="4"/>
        <v>0</v>
      </c>
      <c r="R65" s="7">
        <f t="shared" si="4"/>
        <v>0</v>
      </c>
      <c r="S65" s="7">
        <f t="shared" si="4"/>
        <v>0</v>
      </c>
      <c r="T65" s="7">
        <f t="shared" si="4"/>
        <v>0</v>
      </c>
      <c r="U65" s="7">
        <f t="shared" si="4"/>
        <v>0</v>
      </c>
      <c r="V65" s="7">
        <f t="shared" si="4"/>
        <v>0</v>
      </c>
      <c r="W65" s="7">
        <f t="shared" si="4"/>
        <v>0</v>
      </c>
      <c r="X65" s="7">
        <f t="shared" si="4"/>
        <v>0</v>
      </c>
      <c r="Y65" s="7">
        <f t="shared" si="4"/>
        <v>0</v>
      </c>
      <c r="Z65" s="7">
        <f t="shared" si="4"/>
        <v>0</v>
      </c>
      <c r="AA65" s="7">
        <f t="shared" si="4"/>
        <v>0</v>
      </c>
      <c r="AB65" s="7">
        <f t="shared" si="4"/>
        <v>0</v>
      </c>
      <c r="AC65" s="7">
        <f t="shared" si="4"/>
        <v>0</v>
      </c>
    </row>
    <row r="66" spans="1:29" x14ac:dyDescent="0.55000000000000004"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</row>
    <row r="67" spans="1:29" x14ac:dyDescent="0.55000000000000004">
      <c r="C67" t="s">
        <v>56</v>
      </c>
      <c r="D67" s="5">
        <f>SUM(D39:D40)</f>
        <v>226</v>
      </c>
      <c r="E67" s="5">
        <f t="shared" ref="E67:AC67" si="6">SUM(E39:E40)</f>
        <v>7</v>
      </c>
      <c r="F67" s="5">
        <f t="shared" si="6"/>
        <v>42</v>
      </c>
      <c r="G67" s="5">
        <f t="shared" si="6"/>
        <v>1911</v>
      </c>
      <c r="H67" s="5">
        <f t="shared" si="6"/>
        <v>599</v>
      </c>
      <c r="I67" s="5">
        <f t="shared" si="6"/>
        <v>123</v>
      </c>
      <c r="J67" s="5">
        <f t="shared" si="6"/>
        <v>483</v>
      </c>
      <c r="K67" s="5">
        <f t="shared" si="6"/>
        <v>191</v>
      </c>
      <c r="L67" s="5">
        <f t="shared" si="6"/>
        <v>70</v>
      </c>
      <c r="M67" s="5">
        <f t="shared" si="6"/>
        <v>240</v>
      </c>
      <c r="N67" s="5">
        <f t="shared" si="6"/>
        <v>89</v>
      </c>
      <c r="O67" s="5">
        <f t="shared" si="6"/>
        <v>494</v>
      </c>
      <c r="P67" s="5">
        <f t="shared" si="6"/>
        <v>165</v>
      </c>
      <c r="Q67" s="5">
        <f t="shared" si="6"/>
        <v>24</v>
      </c>
      <c r="R67" s="5">
        <f t="shared" si="6"/>
        <v>6</v>
      </c>
      <c r="S67" s="5">
        <f t="shared" si="6"/>
        <v>885</v>
      </c>
      <c r="T67" s="5">
        <f t="shared" si="6"/>
        <v>124</v>
      </c>
      <c r="U67" s="5">
        <f t="shared" si="6"/>
        <v>550</v>
      </c>
      <c r="V67" s="5">
        <f t="shared" si="6"/>
        <v>85</v>
      </c>
      <c r="W67" s="5">
        <f t="shared" si="6"/>
        <v>548</v>
      </c>
      <c r="X67" s="5">
        <f t="shared" si="6"/>
        <v>342</v>
      </c>
      <c r="Y67" s="5">
        <f t="shared" si="6"/>
        <v>14</v>
      </c>
      <c r="Z67" s="5">
        <f t="shared" si="6"/>
        <v>426</v>
      </c>
      <c r="AA67" s="5">
        <f t="shared" si="6"/>
        <v>349</v>
      </c>
      <c r="AB67" s="5">
        <f t="shared" si="6"/>
        <v>0</v>
      </c>
      <c r="AC67" s="5">
        <f t="shared" si="6"/>
        <v>1173</v>
      </c>
    </row>
    <row r="68" spans="1:29" x14ac:dyDescent="0.55000000000000004">
      <c r="C68" t="s">
        <v>58</v>
      </c>
      <c r="D68" s="5">
        <f>SUM(D50:D51)</f>
        <v>38</v>
      </c>
      <c r="E68" s="5">
        <f t="shared" ref="E68:AC68" si="7">SUM(E50:E51)</f>
        <v>4</v>
      </c>
      <c r="F68" s="5">
        <f t="shared" si="7"/>
        <v>8</v>
      </c>
      <c r="G68" s="5">
        <f t="shared" si="7"/>
        <v>284</v>
      </c>
      <c r="H68" s="5">
        <f t="shared" si="7"/>
        <v>48</v>
      </c>
      <c r="I68" s="5">
        <f t="shared" si="7"/>
        <v>27</v>
      </c>
      <c r="J68" s="5">
        <f t="shared" si="7"/>
        <v>60</v>
      </c>
      <c r="K68" s="5">
        <f t="shared" si="7"/>
        <v>2</v>
      </c>
      <c r="L68" s="5">
        <f t="shared" si="7"/>
        <v>6</v>
      </c>
      <c r="M68" s="5">
        <f t="shared" si="7"/>
        <v>73</v>
      </c>
      <c r="N68" s="5">
        <f t="shared" si="7"/>
        <v>7</v>
      </c>
      <c r="O68" s="5">
        <f t="shared" si="7"/>
        <v>198</v>
      </c>
      <c r="P68" s="5">
        <f t="shared" si="7"/>
        <v>10</v>
      </c>
      <c r="Q68" s="5">
        <f t="shared" si="7"/>
        <v>40</v>
      </c>
      <c r="R68" s="5">
        <f t="shared" si="7"/>
        <v>4</v>
      </c>
      <c r="S68" s="5">
        <f t="shared" si="7"/>
        <v>46</v>
      </c>
      <c r="T68" s="5">
        <f t="shared" si="7"/>
        <v>8</v>
      </c>
      <c r="U68" s="5">
        <f t="shared" si="7"/>
        <v>63</v>
      </c>
      <c r="V68" s="5">
        <f t="shared" si="7"/>
        <v>28</v>
      </c>
      <c r="W68" s="5">
        <f t="shared" si="7"/>
        <v>51</v>
      </c>
      <c r="X68" s="5">
        <f t="shared" si="7"/>
        <v>22</v>
      </c>
      <c r="Y68" s="5">
        <f t="shared" si="7"/>
        <v>5</v>
      </c>
      <c r="Z68" s="5">
        <f t="shared" si="7"/>
        <v>31</v>
      </c>
      <c r="AA68" s="5">
        <f t="shared" si="7"/>
        <v>36</v>
      </c>
      <c r="AB68" s="5">
        <f t="shared" si="7"/>
        <v>0</v>
      </c>
      <c r="AC68" s="5">
        <f t="shared" si="7"/>
        <v>215</v>
      </c>
    </row>
    <row r="69" spans="1:29" x14ac:dyDescent="0.55000000000000004">
      <c r="C69" t="s">
        <v>57</v>
      </c>
      <c r="D69" s="5">
        <f>SUM(D61:D62)</f>
        <v>3</v>
      </c>
      <c r="E69" s="5">
        <f t="shared" ref="E69:AC69" si="8">SUM(E61:E62)</f>
        <v>2</v>
      </c>
      <c r="F69" s="5">
        <f t="shared" si="8"/>
        <v>2</v>
      </c>
      <c r="G69" s="5">
        <f t="shared" si="8"/>
        <v>25</v>
      </c>
      <c r="H69" s="5">
        <f t="shared" si="8"/>
        <v>5</v>
      </c>
      <c r="I69" s="5">
        <f t="shared" si="8"/>
        <v>1</v>
      </c>
      <c r="J69" s="5">
        <f t="shared" si="8"/>
        <v>6</v>
      </c>
      <c r="K69" s="5">
        <f t="shared" si="8"/>
        <v>1</v>
      </c>
      <c r="L69" s="5">
        <f t="shared" si="8"/>
        <v>0</v>
      </c>
      <c r="M69" s="5">
        <f t="shared" si="8"/>
        <v>7</v>
      </c>
      <c r="N69" s="5">
        <f t="shared" si="8"/>
        <v>0</v>
      </c>
      <c r="O69" s="5">
        <f t="shared" si="8"/>
        <v>14</v>
      </c>
      <c r="P69" s="5">
        <f t="shared" si="8"/>
        <v>2</v>
      </c>
      <c r="Q69" s="5">
        <f t="shared" si="8"/>
        <v>0</v>
      </c>
      <c r="R69" s="5">
        <f t="shared" si="8"/>
        <v>1</v>
      </c>
      <c r="S69" s="5">
        <f t="shared" si="8"/>
        <v>12</v>
      </c>
      <c r="T69" s="5">
        <f t="shared" si="8"/>
        <v>2</v>
      </c>
      <c r="U69" s="5">
        <f t="shared" si="8"/>
        <v>9</v>
      </c>
      <c r="V69" s="5">
        <f t="shared" si="8"/>
        <v>3</v>
      </c>
      <c r="W69" s="5">
        <f t="shared" si="8"/>
        <v>16</v>
      </c>
      <c r="X69" s="5">
        <f t="shared" si="8"/>
        <v>7</v>
      </c>
      <c r="Y69" s="5">
        <f t="shared" si="8"/>
        <v>0</v>
      </c>
      <c r="Z69" s="5">
        <f t="shared" si="8"/>
        <v>5</v>
      </c>
      <c r="AA69" s="5">
        <f t="shared" si="8"/>
        <v>3</v>
      </c>
      <c r="AB69" s="5">
        <f t="shared" si="8"/>
        <v>0</v>
      </c>
      <c r="AC69" s="5">
        <f t="shared" si="8"/>
        <v>19</v>
      </c>
    </row>
    <row r="70" spans="1:29" x14ac:dyDescent="0.55000000000000004"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</row>
    <row r="71" spans="1:29" x14ac:dyDescent="0.55000000000000004">
      <c r="C71" t="s">
        <v>43</v>
      </c>
      <c r="D71" s="7">
        <f>SUM(D36:D43,D47:D54,D58:D65)</f>
        <v>283</v>
      </c>
      <c r="E71" s="7">
        <f t="shared" ref="E71:AC71" si="9">SUM(E36:E43,E47:E54,E58:E65)</f>
        <v>20</v>
      </c>
      <c r="F71" s="7">
        <f t="shared" si="9"/>
        <v>76</v>
      </c>
      <c r="G71" s="7">
        <f t="shared" si="9"/>
        <v>2943</v>
      </c>
      <c r="H71" s="7">
        <f t="shared" si="9"/>
        <v>752</v>
      </c>
      <c r="I71" s="7">
        <f t="shared" si="9"/>
        <v>270</v>
      </c>
      <c r="J71" s="7">
        <f t="shared" si="9"/>
        <v>744</v>
      </c>
      <c r="K71" s="7">
        <f t="shared" si="9"/>
        <v>249</v>
      </c>
      <c r="L71" s="7">
        <f t="shared" si="9"/>
        <v>111</v>
      </c>
      <c r="M71" s="7">
        <f t="shared" si="9"/>
        <v>428</v>
      </c>
      <c r="N71" s="7">
        <f t="shared" si="9"/>
        <v>149</v>
      </c>
      <c r="O71" s="7">
        <f t="shared" si="9"/>
        <v>747</v>
      </c>
      <c r="P71" s="7">
        <f t="shared" si="9"/>
        <v>250</v>
      </c>
      <c r="Q71" s="7">
        <f t="shared" si="9"/>
        <v>107</v>
      </c>
      <c r="R71" s="7">
        <f t="shared" si="9"/>
        <v>34</v>
      </c>
      <c r="S71" s="7">
        <f t="shared" si="9"/>
        <v>982</v>
      </c>
      <c r="T71" s="7">
        <f t="shared" si="9"/>
        <v>200</v>
      </c>
      <c r="U71" s="7">
        <f t="shared" si="9"/>
        <v>700</v>
      </c>
      <c r="V71" s="7">
        <f t="shared" si="9"/>
        <v>200</v>
      </c>
      <c r="W71" s="7">
        <f t="shared" si="9"/>
        <v>713</v>
      </c>
      <c r="X71" s="7">
        <f t="shared" si="9"/>
        <v>443</v>
      </c>
      <c r="Y71" s="7">
        <f t="shared" si="9"/>
        <v>43</v>
      </c>
      <c r="Z71" s="7">
        <f t="shared" si="9"/>
        <v>778</v>
      </c>
      <c r="AA71" s="7">
        <f t="shared" si="9"/>
        <v>447</v>
      </c>
      <c r="AB71" s="7">
        <f t="shared" si="9"/>
        <v>0</v>
      </c>
      <c r="AC71" s="7">
        <f t="shared" si="9"/>
        <v>1443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BB910-B08A-4026-9DD2-D114D1C72103}">
  <dimension ref="A1:AC112"/>
  <sheetViews>
    <sheetView topLeftCell="A67" workbookViewId="0">
      <selection activeCell="C71" sqref="C71:AC73"/>
    </sheetView>
  </sheetViews>
  <sheetFormatPr defaultRowHeight="14.4" x14ac:dyDescent="0.55000000000000004"/>
  <cols>
    <col min="1" max="1" width="34.41796875" bestFit="1" customWidth="1"/>
    <col min="2" max="2" width="3.89453125" bestFit="1" customWidth="1"/>
  </cols>
  <sheetData>
    <row r="1" spans="1:29" x14ac:dyDescent="0.55000000000000004">
      <c r="A1" s="1" t="s">
        <v>37</v>
      </c>
      <c r="B1" s="2"/>
    </row>
    <row r="2" spans="1:29" x14ac:dyDescent="0.55000000000000004">
      <c r="A2" s="1" t="s">
        <v>28</v>
      </c>
      <c r="B2" s="1" t="s">
        <v>40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  <c r="L2" s="6" t="s">
        <v>10</v>
      </c>
      <c r="M2" s="6" t="s">
        <v>11</v>
      </c>
      <c r="N2" s="6" t="s">
        <v>12</v>
      </c>
      <c r="O2" s="6" t="s">
        <v>13</v>
      </c>
      <c r="P2" s="6" t="s">
        <v>14</v>
      </c>
      <c r="Q2" s="6" t="s">
        <v>15</v>
      </c>
      <c r="R2" s="6" t="s">
        <v>16</v>
      </c>
      <c r="S2" s="6" t="s">
        <v>17</v>
      </c>
      <c r="T2" s="6" t="s">
        <v>18</v>
      </c>
      <c r="U2" s="6" t="s">
        <v>19</v>
      </c>
      <c r="V2" s="6" t="s">
        <v>20</v>
      </c>
      <c r="W2" s="6" t="s">
        <v>21</v>
      </c>
      <c r="X2" s="6" t="s">
        <v>22</v>
      </c>
      <c r="Y2" s="6" t="s">
        <v>23</v>
      </c>
      <c r="Z2" s="6" t="s">
        <v>24</v>
      </c>
      <c r="AA2" s="6" t="s">
        <v>25</v>
      </c>
      <c r="AB2" s="6" t="s">
        <v>26</v>
      </c>
      <c r="AC2" s="6" t="s">
        <v>27</v>
      </c>
    </row>
    <row r="3" spans="1:29" x14ac:dyDescent="0.55000000000000004">
      <c r="A3" s="2" t="s">
        <v>29</v>
      </c>
      <c r="B3" s="3" t="s">
        <v>0</v>
      </c>
      <c r="C3" s="7">
        <v>510026</v>
      </c>
      <c r="D3" s="7">
        <v>0</v>
      </c>
      <c r="E3" s="7">
        <v>0</v>
      </c>
      <c r="F3" s="7">
        <v>0</v>
      </c>
      <c r="G3" s="7">
        <v>8000</v>
      </c>
      <c r="H3" s="7">
        <v>8000</v>
      </c>
      <c r="I3" s="7">
        <v>10000</v>
      </c>
      <c r="J3" s="7">
        <v>0</v>
      </c>
      <c r="K3" s="7">
        <v>26000</v>
      </c>
      <c r="L3" s="7">
        <v>0</v>
      </c>
      <c r="M3" s="7">
        <v>55180</v>
      </c>
      <c r="N3" s="7">
        <v>15000</v>
      </c>
      <c r="O3" s="7">
        <v>0</v>
      </c>
      <c r="P3" s="7">
        <v>27000</v>
      </c>
      <c r="Q3" s="7">
        <v>31000</v>
      </c>
      <c r="R3" s="7">
        <v>8000</v>
      </c>
      <c r="S3" s="7">
        <v>0</v>
      </c>
      <c r="T3" s="7">
        <v>5000</v>
      </c>
      <c r="U3" s="7">
        <v>105000</v>
      </c>
      <c r="V3" s="7">
        <v>6000</v>
      </c>
      <c r="W3" s="7">
        <v>14000</v>
      </c>
      <c r="X3" s="7">
        <v>0</v>
      </c>
      <c r="Y3" s="7">
        <v>95150</v>
      </c>
      <c r="Z3" s="7">
        <v>0</v>
      </c>
      <c r="AA3" s="7">
        <v>0</v>
      </c>
      <c r="AB3" s="7">
        <v>0</v>
      </c>
      <c r="AC3" s="7">
        <v>96696</v>
      </c>
    </row>
    <row r="4" spans="1:29" x14ac:dyDescent="0.55000000000000004">
      <c r="A4" s="2" t="s">
        <v>30</v>
      </c>
      <c r="B4" s="3" t="s">
        <v>0</v>
      </c>
      <c r="C4" s="7">
        <v>4197695</v>
      </c>
      <c r="D4" s="7">
        <v>0</v>
      </c>
      <c r="E4" s="7">
        <v>1517931</v>
      </c>
      <c r="F4" s="7">
        <v>48194</v>
      </c>
      <c r="G4" s="7">
        <v>18000</v>
      </c>
      <c r="H4" s="7">
        <v>32060</v>
      </c>
      <c r="I4" s="7">
        <v>0</v>
      </c>
      <c r="J4" s="7">
        <v>0</v>
      </c>
      <c r="K4" s="7">
        <v>40620</v>
      </c>
      <c r="L4" s="7">
        <v>0</v>
      </c>
      <c r="M4" s="7">
        <v>157694</v>
      </c>
      <c r="N4" s="7">
        <v>174595</v>
      </c>
      <c r="O4" s="7">
        <v>113120</v>
      </c>
      <c r="P4" s="7">
        <v>135670</v>
      </c>
      <c r="Q4" s="7">
        <v>81000</v>
      </c>
      <c r="R4" s="7">
        <v>10120</v>
      </c>
      <c r="S4" s="7">
        <v>0</v>
      </c>
      <c r="T4" s="7">
        <v>0</v>
      </c>
      <c r="U4" s="7">
        <v>138380</v>
      </c>
      <c r="V4" s="7">
        <v>10593</v>
      </c>
      <c r="W4" s="7">
        <v>144100</v>
      </c>
      <c r="X4" s="7">
        <v>13490</v>
      </c>
      <c r="Y4" s="7">
        <v>1182843</v>
      </c>
      <c r="Z4" s="7">
        <v>0</v>
      </c>
      <c r="AA4" s="7">
        <v>189410</v>
      </c>
      <c r="AB4" s="7">
        <v>0</v>
      </c>
      <c r="AC4" s="7">
        <v>189875</v>
      </c>
    </row>
    <row r="5" spans="1:29" x14ac:dyDescent="0.55000000000000004">
      <c r="A5" s="2" t="s">
        <v>31</v>
      </c>
      <c r="B5" s="3" t="s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</row>
    <row r="6" spans="1:29" x14ac:dyDescent="0.55000000000000004">
      <c r="A6" s="2" t="s">
        <v>32</v>
      </c>
      <c r="B6" s="3" t="s">
        <v>0</v>
      </c>
      <c r="C6" s="7">
        <v>49258353</v>
      </c>
      <c r="D6" s="7">
        <v>3330972</v>
      </c>
      <c r="E6" s="7">
        <v>17328383</v>
      </c>
      <c r="F6" s="7">
        <v>1076712</v>
      </c>
      <c r="G6" s="7">
        <v>74000</v>
      </c>
      <c r="H6" s="7">
        <v>261605</v>
      </c>
      <c r="I6" s="7">
        <v>21000</v>
      </c>
      <c r="J6" s="7">
        <v>66022</v>
      </c>
      <c r="K6" s="7">
        <v>304725</v>
      </c>
      <c r="L6" s="7">
        <v>0</v>
      </c>
      <c r="M6" s="7">
        <v>2731028</v>
      </c>
      <c r="N6" s="7">
        <v>2601685</v>
      </c>
      <c r="O6" s="7">
        <v>819671</v>
      </c>
      <c r="P6" s="7">
        <v>4528025</v>
      </c>
      <c r="Q6" s="7">
        <v>510700</v>
      </c>
      <c r="R6" s="7">
        <v>37190</v>
      </c>
      <c r="S6" s="7">
        <v>10679</v>
      </c>
      <c r="T6" s="7">
        <v>2163900</v>
      </c>
      <c r="U6" s="7">
        <v>653308</v>
      </c>
      <c r="V6" s="7">
        <v>869868</v>
      </c>
      <c r="W6" s="7">
        <v>1630800</v>
      </c>
      <c r="X6" s="7">
        <v>2105645</v>
      </c>
      <c r="Y6" s="7">
        <v>2197935</v>
      </c>
      <c r="Z6" s="7">
        <v>3394518</v>
      </c>
      <c r="AA6" s="7">
        <v>771770</v>
      </c>
      <c r="AB6" s="7">
        <v>1434476</v>
      </c>
      <c r="AC6" s="7">
        <v>333736</v>
      </c>
    </row>
    <row r="7" spans="1:29" x14ac:dyDescent="0.55000000000000004">
      <c r="A7" s="2" t="s">
        <v>33</v>
      </c>
      <c r="B7" s="3" t="s">
        <v>0</v>
      </c>
      <c r="C7" s="7">
        <v>18660835</v>
      </c>
      <c r="D7" s="7">
        <v>4352987</v>
      </c>
      <c r="E7" s="7">
        <v>2349000</v>
      </c>
      <c r="F7" s="7">
        <v>1348816</v>
      </c>
      <c r="G7" s="7">
        <v>58000</v>
      </c>
      <c r="H7" s="7">
        <v>82141</v>
      </c>
      <c r="I7" s="7">
        <v>15000</v>
      </c>
      <c r="J7" s="7">
        <v>18289</v>
      </c>
      <c r="K7" s="7">
        <v>8625</v>
      </c>
      <c r="L7" s="7">
        <v>0</v>
      </c>
      <c r="M7" s="7">
        <v>1361931</v>
      </c>
      <c r="N7" s="7">
        <v>600442</v>
      </c>
      <c r="O7" s="7">
        <v>1267407</v>
      </c>
      <c r="P7" s="7">
        <v>411188</v>
      </c>
      <c r="Q7" s="7">
        <v>209100</v>
      </c>
      <c r="R7" s="7">
        <v>220314</v>
      </c>
      <c r="S7" s="7">
        <v>8022</v>
      </c>
      <c r="T7" s="7">
        <v>1485954</v>
      </c>
      <c r="U7" s="7">
        <v>705095</v>
      </c>
      <c r="V7" s="7">
        <v>293035</v>
      </c>
      <c r="W7" s="7">
        <v>1702898</v>
      </c>
      <c r="X7" s="7">
        <v>64792</v>
      </c>
      <c r="Y7" s="7">
        <v>1682800</v>
      </c>
      <c r="Z7" s="7">
        <v>252105</v>
      </c>
      <c r="AA7" s="7">
        <v>73077</v>
      </c>
      <c r="AB7" s="7">
        <v>51752</v>
      </c>
      <c r="AC7" s="7">
        <v>38065</v>
      </c>
    </row>
    <row r="8" spans="1:29" x14ac:dyDescent="0.55000000000000004">
      <c r="A8" s="2" t="s">
        <v>34</v>
      </c>
      <c r="B8" s="3" t="s">
        <v>0</v>
      </c>
      <c r="C8" s="7">
        <v>3713712</v>
      </c>
      <c r="D8" s="7">
        <v>122784</v>
      </c>
      <c r="E8" s="7">
        <v>1731430</v>
      </c>
      <c r="F8" s="7">
        <v>0</v>
      </c>
      <c r="G8" s="7">
        <v>34000</v>
      </c>
      <c r="H8" s="7">
        <v>163115</v>
      </c>
      <c r="I8" s="7">
        <v>51000</v>
      </c>
      <c r="J8" s="7">
        <v>28518</v>
      </c>
      <c r="K8" s="7">
        <v>45668</v>
      </c>
      <c r="L8" s="7">
        <v>0</v>
      </c>
      <c r="M8" s="7">
        <v>373353</v>
      </c>
      <c r="N8" s="7">
        <v>29311</v>
      </c>
      <c r="O8" s="7">
        <v>207570</v>
      </c>
      <c r="P8" s="7">
        <v>90770</v>
      </c>
      <c r="Q8" s="7">
        <v>253802</v>
      </c>
      <c r="R8" s="7">
        <v>27600</v>
      </c>
      <c r="S8" s="7">
        <v>4200</v>
      </c>
      <c r="T8" s="7">
        <v>10000</v>
      </c>
      <c r="U8" s="7">
        <v>20000</v>
      </c>
      <c r="V8" s="7">
        <v>0</v>
      </c>
      <c r="W8" s="7">
        <v>204548</v>
      </c>
      <c r="X8" s="7">
        <v>141766</v>
      </c>
      <c r="Y8" s="7">
        <v>38713</v>
      </c>
      <c r="Z8" s="7">
        <v>102522</v>
      </c>
      <c r="AA8" s="7">
        <v>12545</v>
      </c>
      <c r="AB8" s="7">
        <v>0</v>
      </c>
      <c r="AC8" s="7">
        <v>20497</v>
      </c>
    </row>
    <row r="9" spans="1:29" x14ac:dyDescent="0.55000000000000004">
      <c r="A9" s="2" t="s">
        <v>35</v>
      </c>
      <c r="B9" s="3" t="s">
        <v>0</v>
      </c>
      <c r="C9" s="7">
        <v>2047979.4</v>
      </c>
      <c r="D9" s="7">
        <v>0</v>
      </c>
      <c r="E9" s="7">
        <v>224150</v>
      </c>
      <c r="F9" s="7">
        <v>43675</v>
      </c>
      <c r="G9" s="7">
        <v>32000</v>
      </c>
      <c r="H9" s="7">
        <v>15267</v>
      </c>
      <c r="I9" s="7">
        <v>0</v>
      </c>
      <c r="J9" s="7">
        <v>4950</v>
      </c>
      <c r="K9" s="7">
        <v>37316</v>
      </c>
      <c r="L9" s="7">
        <v>0</v>
      </c>
      <c r="M9" s="7">
        <v>71537</v>
      </c>
      <c r="N9" s="7">
        <v>86726</v>
      </c>
      <c r="O9" s="7">
        <v>35261</v>
      </c>
      <c r="P9" s="7">
        <v>84071</v>
      </c>
      <c r="Q9" s="7">
        <v>0</v>
      </c>
      <c r="R9" s="7">
        <v>44055</v>
      </c>
      <c r="S9" s="7">
        <v>0</v>
      </c>
      <c r="T9" s="7">
        <v>124628.4</v>
      </c>
      <c r="U9" s="7">
        <v>66710</v>
      </c>
      <c r="V9" s="7">
        <v>15068</v>
      </c>
      <c r="W9" s="7">
        <v>43878</v>
      </c>
      <c r="X9" s="7">
        <v>112994</v>
      </c>
      <c r="Y9" s="7">
        <v>794189</v>
      </c>
      <c r="Z9" s="7">
        <v>59600</v>
      </c>
      <c r="AA9" s="7">
        <v>51170</v>
      </c>
      <c r="AB9" s="7">
        <v>67081</v>
      </c>
      <c r="AC9" s="7">
        <v>33653</v>
      </c>
    </row>
    <row r="10" spans="1:29" x14ac:dyDescent="0.55000000000000004">
      <c r="A10" s="2" t="s">
        <v>36</v>
      </c>
      <c r="B10" s="3" t="s">
        <v>0</v>
      </c>
      <c r="C10" s="7">
        <v>62772.5</v>
      </c>
      <c r="D10" s="7">
        <v>0</v>
      </c>
      <c r="E10" s="7">
        <v>9000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16982.5</v>
      </c>
      <c r="V10" s="7">
        <v>0</v>
      </c>
      <c r="W10" s="7">
        <v>7000</v>
      </c>
      <c r="X10" s="7">
        <v>0</v>
      </c>
      <c r="Y10" s="7">
        <v>2400</v>
      </c>
      <c r="Z10" s="7">
        <v>0</v>
      </c>
      <c r="AA10" s="7">
        <v>0</v>
      </c>
      <c r="AB10" s="7">
        <v>27390</v>
      </c>
      <c r="AC10" s="7">
        <v>0</v>
      </c>
    </row>
    <row r="11" spans="1:29" x14ac:dyDescent="0.55000000000000004">
      <c r="A11" s="2"/>
      <c r="B11" s="3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8"/>
      <c r="Z11" s="8"/>
      <c r="AA11" s="8"/>
      <c r="AB11" s="8"/>
      <c r="AC11" s="8"/>
    </row>
    <row r="12" spans="1:29" x14ac:dyDescent="0.55000000000000004">
      <c r="A12" s="1" t="s">
        <v>39</v>
      </c>
      <c r="B12" s="2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</row>
    <row r="13" spans="1:29" x14ac:dyDescent="0.55000000000000004">
      <c r="A13" s="1" t="s">
        <v>28</v>
      </c>
      <c r="B13" s="1" t="s">
        <v>40</v>
      </c>
      <c r="C13" s="6" t="s">
        <v>1</v>
      </c>
      <c r="D13" s="6" t="s">
        <v>2</v>
      </c>
      <c r="E13" s="6" t="s">
        <v>3</v>
      </c>
      <c r="F13" s="6" t="s">
        <v>4</v>
      </c>
      <c r="G13" s="6" t="s">
        <v>5</v>
      </c>
      <c r="H13" s="6" t="s">
        <v>6</v>
      </c>
      <c r="I13" s="6" t="s">
        <v>7</v>
      </c>
      <c r="J13" s="6" t="s">
        <v>8</v>
      </c>
      <c r="K13" s="6" t="s">
        <v>9</v>
      </c>
      <c r="L13" s="6" t="s">
        <v>10</v>
      </c>
      <c r="M13" s="6" t="s">
        <v>11</v>
      </c>
      <c r="N13" s="6" t="s">
        <v>12</v>
      </c>
      <c r="O13" s="6" t="s">
        <v>13</v>
      </c>
      <c r="P13" s="6" t="s">
        <v>14</v>
      </c>
      <c r="Q13" s="6" t="s">
        <v>15</v>
      </c>
      <c r="R13" s="6" t="s">
        <v>16</v>
      </c>
      <c r="S13" s="6" t="s">
        <v>17</v>
      </c>
      <c r="T13" s="6" t="s">
        <v>18</v>
      </c>
      <c r="U13" s="6" t="s">
        <v>19</v>
      </c>
      <c r="V13" s="6" t="s">
        <v>20</v>
      </c>
      <c r="W13" s="6" t="s">
        <v>21</v>
      </c>
      <c r="X13" s="6" t="s">
        <v>22</v>
      </c>
      <c r="Y13" s="6" t="s">
        <v>23</v>
      </c>
      <c r="Z13" s="6" t="s">
        <v>24</v>
      </c>
      <c r="AA13" s="6" t="s">
        <v>25</v>
      </c>
      <c r="AB13" s="6" t="s">
        <v>26</v>
      </c>
      <c r="AC13" s="6" t="s">
        <v>27</v>
      </c>
    </row>
    <row r="14" spans="1:29" x14ac:dyDescent="0.55000000000000004">
      <c r="A14" s="2" t="s">
        <v>29</v>
      </c>
      <c r="B14" s="3" t="s">
        <v>0</v>
      </c>
      <c r="C14" s="7">
        <v>50000</v>
      </c>
      <c r="D14" s="7">
        <v>0</v>
      </c>
      <c r="E14" s="7">
        <v>0</v>
      </c>
      <c r="F14" s="7">
        <v>0</v>
      </c>
      <c r="G14" s="7">
        <v>14000</v>
      </c>
      <c r="H14" s="7">
        <v>0</v>
      </c>
      <c r="I14" s="7">
        <v>5000</v>
      </c>
      <c r="J14" s="7">
        <v>0</v>
      </c>
      <c r="K14" s="7">
        <v>4000</v>
      </c>
      <c r="L14" s="7">
        <v>0</v>
      </c>
      <c r="M14" s="7">
        <v>4000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10000</v>
      </c>
      <c r="V14" s="7">
        <v>3000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10000</v>
      </c>
    </row>
    <row r="15" spans="1:29" x14ac:dyDescent="0.55000000000000004">
      <c r="A15" s="2" t="s">
        <v>30</v>
      </c>
      <c r="B15" s="3" t="s">
        <v>0</v>
      </c>
      <c r="C15" s="7">
        <v>1664361</v>
      </c>
      <c r="D15" s="7">
        <v>0</v>
      </c>
      <c r="E15" s="7">
        <v>539500</v>
      </c>
      <c r="F15" s="7">
        <v>62996</v>
      </c>
      <c r="G15" s="7">
        <v>0</v>
      </c>
      <c r="H15" s="7">
        <v>7000</v>
      </c>
      <c r="I15" s="7">
        <v>0</v>
      </c>
      <c r="J15" s="7">
        <v>7530</v>
      </c>
      <c r="K15" s="7">
        <v>9000</v>
      </c>
      <c r="L15" s="7">
        <v>0</v>
      </c>
      <c r="M15" s="7">
        <v>88560</v>
      </c>
      <c r="N15" s="7">
        <v>95264</v>
      </c>
      <c r="O15" s="7">
        <v>16680</v>
      </c>
      <c r="P15" s="7">
        <v>101246</v>
      </c>
      <c r="Q15" s="7">
        <v>32200</v>
      </c>
      <c r="R15" s="7">
        <v>10575</v>
      </c>
      <c r="S15" s="7">
        <v>0</v>
      </c>
      <c r="T15" s="7">
        <v>0</v>
      </c>
      <c r="U15" s="7">
        <v>112300</v>
      </c>
      <c r="V15" s="7">
        <v>21576</v>
      </c>
      <c r="W15" s="7">
        <v>114350</v>
      </c>
      <c r="X15" s="7">
        <v>0</v>
      </c>
      <c r="Y15" s="7">
        <v>260955</v>
      </c>
      <c r="Z15" s="7">
        <v>75534</v>
      </c>
      <c r="AA15" s="7">
        <v>79750</v>
      </c>
      <c r="AB15" s="7">
        <v>0</v>
      </c>
      <c r="AC15" s="7">
        <v>29345</v>
      </c>
    </row>
    <row r="16" spans="1:29" x14ac:dyDescent="0.55000000000000004">
      <c r="A16" s="2" t="s">
        <v>31</v>
      </c>
      <c r="B16" s="3" t="s">
        <v>0</v>
      </c>
      <c r="C16" s="7">
        <v>348592</v>
      </c>
      <c r="D16" s="7">
        <v>0</v>
      </c>
      <c r="E16" s="7">
        <v>131580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23356</v>
      </c>
      <c r="N16" s="7">
        <v>0</v>
      </c>
      <c r="O16" s="7">
        <v>28416</v>
      </c>
      <c r="P16" s="7">
        <v>70000</v>
      </c>
      <c r="Q16" s="7">
        <v>31200</v>
      </c>
      <c r="R16" s="7">
        <v>0</v>
      </c>
      <c r="S16" s="7">
        <v>0</v>
      </c>
      <c r="T16" s="7">
        <v>0</v>
      </c>
      <c r="U16" s="7">
        <v>40340</v>
      </c>
      <c r="V16" s="7">
        <v>0</v>
      </c>
      <c r="W16" s="7">
        <v>0</v>
      </c>
      <c r="X16" s="7">
        <v>0</v>
      </c>
      <c r="Y16" s="7">
        <v>23700</v>
      </c>
      <c r="Z16" s="7">
        <v>0</v>
      </c>
      <c r="AA16" s="7">
        <v>0</v>
      </c>
      <c r="AB16" s="7">
        <v>0</v>
      </c>
      <c r="AC16" s="7">
        <v>0</v>
      </c>
    </row>
    <row r="17" spans="1:29" x14ac:dyDescent="0.55000000000000004">
      <c r="A17" s="2" t="s">
        <v>32</v>
      </c>
      <c r="B17" s="3" t="s">
        <v>0</v>
      </c>
      <c r="C17" s="7">
        <v>6177566</v>
      </c>
      <c r="D17" s="7">
        <v>337598</v>
      </c>
      <c r="E17" s="7">
        <v>2260050</v>
      </c>
      <c r="F17" s="7">
        <v>320995</v>
      </c>
      <c r="G17" s="7">
        <v>39000</v>
      </c>
      <c r="H17" s="7">
        <v>93860</v>
      </c>
      <c r="I17" s="7">
        <v>3000</v>
      </c>
      <c r="J17" s="7">
        <v>111517</v>
      </c>
      <c r="K17" s="7">
        <v>27100</v>
      </c>
      <c r="L17" s="7">
        <v>0</v>
      </c>
      <c r="M17" s="7">
        <v>339017</v>
      </c>
      <c r="N17" s="7">
        <v>307973</v>
      </c>
      <c r="O17" s="7">
        <v>289148</v>
      </c>
      <c r="P17" s="7">
        <v>396533</v>
      </c>
      <c r="Q17" s="7">
        <v>26000</v>
      </c>
      <c r="R17" s="7">
        <v>11850</v>
      </c>
      <c r="S17" s="7">
        <v>0</v>
      </c>
      <c r="T17" s="7">
        <v>71964</v>
      </c>
      <c r="U17" s="7">
        <v>207544</v>
      </c>
      <c r="V17" s="7">
        <v>106397</v>
      </c>
      <c r="W17" s="7">
        <v>275414</v>
      </c>
      <c r="X17" s="7">
        <v>162392</v>
      </c>
      <c r="Y17" s="7">
        <v>120278</v>
      </c>
      <c r="Z17" s="7">
        <v>559885</v>
      </c>
      <c r="AA17" s="7">
        <v>66626</v>
      </c>
      <c r="AB17" s="7">
        <v>19928</v>
      </c>
      <c r="AC17" s="7">
        <v>23497</v>
      </c>
    </row>
    <row r="18" spans="1:29" x14ac:dyDescent="0.55000000000000004">
      <c r="A18" s="2" t="s">
        <v>33</v>
      </c>
      <c r="B18" s="3" t="s">
        <v>0</v>
      </c>
      <c r="C18" s="7">
        <v>7322172</v>
      </c>
      <c r="D18" s="7">
        <v>2079433</v>
      </c>
      <c r="E18" s="7">
        <v>675880</v>
      </c>
      <c r="F18" s="7">
        <v>1453505</v>
      </c>
      <c r="G18" s="7">
        <v>16000</v>
      </c>
      <c r="H18" s="7">
        <v>105620</v>
      </c>
      <c r="I18" s="7">
        <v>21000</v>
      </c>
      <c r="J18" s="7">
        <v>134729</v>
      </c>
      <c r="K18" s="7">
        <v>0</v>
      </c>
      <c r="L18" s="7">
        <v>0</v>
      </c>
      <c r="M18" s="7">
        <v>360979</v>
      </c>
      <c r="N18" s="7">
        <v>237193</v>
      </c>
      <c r="O18" s="7">
        <v>175493</v>
      </c>
      <c r="P18" s="7">
        <v>61084</v>
      </c>
      <c r="Q18" s="7">
        <v>74770</v>
      </c>
      <c r="R18" s="7">
        <v>33204</v>
      </c>
      <c r="S18" s="7">
        <v>59064</v>
      </c>
      <c r="T18" s="7">
        <v>240978</v>
      </c>
      <c r="U18" s="7">
        <v>716375</v>
      </c>
      <c r="V18" s="7">
        <v>194824</v>
      </c>
      <c r="W18" s="7">
        <v>384860</v>
      </c>
      <c r="X18" s="7">
        <v>38046</v>
      </c>
      <c r="Y18" s="7">
        <v>204865</v>
      </c>
      <c r="Z18" s="7">
        <v>25220</v>
      </c>
      <c r="AA18" s="7">
        <v>0</v>
      </c>
      <c r="AB18" s="7">
        <v>0</v>
      </c>
      <c r="AC18" s="7">
        <v>29050</v>
      </c>
    </row>
    <row r="19" spans="1:29" x14ac:dyDescent="0.55000000000000004">
      <c r="A19" s="2" t="s">
        <v>34</v>
      </c>
      <c r="B19" s="3" t="s">
        <v>0</v>
      </c>
      <c r="C19" s="7">
        <v>4959186</v>
      </c>
      <c r="D19" s="7">
        <v>103072</v>
      </c>
      <c r="E19" s="7">
        <v>1729915</v>
      </c>
      <c r="F19" s="7">
        <v>0</v>
      </c>
      <c r="G19" s="7">
        <v>59700</v>
      </c>
      <c r="H19" s="7">
        <v>200433</v>
      </c>
      <c r="I19" s="7">
        <v>45860</v>
      </c>
      <c r="J19" s="7">
        <v>134940</v>
      </c>
      <c r="K19" s="7">
        <v>54430</v>
      </c>
      <c r="L19" s="7">
        <v>0</v>
      </c>
      <c r="M19" s="7">
        <v>472753</v>
      </c>
      <c r="N19" s="7">
        <v>73904</v>
      </c>
      <c r="O19" s="7">
        <v>856243</v>
      </c>
      <c r="P19" s="7">
        <v>69802</v>
      </c>
      <c r="Q19" s="7">
        <v>192743</v>
      </c>
      <c r="R19" s="7">
        <v>9440</v>
      </c>
      <c r="S19" s="7">
        <v>8760</v>
      </c>
      <c r="T19" s="7">
        <v>20000</v>
      </c>
      <c r="U19" s="7">
        <v>255880</v>
      </c>
      <c r="V19" s="7">
        <v>0</v>
      </c>
      <c r="W19" s="7">
        <v>146500</v>
      </c>
      <c r="X19" s="7">
        <v>133800</v>
      </c>
      <c r="Y19" s="7">
        <v>80146</v>
      </c>
      <c r="Z19" s="7">
        <v>297845</v>
      </c>
      <c r="AA19" s="7">
        <v>13020</v>
      </c>
      <c r="AB19" s="7">
        <v>0</v>
      </c>
      <c r="AC19" s="7">
        <v>0</v>
      </c>
    </row>
    <row r="20" spans="1:29" x14ac:dyDescent="0.55000000000000004">
      <c r="A20" s="2" t="s">
        <v>35</v>
      </c>
      <c r="B20" s="3" t="s">
        <v>0</v>
      </c>
      <c r="C20" s="7">
        <v>1059466</v>
      </c>
      <c r="D20" s="7">
        <v>0</v>
      </c>
      <c r="E20" s="7">
        <v>245712</v>
      </c>
      <c r="F20" s="7">
        <v>61177</v>
      </c>
      <c r="G20" s="7">
        <v>16000</v>
      </c>
      <c r="H20" s="7">
        <v>7490</v>
      </c>
      <c r="I20" s="7">
        <v>0</v>
      </c>
      <c r="J20" s="7">
        <v>6135</v>
      </c>
      <c r="K20" s="7">
        <v>0</v>
      </c>
      <c r="L20" s="7">
        <v>0</v>
      </c>
      <c r="M20" s="7">
        <v>29085</v>
      </c>
      <c r="N20" s="7">
        <v>8158</v>
      </c>
      <c r="O20" s="7">
        <v>41405</v>
      </c>
      <c r="P20" s="7">
        <v>115295</v>
      </c>
      <c r="Q20" s="7">
        <v>46095</v>
      </c>
      <c r="R20" s="7">
        <v>11570</v>
      </c>
      <c r="S20" s="7">
        <v>0</v>
      </c>
      <c r="T20" s="7">
        <v>23000</v>
      </c>
      <c r="U20" s="7">
        <v>64461</v>
      </c>
      <c r="V20" s="7">
        <v>4228</v>
      </c>
      <c r="W20" s="7">
        <v>0</v>
      </c>
      <c r="X20" s="7">
        <v>20180</v>
      </c>
      <c r="Y20" s="7">
        <v>199031</v>
      </c>
      <c r="Z20" s="7">
        <v>9436</v>
      </c>
      <c r="AA20" s="7">
        <v>51885</v>
      </c>
      <c r="AB20" s="7">
        <v>85522</v>
      </c>
      <c r="AC20" s="7">
        <v>13601</v>
      </c>
    </row>
    <row r="21" spans="1:29" x14ac:dyDescent="0.55000000000000004">
      <c r="A21" s="2" t="s">
        <v>36</v>
      </c>
      <c r="B21" s="3" t="s">
        <v>0</v>
      </c>
      <c r="C21" s="7">
        <v>810815</v>
      </c>
      <c r="D21" s="7">
        <v>0</v>
      </c>
      <c r="E21" s="7">
        <v>733815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7200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5000</v>
      </c>
      <c r="V21" s="7">
        <v>0</v>
      </c>
      <c r="W21" s="7">
        <v>0</v>
      </c>
      <c r="X21" s="7">
        <v>0</v>
      </c>
      <c r="Y21" s="7">
        <v>64800</v>
      </c>
      <c r="Z21" s="7">
        <v>0</v>
      </c>
      <c r="AA21" s="7">
        <v>0</v>
      </c>
      <c r="AB21" s="7">
        <v>0</v>
      </c>
      <c r="AC21" s="7">
        <v>0</v>
      </c>
    </row>
    <row r="22" spans="1:29" x14ac:dyDescent="0.55000000000000004">
      <c r="A22" s="2"/>
      <c r="B22" s="3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8"/>
      <c r="Z22" s="8"/>
      <c r="AA22" s="8"/>
      <c r="AB22" s="8"/>
      <c r="AC22" s="8"/>
    </row>
    <row r="23" spans="1:29" x14ac:dyDescent="0.55000000000000004">
      <c r="A23" s="1" t="s">
        <v>38</v>
      </c>
      <c r="B23" s="2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</row>
    <row r="24" spans="1:29" x14ac:dyDescent="0.55000000000000004">
      <c r="A24" s="1" t="s">
        <v>28</v>
      </c>
      <c r="B24" s="1" t="s">
        <v>40</v>
      </c>
      <c r="C24" s="6" t="s">
        <v>1</v>
      </c>
      <c r="D24" s="6" t="s">
        <v>2</v>
      </c>
      <c r="E24" s="6" t="s">
        <v>3</v>
      </c>
      <c r="F24" s="6" t="s">
        <v>4</v>
      </c>
      <c r="G24" s="6" t="s">
        <v>5</v>
      </c>
      <c r="H24" s="6" t="s">
        <v>6</v>
      </c>
      <c r="I24" s="6" t="s">
        <v>7</v>
      </c>
      <c r="J24" s="6" t="s">
        <v>8</v>
      </c>
      <c r="K24" s="6" t="s">
        <v>9</v>
      </c>
      <c r="L24" s="6" t="s">
        <v>10</v>
      </c>
      <c r="M24" s="6" t="s">
        <v>11</v>
      </c>
      <c r="N24" s="6" t="s">
        <v>12</v>
      </c>
      <c r="O24" s="6" t="s">
        <v>13</v>
      </c>
      <c r="P24" s="6" t="s">
        <v>14</v>
      </c>
      <c r="Q24" s="6" t="s">
        <v>15</v>
      </c>
      <c r="R24" s="6" t="s">
        <v>16</v>
      </c>
      <c r="S24" s="6" t="s">
        <v>17</v>
      </c>
      <c r="T24" s="6" t="s">
        <v>18</v>
      </c>
      <c r="U24" s="6" t="s">
        <v>19</v>
      </c>
      <c r="V24" s="6" t="s">
        <v>20</v>
      </c>
      <c r="W24" s="6" t="s">
        <v>21</v>
      </c>
      <c r="X24" s="6" t="s">
        <v>22</v>
      </c>
      <c r="Y24" s="6" t="s">
        <v>23</v>
      </c>
      <c r="Z24" s="6" t="s">
        <v>24</v>
      </c>
      <c r="AA24" s="6" t="s">
        <v>25</v>
      </c>
      <c r="AB24" s="6" t="s">
        <v>26</v>
      </c>
      <c r="AC24" s="6" t="s">
        <v>27</v>
      </c>
    </row>
    <row r="25" spans="1:29" x14ac:dyDescent="0.55000000000000004">
      <c r="A25" s="2" t="s">
        <v>29</v>
      </c>
      <c r="B25" s="3" t="s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</row>
    <row r="26" spans="1:29" x14ac:dyDescent="0.55000000000000004">
      <c r="A26" s="2" t="s">
        <v>30</v>
      </c>
      <c r="B26" s="3" t="s">
        <v>0</v>
      </c>
      <c r="C26" s="7">
        <v>406577</v>
      </c>
      <c r="D26" s="7">
        <v>0</v>
      </c>
      <c r="E26" s="7">
        <v>116170</v>
      </c>
      <c r="F26" s="7">
        <v>5792</v>
      </c>
      <c r="G26" s="7">
        <v>0</v>
      </c>
      <c r="H26" s="7">
        <v>0</v>
      </c>
      <c r="I26" s="7">
        <v>0</v>
      </c>
      <c r="J26" s="7">
        <v>0</v>
      </c>
      <c r="K26" s="7">
        <v>18000</v>
      </c>
      <c r="L26" s="7">
        <v>0</v>
      </c>
      <c r="M26" s="7">
        <v>3750</v>
      </c>
      <c r="N26" s="7">
        <v>4950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109860</v>
      </c>
      <c r="V26" s="7">
        <v>0</v>
      </c>
      <c r="W26" s="7">
        <v>35900</v>
      </c>
      <c r="X26" s="7">
        <v>0</v>
      </c>
      <c r="Y26" s="7">
        <v>48975</v>
      </c>
      <c r="Z26" s="7">
        <v>23180</v>
      </c>
      <c r="AA26" s="7">
        <v>15000</v>
      </c>
      <c r="AB26" s="7">
        <v>0</v>
      </c>
      <c r="AC26" s="7">
        <v>25000</v>
      </c>
    </row>
    <row r="27" spans="1:29" x14ac:dyDescent="0.55000000000000004">
      <c r="A27" s="2" t="s">
        <v>31</v>
      </c>
      <c r="B27" s="3" t="s">
        <v>0</v>
      </c>
      <c r="C27" s="7">
        <v>434770</v>
      </c>
      <c r="D27" s="7">
        <v>0</v>
      </c>
      <c r="E27" s="7">
        <v>39520</v>
      </c>
      <c r="F27" s="7">
        <v>55800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23150</v>
      </c>
      <c r="N27" s="7">
        <v>18000</v>
      </c>
      <c r="O27" s="7">
        <v>0</v>
      </c>
      <c r="P27" s="7">
        <v>161888</v>
      </c>
      <c r="Q27" s="7">
        <v>0</v>
      </c>
      <c r="R27" s="7">
        <v>0</v>
      </c>
      <c r="S27" s="7">
        <v>0</v>
      </c>
      <c r="T27" s="7">
        <v>22680</v>
      </c>
      <c r="U27" s="7">
        <v>0</v>
      </c>
      <c r="V27" s="7">
        <v>0</v>
      </c>
      <c r="W27" s="7">
        <v>0</v>
      </c>
      <c r="X27" s="7">
        <v>0</v>
      </c>
      <c r="Y27" s="7">
        <v>32542</v>
      </c>
      <c r="Z27" s="7">
        <v>46120</v>
      </c>
      <c r="AA27" s="7">
        <v>0</v>
      </c>
      <c r="AB27" s="7">
        <v>0</v>
      </c>
      <c r="AC27" s="7">
        <v>35070</v>
      </c>
    </row>
    <row r="28" spans="1:29" x14ac:dyDescent="0.55000000000000004">
      <c r="A28" s="2" t="s">
        <v>32</v>
      </c>
      <c r="B28" s="3" t="s">
        <v>0</v>
      </c>
      <c r="C28" s="7">
        <v>662373</v>
      </c>
      <c r="D28" s="7">
        <v>54666</v>
      </c>
      <c r="E28" s="7">
        <v>203558</v>
      </c>
      <c r="F28" s="7">
        <v>29483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22129</v>
      </c>
      <c r="N28" s="7">
        <v>37385</v>
      </c>
      <c r="O28" s="7">
        <v>0</v>
      </c>
      <c r="P28" s="7">
        <v>25820</v>
      </c>
      <c r="Q28" s="7">
        <v>14000</v>
      </c>
      <c r="R28" s="7">
        <v>0</v>
      </c>
      <c r="S28" s="7">
        <v>2875</v>
      </c>
      <c r="T28" s="7">
        <v>17752</v>
      </c>
      <c r="U28" s="7">
        <v>25820</v>
      </c>
      <c r="V28" s="7">
        <v>15277</v>
      </c>
      <c r="W28" s="7">
        <v>81438</v>
      </c>
      <c r="X28" s="7">
        <v>29243</v>
      </c>
      <c r="Y28" s="7">
        <v>30062</v>
      </c>
      <c r="Z28" s="7">
        <v>23750</v>
      </c>
      <c r="AA28" s="7">
        <v>13315</v>
      </c>
      <c r="AB28" s="7">
        <v>35800</v>
      </c>
      <c r="AC28" s="7">
        <v>0</v>
      </c>
    </row>
    <row r="29" spans="1:29" x14ac:dyDescent="0.55000000000000004">
      <c r="A29" s="2" t="s">
        <v>33</v>
      </c>
      <c r="B29" s="3" t="s">
        <v>0</v>
      </c>
      <c r="C29" s="7">
        <v>1675799</v>
      </c>
      <c r="D29" s="7">
        <v>194257</v>
      </c>
      <c r="E29" s="7">
        <v>145120</v>
      </c>
      <c r="F29" s="7">
        <v>246645</v>
      </c>
      <c r="G29" s="7">
        <v>0</v>
      </c>
      <c r="H29" s="7">
        <v>76750</v>
      </c>
      <c r="I29" s="7">
        <v>9600</v>
      </c>
      <c r="J29" s="7">
        <v>0</v>
      </c>
      <c r="K29" s="7">
        <v>0</v>
      </c>
      <c r="L29" s="7">
        <v>0</v>
      </c>
      <c r="M29" s="7">
        <v>196515</v>
      </c>
      <c r="N29" s="7">
        <v>116820</v>
      </c>
      <c r="O29" s="7">
        <v>53400</v>
      </c>
      <c r="P29" s="7">
        <v>25680</v>
      </c>
      <c r="Q29" s="7">
        <v>0</v>
      </c>
      <c r="R29" s="7">
        <v>42864</v>
      </c>
      <c r="S29" s="7">
        <v>7800</v>
      </c>
      <c r="T29" s="7">
        <v>74862</v>
      </c>
      <c r="U29" s="7">
        <v>127300</v>
      </c>
      <c r="V29" s="7">
        <v>9960</v>
      </c>
      <c r="W29" s="7">
        <v>127825</v>
      </c>
      <c r="X29" s="7">
        <v>71112</v>
      </c>
      <c r="Y29" s="7">
        <v>0</v>
      </c>
      <c r="Z29" s="7">
        <v>149289</v>
      </c>
      <c r="AA29" s="7">
        <v>0</v>
      </c>
      <c r="AB29" s="7">
        <v>0</v>
      </c>
      <c r="AC29" s="7">
        <v>0</v>
      </c>
    </row>
    <row r="30" spans="1:29" x14ac:dyDescent="0.55000000000000004">
      <c r="A30" s="2" t="s">
        <v>34</v>
      </c>
      <c r="B30" s="3" t="s">
        <v>0</v>
      </c>
      <c r="C30" s="7">
        <v>1572090</v>
      </c>
      <c r="D30" s="7">
        <v>21272</v>
      </c>
      <c r="E30" s="7">
        <v>390745</v>
      </c>
      <c r="F30" s="7">
        <v>0</v>
      </c>
      <c r="G30" s="7">
        <v>27690</v>
      </c>
      <c r="H30" s="7">
        <v>5500</v>
      </c>
      <c r="I30" s="7">
        <v>11600</v>
      </c>
      <c r="J30" s="7">
        <v>25050</v>
      </c>
      <c r="K30" s="7">
        <v>20700</v>
      </c>
      <c r="L30" s="7">
        <v>0</v>
      </c>
      <c r="M30" s="7">
        <v>151843</v>
      </c>
      <c r="N30" s="7">
        <v>10342</v>
      </c>
      <c r="O30" s="7">
        <v>0</v>
      </c>
      <c r="P30" s="7">
        <v>194695</v>
      </c>
      <c r="Q30" s="7">
        <v>26570</v>
      </c>
      <c r="R30" s="7">
        <v>0</v>
      </c>
      <c r="S30" s="7">
        <v>18681</v>
      </c>
      <c r="T30" s="7">
        <v>0</v>
      </c>
      <c r="U30" s="7">
        <v>261440</v>
      </c>
      <c r="V30" s="7">
        <v>0</v>
      </c>
      <c r="W30" s="7">
        <v>249132</v>
      </c>
      <c r="X30" s="7">
        <v>89400</v>
      </c>
      <c r="Y30" s="7">
        <v>15000</v>
      </c>
      <c r="Z30" s="7">
        <v>26848</v>
      </c>
      <c r="AA30" s="7">
        <v>0</v>
      </c>
      <c r="AB30" s="7">
        <v>20825</v>
      </c>
      <c r="AC30" s="7">
        <v>4757</v>
      </c>
    </row>
    <row r="31" spans="1:29" x14ac:dyDescent="0.55000000000000004">
      <c r="A31" s="2" t="s">
        <v>35</v>
      </c>
      <c r="B31" s="3" t="s">
        <v>0</v>
      </c>
      <c r="C31" s="7">
        <v>122299</v>
      </c>
      <c r="D31" s="7">
        <v>0</v>
      </c>
      <c r="E31" s="7">
        <v>37400</v>
      </c>
      <c r="F31" s="7">
        <v>6845</v>
      </c>
      <c r="G31" s="7">
        <v>0</v>
      </c>
      <c r="H31" s="7">
        <v>5729</v>
      </c>
      <c r="I31" s="7">
        <v>0</v>
      </c>
      <c r="J31" s="7">
        <v>0</v>
      </c>
      <c r="K31" s="7">
        <v>0</v>
      </c>
      <c r="L31" s="7">
        <v>0</v>
      </c>
      <c r="M31" s="7">
        <v>21284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3500</v>
      </c>
      <c r="U31" s="7">
        <v>12212</v>
      </c>
      <c r="V31" s="7">
        <v>0</v>
      </c>
      <c r="W31" s="7">
        <v>12108</v>
      </c>
      <c r="X31" s="7">
        <v>0</v>
      </c>
      <c r="Y31" s="7">
        <v>0</v>
      </c>
      <c r="Z31" s="7">
        <v>5165</v>
      </c>
      <c r="AA31" s="7">
        <v>0</v>
      </c>
      <c r="AB31" s="7">
        <v>0</v>
      </c>
      <c r="AC31" s="7">
        <v>18056</v>
      </c>
    </row>
    <row r="32" spans="1:29" x14ac:dyDescent="0.55000000000000004">
      <c r="A32" s="2" t="s">
        <v>36</v>
      </c>
      <c r="B32" s="3" t="s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</row>
    <row r="34" spans="1:29" x14ac:dyDescent="0.55000000000000004">
      <c r="A34" s="1" t="s">
        <v>37</v>
      </c>
      <c r="B34" s="1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spans="1:29" x14ac:dyDescent="0.55000000000000004">
      <c r="A35" s="1" t="s">
        <v>28</v>
      </c>
      <c r="B35" s="1" t="s">
        <v>41</v>
      </c>
      <c r="D35" s="4" t="s">
        <v>20</v>
      </c>
      <c r="E35" s="4" t="s">
        <v>17</v>
      </c>
      <c r="F35" s="4" t="s">
        <v>16</v>
      </c>
      <c r="G35" s="4" t="s">
        <v>3</v>
      </c>
      <c r="H35" s="4" t="s">
        <v>14</v>
      </c>
      <c r="I35" s="4" t="s">
        <v>13</v>
      </c>
      <c r="J35" s="4" t="s">
        <v>11</v>
      </c>
      <c r="K35" s="4" t="s">
        <v>26</v>
      </c>
      <c r="L35" s="4" t="s">
        <v>9</v>
      </c>
      <c r="M35" s="4" t="s">
        <v>19</v>
      </c>
      <c r="N35" s="4" t="s">
        <v>27</v>
      </c>
      <c r="O35" s="4" t="s">
        <v>4</v>
      </c>
      <c r="P35" s="4" t="s">
        <v>25</v>
      </c>
      <c r="Q35" s="4" t="s">
        <v>8</v>
      </c>
      <c r="R35" s="4" t="s">
        <v>7</v>
      </c>
      <c r="S35" s="4" t="s">
        <v>18</v>
      </c>
      <c r="T35" s="4" t="s">
        <v>15</v>
      </c>
      <c r="U35" s="4" t="s">
        <v>12</v>
      </c>
      <c r="V35" s="4" t="s">
        <v>6</v>
      </c>
      <c r="W35" s="4" t="s">
        <v>21</v>
      </c>
      <c r="X35" s="4" t="s">
        <v>22</v>
      </c>
      <c r="Y35" s="4" t="s">
        <v>5</v>
      </c>
      <c r="Z35" s="4" t="s">
        <v>23</v>
      </c>
      <c r="AA35" s="4" t="s">
        <v>24</v>
      </c>
      <c r="AB35" s="4" t="s">
        <v>10</v>
      </c>
      <c r="AC35" s="4" t="s">
        <v>2</v>
      </c>
    </row>
    <row r="36" spans="1:29" x14ac:dyDescent="0.55000000000000004">
      <c r="A36" s="2" t="s">
        <v>29</v>
      </c>
      <c r="B36">
        <v>2</v>
      </c>
      <c r="D36" s="7">
        <f>HLOOKUP(D$35,$D$2:$AC$10,$B36,FALSE)</f>
        <v>6000</v>
      </c>
      <c r="E36" s="7">
        <f t="shared" ref="E36:AC43" si="0">HLOOKUP(E$35,$D$2:$AC$10,$B36,FALSE)</f>
        <v>0</v>
      </c>
      <c r="F36" s="7">
        <f t="shared" si="0"/>
        <v>8000</v>
      </c>
      <c r="G36" s="7">
        <f t="shared" si="0"/>
        <v>0</v>
      </c>
      <c r="H36" s="7">
        <f t="shared" si="0"/>
        <v>27000</v>
      </c>
      <c r="I36" s="7">
        <f t="shared" si="0"/>
        <v>0</v>
      </c>
      <c r="J36" s="7">
        <f t="shared" si="0"/>
        <v>55180</v>
      </c>
      <c r="K36" s="7">
        <f t="shared" si="0"/>
        <v>0</v>
      </c>
      <c r="L36" s="7">
        <f t="shared" si="0"/>
        <v>26000</v>
      </c>
      <c r="M36" s="7">
        <f t="shared" si="0"/>
        <v>105000</v>
      </c>
      <c r="N36" s="7">
        <f t="shared" si="0"/>
        <v>96696</v>
      </c>
      <c r="O36" s="7">
        <f t="shared" si="0"/>
        <v>0</v>
      </c>
      <c r="P36" s="7">
        <f t="shared" si="0"/>
        <v>0</v>
      </c>
      <c r="Q36" s="7">
        <f t="shared" si="0"/>
        <v>0</v>
      </c>
      <c r="R36" s="7">
        <f t="shared" si="0"/>
        <v>10000</v>
      </c>
      <c r="S36" s="7">
        <f t="shared" si="0"/>
        <v>5000</v>
      </c>
      <c r="T36" s="7">
        <f t="shared" si="0"/>
        <v>31000</v>
      </c>
      <c r="U36" s="7">
        <f t="shared" si="0"/>
        <v>15000</v>
      </c>
      <c r="V36" s="7">
        <f t="shared" si="0"/>
        <v>8000</v>
      </c>
      <c r="W36" s="7">
        <f t="shared" si="0"/>
        <v>14000</v>
      </c>
      <c r="X36" s="7">
        <f t="shared" si="0"/>
        <v>0</v>
      </c>
      <c r="Y36" s="7">
        <f t="shared" si="0"/>
        <v>8000</v>
      </c>
      <c r="Z36" s="7">
        <f t="shared" si="0"/>
        <v>95150</v>
      </c>
      <c r="AA36" s="7">
        <f t="shared" si="0"/>
        <v>0</v>
      </c>
      <c r="AB36" s="7">
        <f t="shared" si="0"/>
        <v>0</v>
      </c>
      <c r="AC36" s="7">
        <f t="shared" si="0"/>
        <v>0</v>
      </c>
    </row>
    <row r="37" spans="1:29" x14ac:dyDescent="0.55000000000000004">
      <c r="A37" s="2" t="s">
        <v>30</v>
      </c>
      <c r="B37">
        <v>3</v>
      </c>
      <c r="D37" s="7">
        <f t="shared" ref="D37:D42" si="1">HLOOKUP(D$35,$D$2:$AC$10,$B37,FALSE)</f>
        <v>10593</v>
      </c>
      <c r="E37" s="7">
        <f t="shared" si="0"/>
        <v>0</v>
      </c>
      <c r="F37" s="7">
        <f t="shared" si="0"/>
        <v>10120</v>
      </c>
      <c r="G37" s="7">
        <f t="shared" si="0"/>
        <v>1517931</v>
      </c>
      <c r="H37" s="7">
        <f t="shared" si="0"/>
        <v>135670</v>
      </c>
      <c r="I37" s="7">
        <f t="shared" si="0"/>
        <v>113120</v>
      </c>
      <c r="J37" s="7">
        <f t="shared" si="0"/>
        <v>157694</v>
      </c>
      <c r="K37" s="7">
        <f t="shared" si="0"/>
        <v>0</v>
      </c>
      <c r="L37" s="7">
        <f t="shared" si="0"/>
        <v>40620</v>
      </c>
      <c r="M37" s="7">
        <f t="shared" si="0"/>
        <v>138380</v>
      </c>
      <c r="N37" s="7">
        <f t="shared" si="0"/>
        <v>189875</v>
      </c>
      <c r="O37" s="7">
        <f t="shared" si="0"/>
        <v>48194</v>
      </c>
      <c r="P37" s="7">
        <f t="shared" si="0"/>
        <v>189410</v>
      </c>
      <c r="Q37" s="7">
        <f t="shared" si="0"/>
        <v>0</v>
      </c>
      <c r="R37" s="7">
        <f t="shared" si="0"/>
        <v>0</v>
      </c>
      <c r="S37" s="7">
        <f t="shared" si="0"/>
        <v>0</v>
      </c>
      <c r="T37" s="7">
        <f t="shared" si="0"/>
        <v>81000</v>
      </c>
      <c r="U37" s="7">
        <f t="shared" si="0"/>
        <v>174595</v>
      </c>
      <c r="V37" s="7">
        <f t="shared" si="0"/>
        <v>32060</v>
      </c>
      <c r="W37" s="7">
        <f t="shared" si="0"/>
        <v>144100</v>
      </c>
      <c r="X37" s="7">
        <f t="shared" si="0"/>
        <v>13490</v>
      </c>
      <c r="Y37" s="7">
        <f t="shared" si="0"/>
        <v>18000</v>
      </c>
      <c r="Z37" s="7">
        <f t="shared" si="0"/>
        <v>1182843</v>
      </c>
      <c r="AA37" s="7">
        <f t="shared" si="0"/>
        <v>0</v>
      </c>
      <c r="AB37" s="7">
        <f t="shared" si="0"/>
        <v>0</v>
      </c>
      <c r="AC37" s="7">
        <f t="shared" si="0"/>
        <v>0</v>
      </c>
    </row>
    <row r="38" spans="1:29" x14ac:dyDescent="0.55000000000000004">
      <c r="A38" s="2" t="s">
        <v>31</v>
      </c>
      <c r="B38">
        <v>4</v>
      </c>
      <c r="D38" s="7">
        <f t="shared" si="1"/>
        <v>0</v>
      </c>
      <c r="E38" s="7">
        <f t="shared" si="0"/>
        <v>0</v>
      </c>
      <c r="F38" s="7">
        <f t="shared" si="0"/>
        <v>0</v>
      </c>
      <c r="G38" s="7">
        <f t="shared" si="0"/>
        <v>0</v>
      </c>
      <c r="H38" s="7">
        <f t="shared" si="0"/>
        <v>0</v>
      </c>
      <c r="I38" s="7">
        <f t="shared" si="0"/>
        <v>0</v>
      </c>
      <c r="J38" s="7">
        <f t="shared" si="0"/>
        <v>0</v>
      </c>
      <c r="K38" s="7">
        <f t="shared" si="0"/>
        <v>0</v>
      </c>
      <c r="L38" s="7">
        <f t="shared" si="0"/>
        <v>0</v>
      </c>
      <c r="M38" s="7">
        <f t="shared" si="0"/>
        <v>0</v>
      </c>
      <c r="N38" s="7">
        <f t="shared" si="0"/>
        <v>0</v>
      </c>
      <c r="O38" s="7">
        <f t="shared" si="0"/>
        <v>0</v>
      </c>
      <c r="P38" s="7">
        <f t="shared" si="0"/>
        <v>0</v>
      </c>
      <c r="Q38" s="7">
        <f t="shared" si="0"/>
        <v>0</v>
      </c>
      <c r="R38" s="7">
        <f t="shared" si="0"/>
        <v>0</v>
      </c>
      <c r="S38" s="7">
        <f t="shared" si="0"/>
        <v>0</v>
      </c>
      <c r="T38" s="7">
        <f t="shared" si="0"/>
        <v>0</v>
      </c>
      <c r="U38" s="7">
        <f t="shared" si="0"/>
        <v>0</v>
      </c>
      <c r="V38" s="7">
        <f t="shared" si="0"/>
        <v>0</v>
      </c>
      <c r="W38" s="7">
        <f t="shared" si="0"/>
        <v>0</v>
      </c>
      <c r="X38" s="7">
        <f t="shared" si="0"/>
        <v>0</v>
      </c>
      <c r="Y38" s="7">
        <f t="shared" si="0"/>
        <v>0</v>
      </c>
      <c r="Z38" s="7">
        <f t="shared" si="0"/>
        <v>0</v>
      </c>
      <c r="AA38" s="7">
        <f t="shared" si="0"/>
        <v>0</v>
      </c>
      <c r="AB38" s="7">
        <f t="shared" si="0"/>
        <v>0</v>
      </c>
      <c r="AC38" s="7">
        <f t="shared" si="0"/>
        <v>0</v>
      </c>
    </row>
    <row r="39" spans="1:29" x14ac:dyDescent="0.55000000000000004">
      <c r="A39" s="2" t="s">
        <v>32</v>
      </c>
      <c r="B39">
        <v>5</v>
      </c>
      <c r="D39" s="7">
        <f t="shared" si="1"/>
        <v>869868</v>
      </c>
      <c r="E39" s="7">
        <f t="shared" si="0"/>
        <v>10679</v>
      </c>
      <c r="F39" s="7">
        <f t="shared" si="0"/>
        <v>37190</v>
      </c>
      <c r="G39" s="7">
        <f t="shared" si="0"/>
        <v>17328383</v>
      </c>
      <c r="H39" s="7">
        <f t="shared" si="0"/>
        <v>4528025</v>
      </c>
      <c r="I39" s="7">
        <f t="shared" si="0"/>
        <v>819671</v>
      </c>
      <c r="J39" s="7">
        <f t="shared" si="0"/>
        <v>2731028</v>
      </c>
      <c r="K39" s="7">
        <f t="shared" si="0"/>
        <v>1434476</v>
      </c>
      <c r="L39" s="7">
        <f t="shared" si="0"/>
        <v>304725</v>
      </c>
      <c r="M39" s="7">
        <f t="shared" si="0"/>
        <v>653308</v>
      </c>
      <c r="N39" s="7">
        <f t="shared" si="0"/>
        <v>333736</v>
      </c>
      <c r="O39" s="7">
        <f t="shared" si="0"/>
        <v>1076712</v>
      </c>
      <c r="P39" s="7">
        <f t="shared" si="0"/>
        <v>771770</v>
      </c>
      <c r="Q39" s="7">
        <f t="shared" si="0"/>
        <v>66022</v>
      </c>
      <c r="R39" s="7">
        <f t="shared" si="0"/>
        <v>21000</v>
      </c>
      <c r="S39" s="7">
        <f t="shared" si="0"/>
        <v>2163900</v>
      </c>
      <c r="T39" s="7">
        <f t="shared" si="0"/>
        <v>510700</v>
      </c>
      <c r="U39" s="7">
        <f t="shared" si="0"/>
        <v>2601685</v>
      </c>
      <c r="V39" s="7">
        <f t="shared" si="0"/>
        <v>261605</v>
      </c>
      <c r="W39" s="7">
        <f t="shared" si="0"/>
        <v>1630800</v>
      </c>
      <c r="X39" s="7">
        <f t="shared" si="0"/>
        <v>2105645</v>
      </c>
      <c r="Y39" s="7">
        <f t="shared" si="0"/>
        <v>74000</v>
      </c>
      <c r="Z39" s="7">
        <f t="shared" si="0"/>
        <v>2197935</v>
      </c>
      <c r="AA39" s="7">
        <f t="shared" si="0"/>
        <v>3394518</v>
      </c>
      <c r="AB39" s="7">
        <f t="shared" si="0"/>
        <v>0</v>
      </c>
      <c r="AC39" s="7">
        <f t="shared" si="0"/>
        <v>3330972</v>
      </c>
    </row>
    <row r="40" spans="1:29" x14ac:dyDescent="0.55000000000000004">
      <c r="A40" s="2" t="s">
        <v>33</v>
      </c>
      <c r="B40">
        <v>6</v>
      </c>
      <c r="D40" s="7">
        <f t="shared" si="1"/>
        <v>293035</v>
      </c>
      <c r="E40" s="7">
        <f t="shared" si="0"/>
        <v>8022</v>
      </c>
      <c r="F40" s="7">
        <f t="shared" si="0"/>
        <v>220314</v>
      </c>
      <c r="G40" s="7">
        <f t="shared" si="0"/>
        <v>2349000</v>
      </c>
      <c r="H40" s="7">
        <f t="shared" si="0"/>
        <v>411188</v>
      </c>
      <c r="I40" s="7">
        <f t="shared" si="0"/>
        <v>1267407</v>
      </c>
      <c r="J40" s="7">
        <f t="shared" si="0"/>
        <v>1361931</v>
      </c>
      <c r="K40" s="7">
        <f t="shared" si="0"/>
        <v>51752</v>
      </c>
      <c r="L40" s="7">
        <f t="shared" si="0"/>
        <v>8625</v>
      </c>
      <c r="M40" s="7">
        <f t="shared" si="0"/>
        <v>705095</v>
      </c>
      <c r="N40" s="7">
        <f t="shared" si="0"/>
        <v>38065</v>
      </c>
      <c r="O40" s="7">
        <f t="shared" si="0"/>
        <v>1348816</v>
      </c>
      <c r="P40" s="7">
        <f t="shared" si="0"/>
        <v>73077</v>
      </c>
      <c r="Q40" s="7">
        <f t="shared" si="0"/>
        <v>18289</v>
      </c>
      <c r="R40" s="7">
        <f t="shared" si="0"/>
        <v>15000</v>
      </c>
      <c r="S40" s="7">
        <f t="shared" si="0"/>
        <v>1485954</v>
      </c>
      <c r="T40" s="7">
        <f t="shared" si="0"/>
        <v>209100</v>
      </c>
      <c r="U40" s="7">
        <f t="shared" si="0"/>
        <v>600442</v>
      </c>
      <c r="V40" s="7">
        <f t="shared" si="0"/>
        <v>82141</v>
      </c>
      <c r="W40" s="7">
        <f t="shared" si="0"/>
        <v>1702898</v>
      </c>
      <c r="X40" s="7">
        <f t="shared" si="0"/>
        <v>64792</v>
      </c>
      <c r="Y40" s="7">
        <f t="shared" si="0"/>
        <v>58000</v>
      </c>
      <c r="Z40" s="7">
        <f t="shared" si="0"/>
        <v>1682800</v>
      </c>
      <c r="AA40" s="7">
        <f t="shared" si="0"/>
        <v>252105</v>
      </c>
      <c r="AB40" s="7">
        <f t="shared" si="0"/>
        <v>0</v>
      </c>
      <c r="AC40" s="7">
        <f t="shared" si="0"/>
        <v>4352987</v>
      </c>
    </row>
    <row r="41" spans="1:29" x14ac:dyDescent="0.55000000000000004">
      <c r="A41" s="2" t="s">
        <v>34</v>
      </c>
      <c r="B41">
        <v>7</v>
      </c>
      <c r="D41" s="7">
        <f t="shared" si="1"/>
        <v>0</v>
      </c>
      <c r="E41" s="7">
        <f t="shared" si="0"/>
        <v>4200</v>
      </c>
      <c r="F41" s="7">
        <f t="shared" si="0"/>
        <v>27600</v>
      </c>
      <c r="G41" s="7">
        <f t="shared" si="0"/>
        <v>1731430</v>
      </c>
      <c r="H41" s="7">
        <f t="shared" si="0"/>
        <v>90770</v>
      </c>
      <c r="I41" s="7">
        <f t="shared" si="0"/>
        <v>207570</v>
      </c>
      <c r="J41" s="7">
        <f t="shared" si="0"/>
        <v>373353</v>
      </c>
      <c r="K41" s="7">
        <f t="shared" si="0"/>
        <v>0</v>
      </c>
      <c r="L41" s="7">
        <f t="shared" si="0"/>
        <v>45668</v>
      </c>
      <c r="M41" s="7">
        <f t="shared" si="0"/>
        <v>20000</v>
      </c>
      <c r="N41" s="7">
        <f t="shared" si="0"/>
        <v>20497</v>
      </c>
      <c r="O41" s="7">
        <f t="shared" si="0"/>
        <v>0</v>
      </c>
      <c r="P41" s="7">
        <f t="shared" si="0"/>
        <v>12545</v>
      </c>
      <c r="Q41" s="7">
        <f t="shared" si="0"/>
        <v>28518</v>
      </c>
      <c r="R41" s="7">
        <f t="shared" si="0"/>
        <v>51000</v>
      </c>
      <c r="S41" s="7">
        <f t="shared" si="0"/>
        <v>10000</v>
      </c>
      <c r="T41" s="7">
        <f t="shared" si="0"/>
        <v>253802</v>
      </c>
      <c r="U41" s="7">
        <f t="shared" si="0"/>
        <v>29311</v>
      </c>
      <c r="V41" s="7">
        <f t="shared" si="0"/>
        <v>163115</v>
      </c>
      <c r="W41" s="7">
        <f t="shared" si="0"/>
        <v>204548</v>
      </c>
      <c r="X41" s="7">
        <f t="shared" si="0"/>
        <v>141766</v>
      </c>
      <c r="Y41" s="7">
        <f t="shared" si="0"/>
        <v>34000</v>
      </c>
      <c r="Z41" s="7">
        <f t="shared" si="0"/>
        <v>38713</v>
      </c>
      <c r="AA41" s="7">
        <f t="shared" si="0"/>
        <v>102522</v>
      </c>
      <c r="AB41" s="7">
        <f t="shared" si="0"/>
        <v>0</v>
      </c>
      <c r="AC41" s="7">
        <f t="shared" si="0"/>
        <v>122784</v>
      </c>
    </row>
    <row r="42" spans="1:29" x14ac:dyDescent="0.55000000000000004">
      <c r="A42" s="2" t="s">
        <v>35</v>
      </c>
      <c r="B42">
        <v>8</v>
      </c>
      <c r="D42" s="7">
        <f t="shared" si="1"/>
        <v>15068</v>
      </c>
      <c r="E42" s="7">
        <f t="shared" si="0"/>
        <v>0</v>
      </c>
      <c r="F42" s="7">
        <f t="shared" si="0"/>
        <v>44055</v>
      </c>
      <c r="G42" s="7">
        <f t="shared" si="0"/>
        <v>224150</v>
      </c>
      <c r="H42" s="7">
        <f t="shared" si="0"/>
        <v>84071</v>
      </c>
      <c r="I42" s="7">
        <f t="shared" si="0"/>
        <v>35261</v>
      </c>
      <c r="J42" s="7">
        <f t="shared" si="0"/>
        <v>71537</v>
      </c>
      <c r="K42" s="7">
        <f t="shared" si="0"/>
        <v>67081</v>
      </c>
      <c r="L42" s="7">
        <f t="shared" si="0"/>
        <v>37316</v>
      </c>
      <c r="M42" s="7">
        <f t="shared" si="0"/>
        <v>66710</v>
      </c>
      <c r="N42" s="7">
        <f t="shared" si="0"/>
        <v>33653</v>
      </c>
      <c r="O42" s="7">
        <f t="shared" si="0"/>
        <v>43675</v>
      </c>
      <c r="P42" s="7">
        <f t="shared" si="0"/>
        <v>51170</v>
      </c>
      <c r="Q42" s="7">
        <f t="shared" si="0"/>
        <v>4950</v>
      </c>
      <c r="R42" s="7">
        <f t="shared" si="0"/>
        <v>0</v>
      </c>
      <c r="S42" s="7">
        <f t="shared" si="0"/>
        <v>124628.4</v>
      </c>
      <c r="T42" s="7">
        <f t="shared" si="0"/>
        <v>0</v>
      </c>
      <c r="U42" s="7">
        <f t="shared" si="0"/>
        <v>86726</v>
      </c>
      <c r="V42" s="7">
        <f t="shared" si="0"/>
        <v>15267</v>
      </c>
      <c r="W42" s="7">
        <f t="shared" si="0"/>
        <v>43878</v>
      </c>
      <c r="X42" s="7">
        <f t="shared" si="0"/>
        <v>112994</v>
      </c>
      <c r="Y42" s="7">
        <f t="shared" si="0"/>
        <v>32000</v>
      </c>
      <c r="Z42" s="7">
        <f t="shared" si="0"/>
        <v>794189</v>
      </c>
      <c r="AA42" s="7">
        <f t="shared" si="0"/>
        <v>59600</v>
      </c>
      <c r="AB42" s="7">
        <f t="shared" si="0"/>
        <v>0</v>
      </c>
      <c r="AC42" s="7">
        <f t="shared" si="0"/>
        <v>0</v>
      </c>
    </row>
    <row r="43" spans="1:29" x14ac:dyDescent="0.55000000000000004">
      <c r="A43" s="2" t="s">
        <v>36</v>
      </c>
      <c r="B43">
        <v>9</v>
      </c>
      <c r="D43" s="7">
        <f>HLOOKUP(D$35,$D$2:$AC$10,$B43,FALSE)</f>
        <v>0</v>
      </c>
      <c r="E43" s="7">
        <f t="shared" si="0"/>
        <v>0</v>
      </c>
      <c r="F43" s="7">
        <f t="shared" si="0"/>
        <v>0</v>
      </c>
      <c r="G43" s="7">
        <f t="shared" si="0"/>
        <v>9000</v>
      </c>
      <c r="H43" s="7">
        <f t="shared" si="0"/>
        <v>0</v>
      </c>
      <c r="I43" s="7">
        <f t="shared" si="0"/>
        <v>0</v>
      </c>
      <c r="J43" s="7">
        <f t="shared" si="0"/>
        <v>0</v>
      </c>
      <c r="K43" s="7">
        <f t="shared" si="0"/>
        <v>27390</v>
      </c>
      <c r="L43" s="7">
        <f t="shared" si="0"/>
        <v>0</v>
      </c>
      <c r="M43" s="7">
        <f t="shared" si="0"/>
        <v>16982.5</v>
      </c>
      <c r="N43" s="7">
        <f t="shared" si="0"/>
        <v>0</v>
      </c>
      <c r="O43" s="7">
        <f t="shared" si="0"/>
        <v>0</v>
      </c>
      <c r="P43" s="7">
        <f t="shared" si="0"/>
        <v>0</v>
      </c>
      <c r="Q43" s="7">
        <f t="shared" si="0"/>
        <v>0</v>
      </c>
      <c r="R43" s="7">
        <f t="shared" si="0"/>
        <v>0</v>
      </c>
      <c r="S43" s="7">
        <f t="shared" si="0"/>
        <v>0</v>
      </c>
      <c r="T43" s="7">
        <f t="shared" si="0"/>
        <v>0</v>
      </c>
      <c r="U43" s="7">
        <f t="shared" si="0"/>
        <v>0</v>
      </c>
      <c r="V43" s="7">
        <f t="shared" si="0"/>
        <v>0</v>
      </c>
      <c r="W43" s="7">
        <f t="shared" si="0"/>
        <v>7000</v>
      </c>
      <c r="X43" s="7">
        <f t="shared" si="0"/>
        <v>0</v>
      </c>
      <c r="Y43" s="7">
        <f t="shared" si="0"/>
        <v>0</v>
      </c>
      <c r="Z43" s="7">
        <f t="shared" si="0"/>
        <v>2400</v>
      </c>
      <c r="AA43" s="7">
        <f t="shared" si="0"/>
        <v>0</v>
      </c>
      <c r="AB43" s="7">
        <f t="shared" si="0"/>
        <v>0</v>
      </c>
      <c r="AC43" s="7">
        <f t="shared" si="0"/>
        <v>0</v>
      </c>
    </row>
    <row r="44" spans="1:29" x14ac:dyDescent="0.55000000000000004">
      <c r="A44" s="2"/>
    </row>
    <row r="45" spans="1:29" x14ac:dyDescent="0.55000000000000004">
      <c r="A45" s="1" t="s">
        <v>39</v>
      </c>
      <c r="B45" s="1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spans="1:29" x14ac:dyDescent="0.55000000000000004">
      <c r="A46" s="1" t="s">
        <v>28</v>
      </c>
      <c r="B46" s="1" t="s">
        <v>41</v>
      </c>
      <c r="D46" s="4" t="s">
        <v>20</v>
      </c>
      <c r="E46" s="4" t="s">
        <v>17</v>
      </c>
      <c r="F46" s="4" t="s">
        <v>16</v>
      </c>
      <c r="G46" s="4" t="s">
        <v>3</v>
      </c>
      <c r="H46" s="4" t="s">
        <v>14</v>
      </c>
      <c r="I46" s="4" t="s">
        <v>13</v>
      </c>
      <c r="J46" s="4" t="s">
        <v>11</v>
      </c>
      <c r="K46" s="4" t="s">
        <v>26</v>
      </c>
      <c r="L46" s="4" t="s">
        <v>9</v>
      </c>
      <c r="M46" s="4" t="s">
        <v>19</v>
      </c>
      <c r="N46" s="4" t="s">
        <v>27</v>
      </c>
      <c r="O46" s="4" t="s">
        <v>4</v>
      </c>
      <c r="P46" s="4" t="s">
        <v>25</v>
      </c>
      <c r="Q46" s="4" t="s">
        <v>8</v>
      </c>
      <c r="R46" s="4" t="s">
        <v>7</v>
      </c>
      <c r="S46" s="4" t="s">
        <v>18</v>
      </c>
      <c r="T46" s="4" t="s">
        <v>15</v>
      </c>
      <c r="U46" s="4" t="s">
        <v>12</v>
      </c>
      <c r="V46" s="4" t="s">
        <v>6</v>
      </c>
      <c r="W46" s="4" t="s">
        <v>21</v>
      </c>
      <c r="X46" s="4" t="s">
        <v>22</v>
      </c>
      <c r="Y46" s="4" t="s">
        <v>5</v>
      </c>
      <c r="Z46" s="4" t="s">
        <v>23</v>
      </c>
      <c r="AA46" s="4" t="s">
        <v>24</v>
      </c>
      <c r="AB46" s="4" t="s">
        <v>10</v>
      </c>
      <c r="AC46" s="4" t="s">
        <v>2</v>
      </c>
    </row>
    <row r="47" spans="1:29" x14ac:dyDescent="0.55000000000000004">
      <c r="A47" s="2" t="s">
        <v>29</v>
      </c>
      <c r="B47">
        <v>2</v>
      </c>
      <c r="D47" s="7">
        <f>HLOOKUP(D$46,$D$13:$AC$21,$B47,FALSE)</f>
        <v>3000</v>
      </c>
      <c r="E47" s="7">
        <f t="shared" ref="E47:AC54" si="2">HLOOKUP(E$46,$D$13:$AC$21,$B47,FALSE)</f>
        <v>0</v>
      </c>
      <c r="F47" s="7">
        <f t="shared" si="2"/>
        <v>0</v>
      </c>
      <c r="G47" s="7">
        <f t="shared" si="2"/>
        <v>0</v>
      </c>
      <c r="H47" s="7">
        <f t="shared" si="2"/>
        <v>0</v>
      </c>
      <c r="I47" s="7">
        <f t="shared" si="2"/>
        <v>0</v>
      </c>
      <c r="J47" s="7">
        <f t="shared" si="2"/>
        <v>4000</v>
      </c>
      <c r="K47" s="7">
        <f t="shared" si="2"/>
        <v>0</v>
      </c>
      <c r="L47" s="7">
        <f t="shared" si="2"/>
        <v>4000</v>
      </c>
      <c r="M47" s="7">
        <f t="shared" si="2"/>
        <v>10000</v>
      </c>
      <c r="N47" s="7">
        <f t="shared" si="2"/>
        <v>10000</v>
      </c>
      <c r="O47" s="7">
        <f t="shared" si="2"/>
        <v>0</v>
      </c>
      <c r="P47" s="7">
        <f t="shared" si="2"/>
        <v>0</v>
      </c>
      <c r="Q47" s="7">
        <f t="shared" si="2"/>
        <v>0</v>
      </c>
      <c r="R47" s="7">
        <f t="shared" si="2"/>
        <v>5000</v>
      </c>
      <c r="S47" s="7">
        <f t="shared" si="2"/>
        <v>0</v>
      </c>
      <c r="T47" s="7">
        <f t="shared" si="2"/>
        <v>0</v>
      </c>
      <c r="U47" s="7">
        <f t="shared" si="2"/>
        <v>0</v>
      </c>
      <c r="V47" s="7">
        <f t="shared" si="2"/>
        <v>0</v>
      </c>
      <c r="W47" s="7">
        <f t="shared" si="2"/>
        <v>0</v>
      </c>
      <c r="X47" s="7">
        <f t="shared" si="2"/>
        <v>0</v>
      </c>
      <c r="Y47" s="7">
        <f t="shared" si="2"/>
        <v>14000</v>
      </c>
      <c r="Z47" s="7">
        <f t="shared" si="2"/>
        <v>0</v>
      </c>
      <c r="AA47" s="7">
        <f t="shared" si="2"/>
        <v>0</v>
      </c>
      <c r="AB47" s="7">
        <f t="shared" si="2"/>
        <v>0</v>
      </c>
      <c r="AC47" s="7">
        <f t="shared" si="2"/>
        <v>0</v>
      </c>
    </row>
    <row r="48" spans="1:29" x14ac:dyDescent="0.55000000000000004">
      <c r="A48" s="2" t="s">
        <v>30</v>
      </c>
      <c r="B48">
        <v>3</v>
      </c>
      <c r="D48" s="7">
        <f t="shared" ref="D48:S54" si="3">HLOOKUP(D$46,$D$13:$AC$21,$B48,FALSE)</f>
        <v>21576</v>
      </c>
      <c r="E48" s="7">
        <f t="shared" si="3"/>
        <v>0</v>
      </c>
      <c r="F48" s="7">
        <f t="shared" si="3"/>
        <v>10575</v>
      </c>
      <c r="G48" s="7">
        <f t="shared" si="3"/>
        <v>539500</v>
      </c>
      <c r="H48" s="7">
        <f t="shared" si="3"/>
        <v>101246</v>
      </c>
      <c r="I48" s="7">
        <f t="shared" si="3"/>
        <v>16680</v>
      </c>
      <c r="J48" s="7">
        <f t="shared" si="3"/>
        <v>88560</v>
      </c>
      <c r="K48" s="7">
        <f t="shared" si="3"/>
        <v>0</v>
      </c>
      <c r="L48" s="7">
        <f t="shared" si="3"/>
        <v>9000</v>
      </c>
      <c r="M48" s="7">
        <f t="shared" si="3"/>
        <v>112300</v>
      </c>
      <c r="N48" s="7">
        <f t="shared" si="3"/>
        <v>29345</v>
      </c>
      <c r="O48" s="7">
        <f t="shared" si="3"/>
        <v>62996</v>
      </c>
      <c r="P48" s="7">
        <f t="shared" si="3"/>
        <v>79750</v>
      </c>
      <c r="Q48" s="7">
        <f t="shared" si="3"/>
        <v>7530</v>
      </c>
      <c r="R48" s="7">
        <f t="shared" si="3"/>
        <v>0</v>
      </c>
      <c r="S48" s="7">
        <f t="shared" si="3"/>
        <v>0</v>
      </c>
      <c r="T48" s="7">
        <f t="shared" si="2"/>
        <v>32200</v>
      </c>
      <c r="U48" s="7">
        <f t="shared" si="2"/>
        <v>95264</v>
      </c>
      <c r="V48" s="7">
        <f t="shared" si="2"/>
        <v>7000</v>
      </c>
      <c r="W48" s="7">
        <f t="shared" si="2"/>
        <v>114350</v>
      </c>
      <c r="X48" s="7">
        <f t="shared" si="2"/>
        <v>0</v>
      </c>
      <c r="Y48" s="7">
        <f t="shared" si="2"/>
        <v>0</v>
      </c>
      <c r="Z48" s="7">
        <f t="shared" si="2"/>
        <v>260955</v>
      </c>
      <c r="AA48" s="7">
        <f t="shared" si="2"/>
        <v>75534</v>
      </c>
      <c r="AB48" s="7">
        <f t="shared" si="2"/>
        <v>0</v>
      </c>
      <c r="AC48" s="7">
        <f t="shared" si="2"/>
        <v>0</v>
      </c>
    </row>
    <row r="49" spans="1:29" x14ac:dyDescent="0.55000000000000004">
      <c r="A49" s="2" t="s">
        <v>31</v>
      </c>
      <c r="B49">
        <v>4</v>
      </c>
      <c r="D49" s="7">
        <f t="shared" si="3"/>
        <v>0</v>
      </c>
      <c r="E49" s="7">
        <f t="shared" si="2"/>
        <v>0</v>
      </c>
      <c r="F49" s="7">
        <f t="shared" si="2"/>
        <v>0</v>
      </c>
      <c r="G49" s="7">
        <f t="shared" si="2"/>
        <v>131580</v>
      </c>
      <c r="H49" s="7">
        <f t="shared" si="2"/>
        <v>70000</v>
      </c>
      <c r="I49" s="7">
        <f t="shared" si="2"/>
        <v>28416</v>
      </c>
      <c r="J49" s="7">
        <f t="shared" si="2"/>
        <v>23356</v>
      </c>
      <c r="K49" s="7">
        <f t="shared" si="2"/>
        <v>0</v>
      </c>
      <c r="L49" s="7">
        <f t="shared" si="2"/>
        <v>0</v>
      </c>
      <c r="M49" s="7">
        <f t="shared" si="2"/>
        <v>40340</v>
      </c>
      <c r="N49" s="7">
        <f t="shared" si="2"/>
        <v>0</v>
      </c>
      <c r="O49" s="7">
        <f t="shared" si="2"/>
        <v>0</v>
      </c>
      <c r="P49" s="7">
        <f t="shared" si="2"/>
        <v>0</v>
      </c>
      <c r="Q49" s="7">
        <f t="shared" si="2"/>
        <v>0</v>
      </c>
      <c r="R49" s="7">
        <f t="shared" si="2"/>
        <v>0</v>
      </c>
      <c r="S49" s="7">
        <f t="shared" si="2"/>
        <v>0</v>
      </c>
      <c r="T49" s="7">
        <f t="shared" si="2"/>
        <v>31200</v>
      </c>
      <c r="U49" s="7">
        <f t="shared" si="2"/>
        <v>0</v>
      </c>
      <c r="V49" s="7">
        <f t="shared" si="2"/>
        <v>0</v>
      </c>
      <c r="W49" s="7">
        <f t="shared" si="2"/>
        <v>0</v>
      </c>
      <c r="X49" s="7">
        <f t="shared" si="2"/>
        <v>0</v>
      </c>
      <c r="Y49" s="7">
        <f t="shared" si="2"/>
        <v>0</v>
      </c>
      <c r="Z49" s="7">
        <f t="shared" si="2"/>
        <v>23700</v>
      </c>
      <c r="AA49" s="7">
        <f t="shared" si="2"/>
        <v>0</v>
      </c>
      <c r="AB49" s="7">
        <f t="shared" si="2"/>
        <v>0</v>
      </c>
      <c r="AC49" s="7">
        <f t="shared" si="2"/>
        <v>0</v>
      </c>
    </row>
    <row r="50" spans="1:29" x14ac:dyDescent="0.55000000000000004">
      <c r="A50" s="2" t="s">
        <v>32</v>
      </c>
      <c r="B50">
        <v>5</v>
      </c>
      <c r="D50" s="7">
        <f t="shared" si="3"/>
        <v>106397</v>
      </c>
      <c r="E50" s="7">
        <f t="shared" si="2"/>
        <v>0</v>
      </c>
      <c r="F50" s="7">
        <f t="shared" si="2"/>
        <v>11850</v>
      </c>
      <c r="G50" s="7">
        <f t="shared" si="2"/>
        <v>2260050</v>
      </c>
      <c r="H50" s="7">
        <f t="shared" si="2"/>
        <v>396533</v>
      </c>
      <c r="I50" s="7">
        <f t="shared" si="2"/>
        <v>289148</v>
      </c>
      <c r="J50" s="7">
        <f t="shared" si="2"/>
        <v>339017</v>
      </c>
      <c r="K50" s="7">
        <f t="shared" si="2"/>
        <v>19928</v>
      </c>
      <c r="L50" s="7">
        <f t="shared" si="2"/>
        <v>27100</v>
      </c>
      <c r="M50" s="7">
        <f t="shared" si="2"/>
        <v>207544</v>
      </c>
      <c r="N50" s="7">
        <f t="shared" si="2"/>
        <v>23497</v>
      </c>
      <c r="O50" s="7">
        <f t="shared" si="2"/>
        <v>320995</v>
      </c>
      <c r="P50" s="7">
        <f t="shared" si="2"/>
        <v>66626</v>
      </c>
      <c r="Q50" s="7">
        <f t="shared" si="2"/>
        <v>111517</v>
      </c>
      <c r="R50" s="7">
        <f t="shared" si="2"/>
        <v>3000</v>
      </c>
      <c r="S50" s="7">
        <f t="shared" si="2"/>
        <v>71964</v>
      </c>
      <c r="T50" s="7">
        <f t="shared" si="2"/>
        <v>26000</v>
      </c>
      <c r="U50" s="7">
        <f t="shared" si="2"/>
        <v>307973</v>
      </c>
      <c r="V50" s="7">
        <f t="shared" si="2"/>
        <v>93860</v>
      </c>
      <c r="W50" s="7">
        <f t="shared" si="2"/>
        <v>275414</v>
      </c>
      <c r="X50" s="7">
        <f t="shared" si="2"/>
        <v>162392</v>
      </c>
      <c r="Y50" s="7">
        <f t="shared" si="2"/>
        <v>39000</v>
      </c>
      <c r="Z50" s="7">
        <f t="shared" si="2"/>
        <v>120278</v>
      </c>
      <c r="AA50" s="7">
        <f t="shared" si="2"/>
        <v>559885</v>
      </c>
      <c r="AB50" s="7">
        <f t="shared" si="2"/>
        <v>0</v>
      </c>
      <c r="AC50" s="7">
        <f t="shared" si="2"/>
        <v>337598</v>
      </c>
    </row>
    <row r="51" spans="1:29" x14ac:dyDescent="0.55000000000000004">
      <c r="A51" s="2" t="s">
        <v>33</v>
      </c>
      <c r="B51">
        <v>6</v>
      </c>
      <c r="D51" s="7">
        <f t="shared" si="3"/>
        <v>194824</v>
      </c>
      <c r="E51" s="7">
        <f t="shared" si="2"/>
        <v>59064</v>
      </c>
      <c r="F51" s="7">
        <f t="shared" si="2"/>
        <v>33204</v>
      </c>
      <c r="G51" s="7">
        <f t="shared" si="2"/>
        <v>675880</v>
      </c>
      <c r="H51" s="7">
        <f t="shared" si="2"/>
        <v>61084</v>
      </c>
      <c r="I51" s="7">
        <f t="shared" si="2"/>
        <v>175493</v>
      </c>
      <c r="J51" s="7">
        <f t="shared" si="2"/>
        <v>360979</v>
      </c>
      <c r="K51" s="7">
        <f t="shared" si="2"/>
        <v>0</v>
      </c>
      <c r="L51" s="7">
        <f t="shared" si="2"/>
        <v>0</v>
      </c>
      <c r="M51" s="7">
        <f t="shared" si="2"/>
        <v>716375</v>
      </c>
      <c r="N51" s="7">
        <f t="shared" si="2"/>
        <v>29050</v>
      </c>
      <c r="O51" s="7">
        <f t="shared" si="2"/>
        <v>1453505</v>
      </c>
      <c r="P51" s="7">
        <f t="shared" si="2"/>
        <v>0</v>
      </c>
      <c r="Q51" s="7">
        <f t="shared" si="2"/>
        <v>134729</v>
      </c>
      <c r="R51" s="7">
        <f t="shared" si="2"/>
        <v>21000</v>
      </c>
      <c r="S51" s="7">
        <f t="shared" si="2"/>
        <v>240978</v>
      </c>
      <c r="T51" s="7">
        <f t="shared" si="2"/>
        <v>74770</v>
      </c>
      <c r="U51" s="7">
        <f t="shared" si="2"/>
        <v>237193</v>
      </c>
      <c r="V51" s="7">
        <f t="shared" si="2"/>
        <v>105620</v>
      </c>
      <c r="W51" s="7">
        <f t="shared" si="2"/>
        <v>384860</v>
      </c>
      <c r="X51" s="7">
        <f t="shared" si="2"/>
        <v>38046</v>
      </c>
      <c r="Y51" s="7">
        <f t="shared" si="2"/>
        <v>16000</v>
      </c>
      <c r="Z51" s="7">
        <f t="shared" si="2"/>
        <v>204865</v>
      </c>
      <c r="AA51" s="7">
        <f t="shared" si="2"/>
        <v>25220</v>
      </c>
      <c r="AB51" s="7">
        <f t="shared" si="2"/>
        <v>0</v>
      </c>
      <c r="AC51" s="7">
        <f t="shared" si="2"/>
        <v>2079433</v>
      </c>
    </row>
    <row r="52" spans="1:29" x14ac:dyDescent="0.55000000000000004">
      <c r="A52" s="2" t="s">
        <v>34</v>
      </c>
      <c r="B52">
        <v>7</v>
      </c>
      <c r="D52" s="7">
        <f t="shared" si="3"/>
        <v>0</v>
      </c>
      <c r="E52" s="7">
        <f t="shared" si="2"/>
        <v>8760</v>
      </c>
      <c r="F52" s="7">
        <f t="shared" si="2"/>
        <v>9440</v>
      </c>
      <c r="G52" s="7">
        <f t="shared" si="2"/>
        <v>1729915</v>
      </c>
      <c r="H52" s="7">
        <f t="shared" si="2"/>
        <v>69802</v>
      </c>
      <c r="I52" s="7">
        <f t="shared" si="2"/>
        <v>856243</v>
      </c>
      <c r="J52" s="7">
        <f t="shared" si="2"/>
        <v>472753</v>
      </c>
      <c r="K52" s="7">
        <f t="shared" si="2"/>
        <v>0</v>
      </c>
      <c r="L52" s="7">
        <f t="shared" si="2"/>
        <v>54430</v>
      </c>
      <c r="M52" s="7">
        <f t="shared" si="2"/>
        <v>255880</v>
      </c>
      <c r="N52" s="7">
        <f t="shared" si="2"/>
        <v>0</v>
      </c>
      <c r="O52" s="7">
        <f t="shared" si="2"/>
        <v>0</v>
      </c>
      <c r="P52" s="7">
        <f t="shared" si="2"/>
        <v>13020</v>
      </c>
      <c r="Q52" s="7">
        <f t="shared" si="2"/>
        <v>134940</v>
      </c>
      <c r="R52" s="7">
        <f t="shared" si="2"/>
        <v>45860</v>
      </c>
      <c r="S52" s="7">
        <f t="shared" si="2"/>
        <v>20000</v>
      </c>
      <c r="T52" s="7">
        <f t="shared" si="2"/>
        <v>192743</v>
      </c>
      <c r="U52" s="7">
        <f t="shared" si="2"/>
        <v>73904</v>
      </c>
      <c r="V52" s="7">
        <f t="shared" si="2"/>
        <v>200433</v>
      </c>
      <c r="W52" s="7">
        <f t="shared" si="2"/>
        <v>146500</v>
      </c>
      <c r="X52" s="7">
        <f t="shared" si="2"/>
        <v>133800</v>
      </c>
      <c r="Y52" s="7">
        <f t="shared" si="2"/>
        <v>59700</v>
      </c>
      <c r="Z52" s="7">
        <f t="shared" si="2"/>
        <v>80146</v>
      </c>
      <c r="AA52" s="7">
        <f t="shared" si="2"/>
        <v>297845</v>
      </c>
      <c r="AB52" s="7">
        <f t="shared" si="2"/>
        <v>0</v>
      </c>
      <c r="AC52" s="7">
        <f t="shared" si="2"/>
        <v>103072</v>
      </c>
    </row>
    <row r="53" spans="1:29" x14ac:dyDescent="0.55000000000000004">
      <c r="A53" s="2" t="s">
        <v>35</v>
      </c>
      <c r="B53">
        <v>8</v>
      </c>
      <c r="D53" s="7">
        <f t="shared" si="3"/>
        <v>4228</v>
      </c>
      <c r="E53" s="7">
        <f t="shared" si="2"/>
        <v>0</v>
      </c>
      <c r="F53" s="7">
        <f t="shared" si="2"/>
        <v>11570</v>
      </c>
      <c r="G53" s="7">
        <f t="shared" si="2"/>
        <v>245712</v>
      </c>
      <c r="H53" s="7">
        <f t="shared" si="2"/>
        <v>115295</v>
      </c>
      <c r="I53" s="7">
        <f t="shared" si="2"/>
        <v>41405</v>
      </c>
      <c r="J53" s="7">
        <f t="shared" si="2"/>
        <v>29085</v>
      </c>
      <c r="K53" s="7">
        <f t="shared" si="2"/>
        <v>85522</v>
      </c>
      <c r="L53" s="7">
        <f t="shared" si="2"/>
        <v>0</v>
      </c>
      <c r="M53" s="7">
        <f t="shared" si="2"/>
        <v>64461</v>
      </c>
      <c r="N53" s="7">
        <f t="shared" si="2"/>
        <v>13601</v>
      </c>
      <c r="O53" s="7">
        <f t="shared" si="2"/>
        <v>61177</v>
      </c>
      <c r="P53" s="7">
        <f t="shared" si="2"/>
        <v>51885</v>
      </c>
      <c r="Q53" s="7">
        <f t="shared" si="2"/>
        <v>6135</v>
      </c>
      <c r="R53" s="7">
        <f t="shared" si="2"/>
        <v>0</v>
      </c>
      <c r="S53" s="7">
        <f t="shared" si="2"/>
        <v>23000</v>
      </c>
      <c r="T53" s="7">
        <f t="shared" si="2"/>
        <v>46095</v>
      </c>
      <c r="U53" s="7">
        <f t="shared" si="2"/>
        <v>8158</v>
      </c>
      <c r="V53" s="7">
        <f t="shared" si="2"/>
        <v>7490</v>
      </c>
      <c r="W53" s="7">
        <f t="shared" si="2"/>
        <v>0</v>
      </c>
      <c r="X53" s="7">
        <f t="shared" si="2"/>
        <v>20180</v>
      </c>
      <c r="Y53" s="7">
        <f t="shared" si="2"/>
        <v>16000</v>
      </c>
      <c r="Z53" s="7">
        <f t="shared" si="2"/>
        <v>199031</v>
      </c>
      <c r="AA53" s="7">
        <f t="shared" si="2"/>
        <v>9436</v>
      </c>
      <c r="AB53" s="7">
        <f t="shared" si="2"/>
        <v>0</v>
      </c>
      <c r="AC53" s="7">
        <f t="shared" si="2"/>
        <v>0</v>
      </c>
    </row>
    <row r="54" spans="1:29" x14ac:dyDescent="0.55000000000000004">
      <c r="A54" s="2" t="s">
        <v>36</v>
      </c>
      <c r="B54">
        <v>9</v>
      </c>
      <c r="D54" s="7">
        <f t="shared" si="3"/>
        <v>0</v>
      </c>
      <c r="E54" s="7">
        <f t="shared" si="2"/>
        <v>0</v>
      </c>
      <c r="F54" s="7">
        <f t="shared" si="2"/>
        <v>0</v>
      </c>
      <c r="G54" s="7">
        <f t="shared" si="2"/>
        <v>733815</v>
      </c>
      <c r="H54" s="7">
        <f t="shared" si="2"/>
        <v>0</v>
      </c>
      <c r="I54" s="7">
        <f t="shared" si="2"/>
        <v>7200</v>
      </c>
      <c r="J54" s="7">
        <f t="shared" si="2"/>
        <v>0</v>
      </c>
      <c r="K54" s="7">
        <f t="shared" si="2"/>
        <v>0</v>
      </c>
      <c r="L54" s="7">
        <f t="shared" si="2"/>
        <v>0</v>
      </c>
      <c r="M54" s="7">
        <f t="shared" si="2"/>
        <v>5000</v>
      </c>
      <c r="N54" s="7">
        <f t="shared" si="2"/>
        <v>0</v>
      </c>
      <c r="O54" s="7">
        <f t="shared" si="2"/>
        <v>0</v>
      </c>
      <c r="P54" s="7">
        <f t="shared" si="2"/>
        <v>0</v>
      </c>
      <c r="Q54" s="7">
        <f t="shared" si="2"/>
        <v>0</v>
      </c>
      <c r="R54" s="7">
        <f t="shared" si="2"/>
        <v>0</v>
      </c>
      <c r="S54" s="7">
        <f t="shared" si="2"/>
        <v>0</v>
      </c>
      <c r="T54" s="7">
        <f t="shared" si="2"/>
        <v>0</v>
      </c>
      <c r="U54" s="7">
        <f t="shared" si="2"/>
        <v>0</v>
      </c>
      <c r="V54" s="7">
        <f t="shared" si="2"/>
        <v>0</v>
      </c>
      <c r="W54" s="7">
        <f t="shared" si="2"/>
        <v>0</v>
      </c>
      <c r="X54" s="7">
        <f t="shared" si="2"/>
        <v>0</v>
      </c>
      <c r="Y54" s="7">
        <f t="shared" si="2"/>
        <v>0</v>
      </c>
      <c r="Z54" s="7">
        <f t="shared" si="2"/>
        <v>64800</v>
      </c>
      <c r="AA54" s="7">
        <f t="shared" si="2"/>
        <v>0</v>
      </c>
      <c r="AB54" s="7">
        <f t="shared" si="2"/>
        <v>0</v>
      </c>
      <c r="AC54" s="7">
        <f t="shared" si="2"/>
        <v>0</v>
      </c>
    </row>
    <row r="55" spans="1:29" x14ac:dyDescent="0.55000000000000004">
      <c r="A55" s="2"/>
    </row>
    <row r="56" spans="1:29" x14ac:dyDescent="0.55000000000000004">
      <c r="A56" s="1" t="s">
        <v>38</v>
      </c>
      <c r="B56" s="1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spans="1:29" x14ac:dyDescent="0.55000000000000004">
      <c r="A57" s="1" t="s">
        <v>28</v>
      </c>
      <c r="B57" s="1" t="s">
        <v>41</v>
      </c>
      <c r="D57" s="4" t="s">
        <v>20</v>
      </c>
      <c r="E57" s="4" t="s">
        <v>17</v>
      </c>
      <c r="F57" s="4" t="s">
        <v>16</v>
      </c>
      <c r="G57" s="4" t="s">
        <v>3</v>
      </c>
      <c r="H57" s="4" t="s">
        <v>14</v>
      </c>
      <c r="I57" s="4" t="s">
        <v>13</v>
      </c>
      <c r="J57" s="4" t="s">
        <v>11</v>
      </c>
      <c r="K57" s="4" t="s">
        <v>26</v>
      </c>
      <c r="L57" s="4" t="s">
        <v>9</v>
      </c>
      <c r="M57" s="4" t="s">
        <v>19</v>
      </c>
      <c r="N57" s="4" t="s">
        <v>27</v>
      </c>
      <c r="O57" s="4" t="s">
        <v>4</v>
      </c>
      <c r="P57" s="4" t="s">
        <v>25</v>
      </c>
      <c r="Q57" s="4" t="s">
        <v>8</v>
      </c>
      <c r="R57" s="4" t="s">
        <v>7</v>
      </c>
      <c r="S57" s="4" t="s">
        <v>18</v>
      </c>
      <c r="T57" s="4" t="s">
        <v>15</v>
      </c>
      <c r="U57" s="4" t="s">
        <v>12</v>
      </c>
      <c r="V57" s="4" t="s">
        <v>6</v>
      </c>
      <c r="W57" s="4" t="s">
        <v>21</v>
      </c>
      <c r="X57" s="4" t="s">
        <v>22</v>
      </c>
      <c r="Y57" s="4" t="s">
        <v>5</v>
      </c>
      <c r="Z57" s="4" t="s">
        <v>23</v>
      </c>
      <c r="AA57" s="4" t="s">
        <v>24</v>
      </c>
      <c r="AB57" s="4" t="s">
        <v>10</v>
      </c>
      <c r="AC57" s="4" t="s">
        <v>2</v>
      </c>
    </row>
    <row r="58" spans="1:29" x14ac:dyDescent="0.55000000000000004">
      <c r="A58" s="2" t="s">
        <v>29</v>
      </c>
      <c r="B58">
        <v>2</v>
      </c>
      <c r="D58" s="7">
        <f>HLOOKUP(D$57,$D$24:$AC$32,$B58,FALSE)</f>
        <v>0</v>
      </c>
      <c r="E58" s="7">
        <f t="shared" ref="E58:AC65" si="4">HLOOKUP(E$57,$D$24:$AC$32,$B58,FALSE)</f>
        <v>0</v>
      </c>
      <c r="F58" s="7">
        <f t="shared" si="4"/>
        <v>0</v>
      </c>
      <c r="G58" s="7">
        <f t="shared" si="4"/>
        <v>0</v>
      </c>
      <c r="H58" s="7">
        <f t="shared" si="4"/>
        <v>0</v>
      </c>
      <c r="I58" s="7">
        <f t="shared" si="4"/>
        <v>0</v>
      </c>
      <c r="J58" s="7">
        <f t="shared" si="4"/>
        <v>0</v>
      </c>
      <c r="K58" s="7">
        <f t="shared" si="4"/>
        <v>0</v>
      </c>
      <c r="L58" s="7">
        <f t="shared" si="4"/>
        <v>0</v>
      </c>
      <c r="M58" s="7">
        <f t="shared" si="4"/>
        <v>0</v>
      </c>
      <c r="N58" s="7">
        <f t="shared" si="4"/>
        <v>0</v>
      </c>
      <c r="O58" s="7">
        <f t="shared" si="4"/>
        <v>0</v>
      </c>
      <c r="P58" s="7">
        <f t="shared" si="4"/>
        <v>0</v>
      </c>
      <c r="Q58" s="7">
        <f t="shared" si="4"/>
        <v>0</v>
      </c>
      <c r="R58" s="7">
        <f t="shared" si="4"/>
        <v>0</v>
      </c>
      <c r="S58" s="7">
        <f t="shared" si="4"/>
        <v>0</v>
      </c>
      <c r="T58" s="7">
        <f t="shared" si="4"/>
        <v>0</v>
      </c>
      <c r="U58" s="7">
        <f t="shared" si="4"/>
        <v>0</v>
      </c>
      <c r="V58" s="7">
        <f t="shared" si="4"/>
        <v>0</v>
      </c>
      <c r="W58" s="7">
        <f t="shared" si="4"/>
        <v>0</v>
      </c>
      <c r="X58" s="7">
        <f t="shared" si="4"/>
        <v>0</v>
      </c>
      <c r="Y58" s="7">
        <f t="shared" si="4"/>
        <v>0</v>
      </c>
      <c r="Z58" s="7">
        <f t="shared" si="4"/>
        <v>0</v>
      </c>
      <c r="AA58" s="7">
        <f t="shared" si="4"/>
        <v>0</v>
      </c>
      <c r="AB58" s="7">
        <f t="shared" si="4"/>
        <v>0</v>
      </c>
      <c r="AC58" s="7">
        <f t="shared" si="4"/>
        <v>0</v>
      </c>
    </row>
    <row r="59" spans="1:29" x14ac:dyDescent="0.55000000000000004">
      <c r="A59" s="2" t="s">
        <v>30</v>
      </c>
      <c r="B59">
        <v>3</v>
      </c>
      <c r="D59" s="7">
        <f t="shared" ref="D59:D65" si="5">HLOOKUP(D$57,$D$24:$AC$32,$B59,FALSE)</f>
        <v>0</v>
      </c>
      <c r="E59" s="7">
        <f t="shared" si="4"/>
        <v>0</v>
      </c>
      <c r="F59" s="7">
        <f t="shared" si="4"/>
        <v>0</v>
      </c>
      <c r="G59" s="7">
        <f t="shared" si="4"/>
        <v>116170</v>
      </c>
      <c r="H59" s="7">
        <f t="shared" si="4"/>
        <v>0</v>
      </c>
      <c r="I59" s="7">
        <f t="shared" si="4"/>
        <v>0</v>
      </c>
      <c r="J59" s="7">
        <f t="shared" si="4"/>
        <v>3750</v>
      </c>
      <c r="K59" s="7">
        <f t="shared" si="4"/>
        <v>0</v>
      </c>
      <c r="L59" s="7">
        <f t="shared" si="4"/>
        <v>18000</v>
      </c>
      <c r="M59" s="7">
        <f t="shared" si="4"/>
        <v>109860</v>
      </c>
      <c r="N59" s="7">
        <f t="shared" si="4"/>
        <v>25000</v>
      </c>
      <c r="O59" s="7">
        <f t="shared" si="4"/>
        <v>5792</v>
      </c>
      <c r="P59" s="7">
        <f t="shared" si="4"/>
        <v>15000</v>
      </c>
      <c r="Q59" s="7">
        <f t="shared" si="4"/>
        <v>0</v>
      </c>
      <c r="R59" s="7">
        <f t="shared" si="4"/>
        <v>0</v>
      </c>
      <c r="S59" s="7">
        <f t="shared" si="4"/>
        <v>0</v>
      </c>
      <c r="T59" s="7">
        <f t="shared" si="4"/>
        <v>0</v>
      </c>
      <c r="U59" s="7">
        <f t="shared" si="4"/>
        <v>4950</v>
      </c>
      <c r="V59" s="7">
        <f t="shared" si="4"/>
        <v>0</v>
      </c>
      <c r="W59" s="7">
        <f t="shared" si="4"/>
        <v>35900</v>
      </c>
      <c r="X59" s="7">
        <f t="shared" si="4"/>
        <v>0</v>
      </c>
      <c r="Y59" s="7">
        <f t="shared" si="4"/>
        <v>0</v>
      </c>
      <c r="Z59" s="7">
        <f t="shared" si="4"/>
        <v>48975</v>
      </c>
      <c r="AA59" s="7">
        <f t="shared" si="4"/>
        <v>23180</v>
      </c>
      <c r="AB59" s="7">
        <f t="shared" si="4"/>
        <v>0</v>
      </c>
      <c r="AC59" s="7">
        <f t="shared" si="4"/>
        <v>0</v>
      </c>
    </row>
    <row r="60" spans="1:29" x14ac:dyDescent="0.55000000000000004">
      <c r="A60" s="2" t="s">
        <v>31</v>
      </c>
      <c r="B60">
        <v>4</v>
      </c>
      <c r="D60" s="7">
        <f t="shared" si="5"/>
        <v>0</v>
      </c>
      <c r="E60" s="7">
        <f t="shared" si="4"/>
        <v>0</v>
      </c>
      <c r="F60" s="7">
        <f t="shared" si="4"/>
        <v>0</v>
      </c>
      <c r="G60" s="7">
        <f t="shared" si="4"/>
        <v>39520</v>
      </c>
      <c r="H60" s="7">
        <f t="shared" si="4"/>
        <v>161888</v>
      </c>
      <c r="I60" s="7">
        <f t="shared" si="4"/>
        <v>0</v>
      </c>
      <c r="J60" s="7">
        <f t="shared" si="4"/>
        <v>23150</v>
      </c>
      <c r="K60" s="7">
        <f t="shared" si="4"/>
        <v>0</v>
      </c>
      <c r="L60" s="7">
        <f t="shared" si="4"/>
        <v>0</v>
      </c>
      <c r="M60" s="7">
        <f t="shared" si="4"/>
        <v>0</v>
      </c>
      <c r="N60" s="7">
        <f t="shared" si="4"/>
        <v>35070</v>
      </c>
      <c r="O60" s="7">
        <f t="shared" si="4"/>
        <v>55800</v>
      </c>
      <c r="P60" s="7">
        <f t="shared" si="4"/>
        <v>0</v>
      </c>
      <c r="Q60" s="7">
        <f t="shared" si="4"/>
        <v>0</v>
      </c>
      <c r="R60" s="7">
        <f t="shared" si="4"/>
        <v>0</v>
      </c>
      <c r="S60" s="7">
        <f t="shared" si="4"/>
        <v>22680</v>
      </c>
      <c r="T60" s="7">
        <f t="shared" si="4"/>
        <v>0</v>
      </c>
      <c r="U60" s="7">
        <f t="shared" si="4"/>
        <v>18000</v>
      </c>
      <c r="V60" s="7">
        <f t="shared" si="4"/>
        <v>0</v>
      </c>
      <c r="W60" s="7">
        <f t="shared" si="4"/>
        <v>0</v>
      </c>
      <c r="X60" s="7">
        <f t="shared" si="4"/>
        <v>0</v>
      </c>
      <c r="Y60" s="7">
        <f t="shared" si="4"/>
        <v>0</v>
      </c>
      <c r="Z60" s="7">
        <f t="shared" si="4"/>
        <v>32542</v>
      </c>
      <c r="AA60" s="7">
        <f t="shared" si="4"/>
        <v>46120</v>
      </c>
      <c r="AB60" s="7">
        <f t="shared" si="4"/>
        <v>0</v>
      </c>
      <c r="AC60" s="7">
        <f t="shared" si="4"/>
        <v>0</v>
      </c>
    </row>
    <row r="61" spans="1:29" x14ac:dyDescent="0.55000000000000004">
      <c r="A61" s="2" t="s">
        <v>32</v>
      </c>
      <c r="B61">
        <v>5</v>
      </c>
      <c r="D61" s="7">
        <f t="shared" si="5"/>
        <v>15277</v>
      </c>
      <c r="E61" s="7">
        <f t="shared" si="4"/>
        <v>2875</v>
      </c>
      <c r="F61" s="7">
        <f t="shared" si="4"/>
        <v>0</v>
      </c>
      <c r="G61" s="7">
        <f t="shared" si="4"/>
        <v>203558</v>
      </c>
      <c r="H61" s="7">
        <f t="shared" si="4"/>
        <v>25820</v>
      </c>
      <c r="I61" s="7">
        <f t="shared" si="4"/>
        <v>0</v>
      </c>
      <c r="J61" s="7">
        <f t="shared" si="4"/>
        <v>22129</v>
      </c>
      <c r="K61" s="7">
        <f t="shared" si="4"/>
        <v>35800</v>
      </c>
      <c r="L61" s="7">
        <f t="shared" si="4"/>
        <v>0</v>
      </c>
      <c r="M61" s="7">
        <f t="shared" si="4"/>
        <v>25820</v>
      </c>
      <c r="N61" s="7">
        <f t="shared" si="4"/>
        <v>0</v>
      </c>
      <c r="O61" s="7">
        <f t="shared" si="4"/>
        <v>29483</v>
      </c>
      <c r="P61" s="7">
        <f t="shared" si="4"/>
        <v>13315</v>
      </c>
      <c r="Q61" s="7">
        <f t="shared" si="4"/>
        <v>0</v>
      </c>
      <c r="R61" s="7">
        <f t="shared" si="4"/>
        <v>0</v>
      </c>
      <c r="S61" s="7">
        <f t="shared" si="4"/>
        <v>17752</v>
      </c>
      <c r="T61" s="7">
        <f t="shared" si="4"/>
        <v>14000</v>
      </c>
      <c r="U61" s="7">
        <f t="shared" si="4"/>
        <v>37385</v>
      </c>
      <c r="V61" s="7">
        <f t="shared" si="4"/>
        <v>0</v>
      </c>
      <c r="W61" s="7">
        <f t="shared" si="4"/>
        <v>81438</v>
      </c>
      <c r="X61" s="7">
        <f t="shared" si="4"/>
        <v>29243</v>
      </c>
      <c r="Y61" s="7">
        <f t="shared" si="4"/>
        <v>0</v>
      </c>
      <c r="Z61" s="7">
        <f t="shared" si="4"/>
        <v>30062</v>
      </c>
      <c r="AA61" s="7">
        <f t="shared" si="4"/>
        <v>23750</v>
      </c>
      <c r="AB61" s="7">
        <f t="shared" si="4"/>
        <v>0</v>
      </c>
      <c r="AC61" s="7">
        <f t="shared" si="4"/>
        <v>54666</v>
      </c>
    </row>
    <row r="62" spans="1:29" x14ac:dyDescent="0.55000000000000004">
      <c r="A62" s="2" t="s">
        <v>33</v>
      </c>
      <c r="B62">
        <v>6</v>
      </c>
      <c r="D62" s="7">
        <f t="shared" si="5"/>
        <v>9960</v>
      </c>
      <c r="E62" s="7">
        <f t="shared" si="4"/>
        <v>7800</v>
      </c>
      <c r="F62" s="7">
        <f t="shared" si="4"/>
        <v>42864</v>
      </c>
      <c r="G62" s="7">
        <f t="shared" si="4"/>
        <v>145120</v>
      </c>
      <c r="H62" s="7">
        <f t="shared" si="4"/>
        <v>25680</v>
      </c>
      <c r="I62" s="7">
        <f t="shared" si="4"/>
        <v>53400</v>
      </c>
      <c r="J62" s="7">
        <f t="shared" si="4"/>
        <v>196515</v>
      </c>
      <c r="K62" s="7">
        <f t="shared" si="4"/>
        <v>0</v>
      </c>
      <c r="L62" s="7">
        <f t="shared" si="4"/>
        <v>0</v>
      </c>
      <c r="M62" s="7">
        <f t="shared" si="4"/>
        <v>127300</v>
      </c>
      <c r="N62" s="7">
        <f t="shared" si="4"/>
        <v>0</v>
      </c>
      <c r="O62" s="7">
        <f t="shared" si="4"/>
        <v>246645</v>
      </c>
      <c r="P62" s="7">
        <f t="shared" si="4"/>
        <v>0</v>
      </c>
      <c r="Q62" s="7">
        <f t="shared" si="4"/>
        <v>0</v>
      </c>
      <c r="R62" s="7">
        <f t="shared" si="4"/>
        <v>9600</v>
      </c>
      <c r="S62" s="7">
        <f t="shared" si="4"/>
        <v>74862</v>
      </c>
      <c r="T62" s="7">
        <f t="shared" si="4"/>
        <v>0</v>
      </c>
      <c r="U62" s="7">
        <f t="shared" si="4"/>
        <v>116820</v>
      </c>
      <c r="V62" s="7">
        <f t="shared" si="4"/>
        <v>76750</v>
      </c>
      <c r="W62" s="7">
        <f t="shared" si="4"/>
        <v>127825</v>
      </c>
      <c r="X62" s="7">
        <f t="shared" si="4"/>
        <v>71112</v>
      </c>
      <c r="Y62" s="7">
        <f t="shared" si="4"/>
        <v>0</v>
      </c>
      <c r="Z62" s="7">
        <f t="shared" si="4"/>
        <v>0</v>
      </c>
      <c r="AA62" s="7">
        <f t="shared" si="4"/>
        <v>149289</v>
      </c>
      <c r="AB62" s="7">
        <f t="shared" si="4"/>
        <v>0</v>
      </c>
      <c r="AC62" s="7">
        <f t="shared" si="4"/>
        <v>194257</v>
      </c>
    </row>
    <row r="63" spans="1:29" x14ac:dyDescent="0.55000000000000004">
      <c r="A63" s="2" t="s">
        <v>34</v>
      </c>
      <c r="B63">
        <v>7</v>
      </c>
      <c r="D63" s="7">
        <f t="shared" si="5"/>
        <v>0</v>
      </c>
      <c r="E63" s="7">
        <f t="shared" si="4"/>
        <v>18681</v>
      </c>
      <c r="F63" s="7">
        <f t="shared" si="4"/>
        <v>0</v>
      </c>
      <c r="G63" s="7">
        <f t="shared" si="4"/>
        <v>390745</v>
      </c>
      <c r="H63" s="7">
        <f t="shared" si="4"/>
        <v>194695</v>
      </c>
      <c r="I63" s="7">
        <f t="shared" si="4"/>
        <v>0</v>
      </c>
      <c r="J63" s="7">
        <f t="shared" si="4"/>
        <v>151843</v>
      </c>
      <c r="K63" s="7">
        <f t="shared" si="4"/>
        <v>20825</v>
      </c>
      <c r="L63" s="7">
        <f t="shared" si="4"/>
        <v>20700</v>
      </c>
      <c r="M63" s="7">
        <f t="shared" si="4"/>
        <v>261440</v>
      </c>
      <c r="N63" s="7">
        <f t="shared" si="4"/>
        <v>4757</v>
      </c>
      <c r="O63" s="7">
        <f t="shared" si="4"/>
        <v>0</v>
      </c>
      <c r="P63" s="7">
        <f t="shared" si="4"/>
        <v>0</v>
      </c>
      <c r="Q63" s="7">
        <f t="shared" si="4"/>
        <v>25050</v>
      </c>
      <c r="R63" s="7">
        <f t="shared" si="4"/>
        <v>11600</v>
      </c>
      <c r="S63" s="7">
        <f t="shared" si="4"/>
        <v>0</v>
      </c>
      <c r="T63" s="7">
        <f t="shared" si="4"/>
        <v>26570</v>
      </c>
      <c r="U63" s="7">
        <f t="shared" si="4"/>
        <v>10342</v>
      </c>
      <c r="V63" s="7">
        <f t="shared" si="4"/>
        <v>5500</v>
      </c>
      <c r="W63" s="7">
        <f t="shared" si="4"/>
        <v>249132</v>
      </c>
      <c r="X63" s="7">
        <f t="shared" si="4"/>
        <v>89400</v>
      </c>
      <c r="Y63" s="7">
        <f t="shared" si="4"/>
        <v>27690</v>
      </c>
      <c r="Z63" s="7">
        <f t="shared" si="4"/>
        <v>15000</v>
      </c>
      <c r="AA63" s="7">
        <f t="shared" si="4"/>
        <v>26848</v>
      </c>
      <c r="AB63" s="7">
        <f t="shared" si="4"/>
        <v>0</v>
      </c>
      <c r="AC63" s="7">
        <f t="shared" si="4"/>
        <v>21272</v>
      </c>
    </row>
    <row r="64" spans="1:29" x14ac:dyDescent="0.55000000000000004">
      <c r="A64" s="2" t="s">
        <v>35</v>
      </c>
      <c r="B64">
        <v>8</v>
      </c>
      <c r="D64" s="7">
        <f t="shared" si="5"/>
        <v>0</v>
      </c>
      <c r="E64" s="7">
        <f t="shared" si="4"/>
        <v>0</v>
      </c>
      <c r="F64" s="7">
        <f t="shared" si="4"/>
        <v>0</v>
      </c>
      <c r="G64" s="7">
        <f t="shared" si="4"/>
        <v>37400</v>
      </c>
      <c r="H64" s="7">
        <f t="shared" si="4"/>
        <v>0</v>
      </c>
      <c r="I64" s="7">
        <f t="shared" si="4"/>
        <v>0</v>
      </c>
      <c r="J64" s="7">
        <f t="shared" si="4"/>
        <v>21284</v>
      </c>
      <c r="K64" s="7">
        <f t="shared" si="4"/>
        <v>0</v>
      </c>
      <c r="L64" s="7">
        <f t="shared" si="4"/>
        <v>0</v>
      </c>
      <c r="M64" s="7">
        <f t="shared" si="4"/>
        <v>12212</v>
      </c>
      <c r="N64" s="7">
        <f t="shared" si="4"/>
        <v>18056</v>
      </c>
      <c r="O64" s="7">
        <f t="shared" si="4"/>
        <v>6845</v>
      </c>
      <c r="P64" s="7">
        <f t="shared" si="4"/>
        <v>0</v>
      </c>
      <c r="Q64" s="7">
        <f t="shared" si="4"/>
        <v>0</v>
      </c>
      <c r="R64" s="7">
        <f t="shared" si="4"/>
        <v>0</v>
      </c>
      <c r="S64" s="7">
        <f t="shared" si="4"/>
        <v>3500</v>
      </c>
      <c r="T64" s="7">
        <f t="shared" si="4"/>
        <v>0</v>
      </c>
      <c r="U64" s="7">
        <f t="shared" si="4"/>
        <v>0</v>
      </c>
      <c r="V64" s="7">
        <f t="shared" si="4"/>
        <v>5729</v>
      </c>
      <c r="W64" s="7">
        <f t="shared" si="4"/>
        <v>12108</v>
      </c>
      <c r="X64" s="7">
        <f t="shared" si="4"/>
        <v>0</v>
      </c>
      <c r="Y64" s="7">
        <f t="shared" si="4"/>
        <v>0</v>
      </c>
      <c r="Z64" s="7">
        <f t="shared" si="4"/>
        <v>0</v>
      </c>
      <c r="AA64" s="7">
        <f t="shared" si="4"/>
        <v>5165</v>
      </c>
      <c r="AB64" s="7">
        <f t="shared" si="4"/>
        <v>0</v>
      </c>
      <c r="AC64" s="7">
        <f t="shared" si="4"/>
        <v>0</v>
      </c>
    </row>
    <row r="65" spans="1:29" x14ac:dyDescent="0.55000000000000004">
      <c r="A65" s="2" t="s">
        <v>36</v>
      </c>
      <c r="B65">
        <v>9</v>
      </c>
      <c r="D65" s="7">
        <f t="shared" si="5"/>
        <v>0</v>
      </c>
      <c r="E65" s="7">
        <f t="shared" si="4"/>
        <v>0</v>
      </c>
      <c r="F65" s="7">
        <f t="shared" si="4"/>
        <v>0</v>
      </c>
      <c r="G65" s="7">
        <f t="shared" si="4"/>
        <v>0</v>
      </c>
      <c r="H65" s="7">
        <f t="shared" si="4"/>
        <v>0</v>
      </c>
      <c r="I65" s="7">
        <f t="shared" si="4"/>
        <v>0</v>
      </c>
      <c r="J65" s="7">
        <f t="shared" si="4"/>
        <v>0</v>
      </c>
      <c r="K65" s="7">
        <f t="shared" si="4"/>
        <v>0</v>
      </c>
      <c r="L65" s="7">
        <f t="shared" si="4"/>
        <v>0</v>
      </c>
      <c r="M65" s="7">
        <f t="shared" si="4"/>
        <v>0</v>
      </c>
      <c r="N65" s="7">
        <f t="shared" si="4"/>
        <v>0</v>
      </c>
      <c r="O65" s="7">
        <f t="shared" si="4"/>
        <v>0</v>
      </c>
      <c r="P65" s="7">
        <f t="shared" si="4"/>
        <v>0</v>
      </c>
      <c r="Q65" s="7">
        <f t="shared" si="4"/>
        <v>0</v>
      </c>
      <c r="R65" s="7">
        <f t="shared" si="4"/>
        <v>0</v>
      </c>
      <c r="S65" s="7">
        <f t="shared" si="4"/>
        <v>0</v>
      </c>
      <c r="T65" s="7">
        <f t="shared" si="4"/>
        <v>0</v>
      </c>
      <c r="U65" s="7">
        <f t="shared" si="4"/>
        <v>0</v>
      </c>
      <c r="V65" s="7">
        <f t="shared" si="4"/>
        <v>0</v>
      </c>
      <c r="W65" s="7">
        <f t="shared" si="4"/>
        <v>0</v>
      </c>
      <c r="X65" s="7">
        <f t="shared" si="4"/>
        <v>0</v>
      </c>
      <c r="Y65" s="7">
        <f t="shared" si="4"/>
        <v>0</v>
      </c>
      <c r="Z65" s="7">
        <f t="shared" si="4"/>
        <v>0</v>
      </c>
      <c r="AA65" s="7">
        <f t="shared" si="4"/>
        <v>0</v>
      </c>
      <c r="AB65" s="7">
        <f t="shared" si="4"/>
        <v>0</v>
      </c>
      <c r="AC65" s="7">
        <f t="shared" si="4"/>
        <v>0</v>
      </c>
    </row>
    <row r="66" spans="1:29" x14ac:dyDescent="0.55000000000000004"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</row>
    <row r="67" spans="1:29" x14ac:dyDescent="0.55000000000000004">
      <c r="C67" t="s">
        <v>42</v>
      </c>
      <c r="D67" s="5">
        <f>SUM(D39:D40,D50:D51,D61:D62)/1000</f>
        <v>1489.3610000000001</v>
      </c>
      <c r="E67" s="5">
        <f t="shared" ref="E67:AC67" si="6">SUM(E39:E40,E50:E51,E61:E62)/1000</f>
        <v>88.44</v>
      </c>
      <c r="F67" s="5">
        <f t="shared" si="6"/>
        <v>345.42200000000003</v>
      </c>
      <c r="G67" s="5">
        <f t="shared" si="6"/>
        <v>22961.991000000002</v>
      </c>
      <c r="H67" s="5">
        <f t="shared" si="6"/>
        <v>5448.33</v>
      </c>
      <c r="I67" s="5">
        <f t="shared" si="6"/>
        <v>2605.1190000000001</v>
      </c>
      <c r="J67" s="5">
        <f t="shared" si="6"/>
        <v>5011.5990000000002</v>
      </c>
      <c r="K67" s="5">
        <f t="shared" si="6"/>
        <v>1541.9559999999999</v>
      </c>
      <c r="L67" s="5">
        <f t="shared" si="6"/>
        <v>340.45</v>
      </c>
      <c r="M67" s="5">
        <f t="shared" si="6"/>
        <v>2435.442</v>
      </c>
      <c r="N67" s="5">
        <f t="shared" si="6"/>
        <v>424.34800000000001</v>
      </c>
      <c r="O67" s="5">
        <f t="shared" si="6"/>
        <v>4476.1559999999999</v>
      </c>
      <c r="P67" s="5">
        <f t="shared" si="6"/>
        <v>924.78800000000001</v>
      </c>
      <c r="Q67" s="5">
        <f t="shared" si="6"/>
        <v>330.55700000000002</v>
      </c>
      <c r="R67" s="5">
        <f t="shared" si="6"/>
        <v>69.599999999999994</v>
      </c>
      <c r="S67" s="5">
        <f t="shared" si="6"/>
        <v>4055.41</v>
      </c>
      <c r="T67" s="5">
        <f t="shared" si="6"/>
        <v>834.57</v>
      </c>
      <c r="U67" s="5">
        <f t="shared" si="6"/>
        <v>3901.498</v>
      </c>
      <c r="V67" s="5">
        <f t="shared" si="6"/>
        <v>619.976</v>
      </c>
      <c r="W67" s="5">
        <f t="shared" si="6"/>
        <v>4203.2349999999997</v>
      </c>
      <c r="X67" s="5">
        <f t="shared" si="6"/>
        <v>2471.23</v>
      </c>
      <c r="Y67" s="5">
        <f t="shared" si="6"/>
        <v>187</v>
      </c>
      <c r="Z67" s="5">
        <f t="shared" si="6"/>
        <v>4235.9399999999996</v>
      </c>
      <c r="AA67" s="5">
        <f t="shared" si="6"/>
        <v>4404.7669999999998</v>
      </c>
      <c r="AB67" s="5">
        <f t="shared" si="6"/>
        <v>0</v>
      </c>
      <c r="AC67" s="5">
        <f t="shared" si="6"/>
        <v>10349.913</v>
      </c>
    </row>
    <row r="68" spans="1:29" x14ac:dyDescent="0.55000000000000004">
      <c r="C68" t="s">
        <v>45</v>
      </c>
      <c r="D68" s="5">
        <f>SUM(D36:D37,D47:D48,D58:D59)/1000</f>
        <v>41.168999999999997</v>
      </c>
      <c r="E68" s="5">
        <f t="shared" ref="E68:AC68" si="7">SUM(E36:E37,E47:E48,E58:E59)/1000</f>
        <v>0</v>
      </c>
      <c r="F68" s="5">
        <f t="shared" si="7"/>
        <v>28.695</v>
      </c>
      <c r="G68" s="5">
        <f t="shared" si="7"/>
        <v>2173.6010000000001</v>
      </c>
      <c r="H68" s="5">
        <f t="shared" si="7"/>
        <v>263.916</v>
      </c>
      <c r="I68" s="5">
        <f t="shared" si="7"/>
        <v>129.80000000000001</v>
      </c>
      <c r="J68" s="5">
        <f t="shared" si="7"/>
        <v>309.18400000000003</v>
      </c>
      <c r="K68" s="5">
        <f t="shared" si="7"/>
        <v>0</v>
      </c>
      <c r="L68" s="5">
        <f t="shared" si="7"/>
        <v>97.62</v>
      </c>
      <c r="M68" s="5">
        <f t="shared" si="7"/>
        <v>475.54</v>
      </c>
      <c r="N68" s="5">
        <f t="shared" si="7"/>
        <v>350.916</v>
      </c>
      <c r="O68" s="5">
        <f t="shared" si="7"/>
        <v>116.982</v>
      </c>
      <c r="P68" s="5">
        <f t="shared" si="7"/>
        <v>284.16000000000003</v>
      </c>
      <c r="Q68" s="5">
        <f t="shared" si="7"/>
        <v>7.53</v>
      </c>
      <c r="R68" s="5">
        <f t="shared" si="7"/>
        <v>15</v>
      </c>
      <c r="S68" s="5">
        <f t="shared" si="7"/>
        <v>5</v>
      </c>
      <c r="T68" s="5">
        <f t="shared" si="7"/>
        <v>144.19999999999999</v>
      </c>
      <c r="U68" s="5">
        <f t="shared" si="7"/>
        <v>289.80900000000003</v>
      </c>
      <c r="V68" s="5">
        <f t="shared" si="7"/>
        <v>47.06</v>
      </c>
      <c r="W68" s="5">
        <f t="shared" si="7"/>
        <v>308.35000000000002</v>
      </c>
      <c r="X68" s="5">
        <f t="shared" si="7"/>
        <v>13.49</v>
      </c>
      <c r="Y68" s="5">
        <f t="shared" si="7"/>
        <v>40</v>
      </c>
      <c r="Z68" s="5">
        <f t="shared" si="7"/>
        <v>1587.923</v>
      </c>
      <c r="AA68" s="5">
        <f t="shared" si="7"/>
        <v>98.713999999999999</v>
      </c>
      <c r="AB68" s="5">
        <f t="shared" si="7"/>
        <v>0</v>
      </c>
      <c r="AC68" s="5">
        <f t="shared" si="7"/>
        <v>0</v>
      </c>
    </row>
    <row r="69" spans="1:29" x14ac:dyDescent="0.55000000000000004">
      <c r="C69" t="s">
        <v>35</v>
      </c>
      <c r="D69" s="5">
        <f>SUM(D42,D53,D64)/1000</f>
        <v>19.295999999999999</v>
      </c>
      <c r="E69" s="5">
        <f t="shared" ref="E69:AC69" si="8">SUM(E42,E53,E64)/1000</f>
        <v>0</v>
      </c>
      <c r="F69" s="5">
        <f t="shared" si="8"/>
        <v>55.625</v>
      </c>
      <c r="G69" s="5">
        <f t="shared" si="8"/>
        <v>507.262</v>
      </c>
      <c r="H69" s="5">
        <f t="shared" si="8"/>
        <v>199.36600000000001</v>
      </c>
      <c r="I69" s="5">
        <f t="shared" si="8"/>
        <v>76.665999999999997</v>
      </c>
      <c r="J69" s="5">
        <f t="shared" si="8"/>
        <v>121.90600000000001</v>
      </c>
      <c r="K69" s="5">
        <f t="shared" si="8"/>
        <v>152.60300000000001</v>
      </c>
      <c r="L69" s="5">
        <f t="shared" si="8"/>
        <v>37.316000000000003</v>
      </c>
      <c r="M69" s="5">
        <f t="shared" si="8"/>
        <v>143.38300000000001</v>
      </c>
      <c r="N69" s="5">
        <f t="shared" si="8"/>
        <v>65.31</v>
      </c>
      <c r="O69" s="5">
        <f t="shared" si="8"/>
        <v>111.697</v>
      </c>
      <c r="P69" s="5">
        <f t="shared" si="8"/>
        <v>103.05500000000001</v>
      </c>
      <c r="Q69" s="5">
        <f t="shared" si="8"/>
        <v>11.085000000000001</v>
      </c>
      <c r="R69" s="5">
        <f t="shared" si="8"/>
        <v>0</v>
      </c>
      <c r="S69" s="5">
        <f t="shared" si="8"/>
        <v>151.1284</v>
      </c>
      <c r="T69" s="5">
        <f t="shared" si="8"/>
        <v>46.094999999999999</v>
      </c>
      <c r="U69" s="5">
        <f t="shared" si="8"/>
        <v>94.884</v>
      </c>
      <c r="V69" s="5">
        <f t="shared" si="8"/>
        <v>28.486000000000001</v>
      </c>
      <c r="W69" s="5">
        <f t="shared" si="8"/>
        <v>55.985999999999997</v>
      </c>
      <c r="X69" s="5">
        <f t="shared" si="8"/>
        <v>133.17400000000001</v>
      </c>
      <c r="Y69" s="5">
        <f t="shared" si="8"/>
        <v>48</v>
      </c>
      <c r="Z69" s="5">
        <f t="shared" si="8"/>
        <v>993.22</v>
      </c>
      <c r="AA69" s="5">
        <f t="shared" si="8"/>
        <v>74.200999999999993</v>
      </c>
      <c r="AB69" s="5">
        <f t="shared" si="8"/>
        <v>0</v>
      </c>
      <c r="AC69" s="5">
        <f t="shared" si="8"/>
        <v>0</v>
      </c>
    </row>
    <row r="70" spans="1:29" x14ac:dyDescent="0.55000000000000004"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</row>
    <row r="71" spans="1:29" x14ac:dyDescent="0.55000000000000004">
      <c r="B71">
        <v>15</v>
      </c>
      <c r="C71" t="s">
        <v>56</v>
      </c>
      <c r="D71" s="5">
        <f>SUM(D39:D40)/1000</f>
        <v>1162.903</v>
      </c>
      <c r="E71" s="5">
        <f t="shared" ref="E71:AC71" si="9">SUM(E39:E40)/1000</f>
        <v>18.701000000000001</v>
      </c>
      <c r="F71" s="5">
        <f t="shared" si="9"/>
        <v>257.50400000000002</v>
      </c>
      <c r="G71" s="5">
        <f t="shared" si="9"/>
        <v>19677.383000000002</v>
      </c>
      <c r="H71" s="5">
        <f t="shared" si="9"/>
        <v>4939.2129999999997</v>
      </c>
      <c r="I71" s="5">
        <f t="shared" si="9"/>
        <v>2087.078</v>
      </c>
      <c r="J71" s="5">
        <f t="shared" si="9"/>
        <v>4092.9589999999998</v>
      </c>
      <c r="K71" s="5">
        <f t="shared" si="9"/>
        <v>1486.2280000000001</v>
      </c>
      <c r="L71" s="5">
        <f t="shared" si="9"/>
        <v>313.35000000000002</v>
      </c>
      <c r="M71" s="5">
        <f t="shared" si="9"/>
        <v>1358.403</v>
      </c>
      <c r="N71" s="5">
        <f t="shared" si="9"/>
        <v>371.80099999999999</v>
      </c>
      <c r="O71" s="5">
        <f t="shared" si="9"/>
        <v>2425.5279999999998</v>
      </c>
      <c r="P71" s="5">
        <f t="shared" si="9"/>
        <v>844.84699999999998</v>
      </c>
      <c r="Q71" s="5">
        <f t="shared" si="9"/>
        <v>84.311000000000007</v>
      </c>
      <c r="R71" s="5">
        <f t="shared" si="9"/>
        <v>36</v>
      </c>
      <c r="S71" s="5">
        <f t="shared" si="9"/>
        <v>3649.8539999999998</v>
      </c>
      <c r="T71" s="5">
        <f t="shared" si="9"/>
        <v>719.8</v>
      </c>
      <c r="U71" s="5">
        <f t="shared" si="9"/>
        <v>3202.127</v>
      </c>
      <c r="V71" s="5">
        <f t="shared" si="9"/>
        <v>343.74599999999998</v>
      </c>
      <c r="W71" s="5">
        <f t="shared" si="9"/>
        <v>3333.6979999999999</v>
      </c>
      <c r="X71" s="5">
        <f t="shared" si="9"/>
        <v>2170.4369999999999</v>
      </c>
      <c r="Y71" s="5">
        <f t="shared" si="9"/>
        <v>132</v>
      </c>
      <c r="Z71" s="5">
        <f t="shared" si="9"/>
        <v>3880.7350000000001</v>
      </c>
      <c r="AA71" s="5">
        <f t="shared" si="9"/>
        <v>3646.623</v>
      </c>
      <c r="AB71" s="5">
        <f t="shared" si="9"/>
        <v>0</v>
      </c>
      <c r="AC71" s="5">
        <f t="shared" si="9"/>
        <v>7683.9589999999998</v>
      </c>
    </row>
    <row r="72" spans="1:29" x14ac:dyDescent="0.55000000000000004">
      <c r="B72">
        <v>16</v>
      </c>
      <c r="C72" t="s">
        <v>58</v>
      </c>
      <c r="D72" s="5">
        <f>SUM(D50:D51)/1000</f>
        <v>301.221</v>
      </c>
      <c r="E72" s="5">
        <f t="shared" ref="E72:AC72" si="10">SUM(E50:E51)/1000</f>
        <v>59.064</v>
      </c>
      <c r="F72" s="5">
        <f t="shared" si="10"/>
        <v>45.054000000000002</v>
      </c>
      <c r="G72" s="5">
        <f t="shared" si="10"/>
        <v>2935.93</v>
      </c>
      <c r="H72" s="5">
        <f t="shared" si="10"/>
        <v>457.61700000000002</v>
      </c>
      <c r="I72" s="5">
        <f t="shared" si="10"/>
        <v>464.64100000000002</v>
      </c>
      <c r="J72" s="5">
        <f t="shared" si="10"/>
        <v>699.99599999999998</v>
      </c>
      <c r="K72" s="5">
        <f t="shared" si="10"/>
        <v>19.928000000000001</v>
      </c>
      <c r="L72" s="5">
        <f t="shared" si="10"/>
        <v>27.1</v>
      </c>
      <c r="M72" s="5">
        <f t="shared" si="10"/>
        <v>923.91899999999998</v>
      </c>
      <c r="N72" s="5">
        <f t="shared" si="10"/>
        <v>52.546999999999997</v>
      </c>
      <c r="O72" s="5">
        <f t="shared" si="10"/>
        <v>1774.5</v>
      </c>
      <c r="P72" s="5">
        <f t="shared" si="10"/>
        <v>66.626000000000005</v>
      </c>
      <c r="Q72" s="5">
        <f t="shared" si="10"/>
        <v>246.24600000000001</v>
      </c>
      <c r="R72" s="5">
        <f t="shared" si="10"/>
        <v>24</v>
      </c>
      <c r="S72" s="5">
        <f t="shared" si="10"/>
        <v>312.94200000000001</v>
      </c>
      <c r="T72" s="5">
        <f t="shared" si="10"/>
        <v>100.77</v>
      </c>
      <c r="U72" s="5">
        <f t="shared" si="10"/>
        <v>545.16600000000005</v>
      </c>
      <c r="V72" s="5">
        <f t="shared" si="10"/>
        <v>199.48</v>
      </c>
      <c r="W72" s="5">
        <f t="shared" si="10"/>
        <v>660.274</v>
      </c>
      <c r="X72" s="5">
        <f t="shared" si="10"/>
        <v>200.43799999999999</v>
      </c>
      <c r="Y72" s="5">
        <f t="shared" si="10"/>
        <v>55</v>
      </c>
      <c r="Z72" s="5">
        <f t="shared" si="10"/>
        <v>325.14299999999997</v>
      </c>
      <c r="AA72" s="5">
        <f t="shared" si="10"/>
        <v>585.10500000000002</v>
      </c>
      <c r="AB72" s="5">
        <f t="shared" si="10"/>
        <v>0</v>
      </c>
      <c r="AC72" s="5">
        <f t="shared" si="10"/>
        <v>2417.0309999999999</v>
      </c>
    </row>
    <row r="73" spans="1:29" x14ac:dyDescent="0.55000000000000004">
      <c r="B73">
        <v>17</v>
      </c>
      <c r="C73" t="s">
        <v>57</v>
      </c>
      <c r="D73" s="5">
        <f>SUM(D61:D62)/1000</f>
        <v>25.236999999999998</v>
      </c>
      <c r="E73" s="5">
        <f t="shared" ref="E73:AC73" si="11">SUM(E61:E62)/1000</f>
        <v>10.675000000000001</v>
      </c>
      <c r="F73" s="5">
        <f t="shared" si="11"/>
        <v>42.863999999999997</v>
      </c>
      <c r="G73" s="5">
        <f t="shared" si="11"/>
        <v>348.678</v>
      </c>
      <c r="H73" s="5">
        <f t="shared" si="11"/>
        <v>51.5</v>
      </c>
      <c r="I73" s="5">
        <f t="shared" si="11"/>
        <v>53.4</v>
      </c>
      <c r="J73" s="5">
        <f t="shared" si="11"/>
        <v>218.64400000000001</v>
      </c>
      <c r="K73" s="5">
        <f t="shared" si="11"/>
        <v>35.799999999999997</v>
      </c>
      <c r="L73" s="5">
        <f t="shared" si="11"/>
        <v>0</v>
      </c>
      <c r="M73" s="5">
        <f t="shared" si="11"/>
        <v>153.12</v>
      </c>
      <c r="N73" s="5">
        <f t="shared" si="11"/>
        <v>0</v>
      </c>
      <c r="O73" s="5">
        <f t="shared" si="11"/>
        <v>276.12799999999999</v>
      </c>
      <c r="P73" s="5">
        <f t="shared" si="11"/>
        <v>13.315</v>
      </c>
      <c r="Q73" s="5">
        <f t="shared" si="11"/>
        <v>0</v>
      </c>
      <c r="R73" s="5">
        <f t="shared" si="11"/>
        <v>9.6</v>
      </c>
      <c r="S73" s="5">
        <f t="shared" si="11"/>
        <v>92.614000000000004</v>
      </c>
      <c r="T73" s="5">
        <f t="shared" si="11"/>
        <v>14</v>
      </c>
      <c r="U73" s="5">
        <f t="shared" si="11"/>
        <v>154.20500000000001</v>
      </c>
      <c r="V73" s="5">
        <f t="shared" si="11"/>
        <v>76.75</v>
      </c>
      <c r="W73" s="5">
        <f t="shared" si="11"/>
        <v>209.26300000000001</v>
      </c>
      <c r="X73" s="5">
        <f t="shared" si="11"/>
        <v>100.355</v>
      </c>
      <c r="Y73" s="5">
        <f t="shared" si="11"/>
        <v>0</v>
      </c>
      <c r="Z73" s="5">
        <f t="shared" si="11"/>
        <v>30.062000000000001</v>
      </c>
      <c r="AA73" s="5">
        <f t="shared" si="11"/>
        <v>173.03899999999999</v>
      </c>
      <c r="AB73" s="5">
        <f t="shared" si="11"/>
        <v>0</v>
      </c>
      <c r="AC73" s="5">
        <f t="shared" si="11"/>
        <v>248.923</v>
      </c>
    </row>
    <row r="74" spans="1:29" x14ac:dyDescent="0.55000000000000004"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 spans="1:29" x14ac:dyDescent="0.55000000000000004">
      <c r="C75" t="s">
        <v>43</v>
      </c>
      <c r="D75" s="7">
        <f>SUM(D36:D43,D47:D54,D58:D65)/1000</f>
        <v>1549.826</v>
      </c>
      <c r="E75" s="7">
        <f t="shared" ref="E75:AC75" si="12">SUM(E36:E43,E47:E54,E58:E65)/1000</f>
        <v>120.081</v>
      </c>
      <c r="F75" s="7">
        <f t="shared" si="12"/>
        <v>466.78199999999998</v>
      </c>
      <c r="G75" s="7">
        <f t="shared" si="12"/>
        <v>30408.859</v>
      </c>
      <c r="H75" s="7">
        <f t="shared" si="12"/>
        <v>6498.7669999999998</v>
      </c>
      <c r="I75" s="7">
        <f t="shared" si="12"/>
        <v>3911.0140000000001</v>
      </c>
      <c r="J75" s="7">
        <f t="shared" si="12"/>
        <v>6487.1440000000002</v>
      </c>
      <c r="K75" s="7">
        <f t="shared" si="12"/>
        <v>1742.7739999999999</v>
      </c>
      <c r="L75" s="7">
        <f t="shared" si="12"/>
        <v>596.18399999999997</v>
      </c>
      <c r="M75" s="7">
        <f t="shared" si="12"/>
        <v>3654.0075000000002</v>
      </c>
      <c r="N75" s="7">
        <f t="shared" si="12"/>
        <v>900.89800000000002</v>
      </c>
      <c r="O75" s="7">
        <f t="shared" si="12"/>
        <v>4760.6350000000002</v>
      </c>
      <c r="P75" s="7">
        <f t="shared" si="12"/>
        <v>1337.568</v>
      </c>
      <c r="Q75" s="7">
        <f t="shared" si="12"/>
        <v>537.67999999999995</v>
      </c>
      <c r="R75" s="7">
        <f t="shared" si="12"/>
        <v>193.06</v>
      </c>
      <c r="S75" s="7">
        <f t="shared" si="12"/>
        <v>4264.2184000000007</v>
      </c>
      <c r="T75" s="7">
        <f t="shared" si="12"/>
        <v>1529.18</v>
      </c>
      <c r="U75" s="7">
        <f t="shared" si="12"/>
        <v>4417.7479999999996</v>
      </c>
      <c r="V75" s="7">
        <f t="shared" si="12"/>
        <v>1064.57</v>
      </c>
      <c r="W75" s="7">
        <f t="shared" si="12"/>
        <v>5174.7510000000002</v>
      </c>
      <c r="X75" s="7">
        <f t="shared" si="12"/>
        <v>2982.86</v>
      </c>
      <c r="Y75" s="7">
        <f t="shared" si="12"/>
        <v>396.39</v>
      </c>
      <c r="Z75" s="7">
        <f t="shared" si="12"/>
        <v>7074.384</v>
      </c>
      <c r="AA75" s="7">
        <f t="shared" si="12"/>
        <v>5051.0169999999998</v>
      </c>
      <c r="AB75" s="7">
        <f t="shared" si="12"/>
        <v>0</v>
      </c>
      <c r="AC75" s="7">
        <f t="shared" si="12"/>
        <v>10597.040999999999</v>
      </c>
    </row>
    <row r="77" spans="1:29" x14ac:dyDescent="0.55000000000000004">
      <c r="A77" s="9" t="s">
        <v>46</v>
      </c>
      <c r="B77" s="9" t="s">
        <v>47</v>
      </c>
      <c r="C77" s="6" t="s">
        <v>1</v>
      </c>
      <c r="D77" s="6" t="s">
        <v>2</v>
      </c>
      <c r="E77" s="6" t="s">
        <v>3</v>
      </c>
      <c r="F77" s="6" t="s">
        <v>4</v>
      </c>
      <c r="G77" s="6" t="s">
        <v>5</v>
      </c>
      <c r="H77" s="6" t="s">
        <v>6</v>
      </c>
      <c r="I77" s="6" t="s">
        <v>7</v>
      </c>
      <c r="J77" s="6" t="s">
        <v>8</v>
      </c>
      <c r="K77" s="6" t="s">
        <v>9</v>
      </c>
      <c r="L77" s="6" t="s">
        <v>10</v>
      </c>
      <c r="M77" s="6" t="s">
        <v>11</v>
      </c>
      <c r="N77" s="6" t="s">
        <v>12</v>
      </c>
      <c r="O77" s="6" t="s">
        <v>13</v>
      </c>
      <c r="P77" s="6" t="s">
        <v>14</v>
      </c>
      <c r="Q77" s="6" t="s">
        <v>15</v>
      </c>
      <c r="R77" s="6" t="s">
        <v>16</v>
      </c>
      <c r="S77" s="6" t="s">
        <v>17</v>
      </c>
      <c r="T77" s="6" t="s">
        <v>18</v>
      </c>
      <c r="U77" s="6" t="s">
        <v>19</v>
      </c>
      <c r="V77" s="6" t="s">
        <v>20</v>
      </c>
      <c r="W77" s="6" t="s">
        <v>21</v>
      </c>
      <c r="X77" s="6" t="s">
        <v>22</v>
      </c>
      <c r="Y77" s="6" t="s">
        <v>23</v>
      </c>
      <c r="Z77" s="6" t="s">
        <v>24</v>
      </c>
      <c r="AA77" s="6" t="s">
        <v>25</v>
      </c>
      <c r="AB77" s="6" t="s">
        <v>26</v>
      </c>
      <c r="AC77" s="6" t="s">
        <v>27</v>
      </c>
    </row>
    <row r="78" spans="1:29" x14ac:dyDescent="0.55000000000000004">
      <c r="A78" s="2" t="s">
        <v>48</v>
      </c>
      <c r="B78" s="10" t="s">
        <v>0</v>
      </c>
      <c r="C78" s="7">
        <v>0</v>
      </c>
      <c r="D78" s="7">
        <v>0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</row>
    <row r="79" spans="1:29" x14ac:dyDescent="0.55000000000000004">
      <c r="A79" s="2" t="s">
        <v>49</v>
      </c>
      <c r="B79" s="10" t="s">
        <v>0</v>
      </c>
      <c r="C79" s="7">
        <v>0</v>
      </c>
      <c r="D79" s="7">
        <v>0</v>
      </c>
      <c r="E79" s="7">
        <v>0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</row>
    <row r="80" spans="1:29" x14ac:dyDescent="0.55000000000000004">
      <c r="A80" s="2" t="s">
        <v>50</v>
      </c>
      <c r="B80" s="10" t="s">
        <v>0</v>
      </c>
      <c r="C80" s="7">
        <v>22200</v>
      </c>
      <c r="D80" s="7">
        <v>0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16200</v>
      </c>
      <c r="Z80" s="7">
        <v>0</v>
      </c>
      <c r="AA80" s="7">
        <v>0</v>
      </c>
      <c r="AB80" s="7">
        <v>0</v>
      </c>
      <c r="AC80" s="7">
        <v>6000</v>
      </c>
    </row>
    <row r="81" spans="1:29" x14ac:dyDescent="0.55000000000000004">
      <c r="A81" s="2" t="s">
        <v>51</v>
      </c>
      <c r="B81" s="10" t="s">
        <v>0</v>
      </c>
      <c r="C81" s="7">
        <v>0</v>
      </c>
      <c r="D81" s="7">
        <v>0</v>
      </c>
      <c r="E81" s="7">
        <v>0</v>
      </c>
      <c r="F81" s="7">
        <v>0</v>
      </c>
      <c r="G81" s="7">
        <v>0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</row>
    <row r="82" spans="1:29" x14ac:dyDescent="0.55000000000000004">
      <c r="A82" s="2" t="s">
        <v>52</v>
      </c>
      <c r="B82" s="10" t="s">
        <v>0</v>
      </c>
      <c r="C82" s="7">
        <v>199525</v>
      </c>
      <c r="D82" s="7">
        <v>0</v>
      </c>
      <c r="E82" s="7">
        <v>117000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57525</v>
      </c>
      <c r="Y82" s="7">
        <v>0</v>
      </c>
      <c r="Z82" s="7">
        <v>0</v>
      </c>
      <c r="AA82" s="7">
        <v>0</v>
      </c>
      <c r="AB82" s="7">
        <v>0</v>
      </c>
      <c r="AC82" s="7">
        <v>25000</v>
      </c>
    </row>
    <row r="83" spans="1:29" x14ac:dyDescent="0.55000000000000004">
      <c r="A83" s="2" t="s">
        <v>53</v>
      </c>
      <c r="B83" s="10" t="s">
        <v>0</v>
      </c>
      <c r="C83" s="7">
        <v>0</v>
      </c>
      <c r="D83" s="7">
        <v>0</v>
      </c>
      <c r="E83" s="7">
        <v>0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</row>
    <row r="84" spans="1:29" x14ac:dyDescent="0.55000000000000004">
      <c r="A84" s="2" t="s">
        <v>32</v>
      </c>
      <c r="B84" s="10" t="s">
        <v>0</v>
      </c>
      <c r="C84" s="7">
        <v>30152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23152</v>
      </c>
      <c r="AA84" s="7">
        <v>0</v>
      </c>
      <c r="AB84" s="7">
        <v>0</v>
      </c>
      <c r="AC84" s="7">
        <v>7000</v>
      </c>
    </row>
    <row r="85" spans="1:29" x14ac:dyDescent="0.55000000000000004">
      <c r="A85" s="2" t="s">
        <v>33</v>
      </c>
      <c r="B85" s="10" t="s">
        <v>0</v>
      </c>
      <c r="C85" s="7">
        <v>19468</v>
      </c>
      <c r="D85" s="7">
        <v>0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19468</v>
      </c>
      <c r="AA85" s="7">
        <v>0</v>
      </c>
      <c r="AB85" s="7">
        <v>0</v>
      </c>
      <c r="AC85" s="7">
        <v>0</v>
      </c>
    </row>
    <row r="86" spans="1:29" x14ac:dyDescent="0.55000000000000004">
      <c r="A86" s="8" t="s">
        <v>35</v>
      </c>
      <c r="B86" s="10" t="s">
        <v>0</v>
      </c>
      <c r="C86" s="7">
        <v>0</v>
      </c>
      <c r="D86" s="7">
        <v>0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</row>
    <row r="87" spans="1:29" x14ac:dyDescent="0.55000000000000004">
      <c r="A87" s="8" t="s">
        <v>35</v>
      </c>
      <c r="B87" s="10" t="s">
        <v>0</v>
      </c>
      <c r="C87" s="7">
        <v>22600</v>
      </c>
      <c r="D87" s="7">
        <v>0</v>
      </c>
      <c r="E87" s="7">
        <v>0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22600</v>
      </c>
    </row>
    <row r="88" spans="1:29" x14ac:dyDescent="0.55000000000000004">
      <c r="A88" s="8" t="s">
        <v>35</v>
      </c>
      <c r="B88" s="10" t="s">
        <v>0</v>
      </c>
      <c r="C88" s="7">
        <v>0</v>
      </c>
      <c r="D88" s="7">
        <v>0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</row>
    <row r="89" spans="1:29" x14ac:dyDescent="0.55000000000000004">
      <c r="A89" s="2" t="s">
        <v>36</v>
      </c>
      <c r="B89" s="10" t="s">
        <v>0</v>
      </c>
      <c r="C89" s="7">
        <v>0</v>
      </c>
      <c r="D89" s="7">
        <v>0</v>
      </c>
      <c r="E89" s="7">
        <v>0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</row>
    <row r="90" spans="1:29" x14ac:dyDescent="0.55000000000000004">
      <c r="A90" s="8" t="s">
        <v>54</v>
      </c>
      <c r="B90" s="10" t="s">
        <v>0</v>
      </c>
      <c r="C90" s="7">
        <v>131400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131400</v>
      </c>
      <c r="Z90" s="7">
        <v>0</v>
      </c>
      <c r="AA90" s="7">
        <v>0</v>
      </c>
      <c r="AB90" s="7">
        <v>0</v>
      </c>
      <c r="AC90" s="7">
        <v>0</v>
      </c>
    </row>
    <row r="93" spans="1:29" x14ac:dyDescent="0.55000000000000004">
      <c r="A93" s="1" t="s">
        <v>28</v>
      </c>
      <c r="B93" s="1" t="s">
        <v>41</v>
      </c>
      <c r="D93" s="4" t="s">
        <v>20</v>
      </c>
      <c r="E93" s="4" t="s">
        <v>17</v>
      </c>
      <c r="F93" s="4" t="s">
        <v>16</v>
      </c>
      <c r="G93" s="4" t="s">
        <v>3</v>
      </c>
      <c r="H93" s="4" t="s">
        <v>14</v>
      </c>
      <c r="I93" s="4" t="s">
        <v>13</v>
      </c>
      <c r="J93" s="4" t="s">
        <v>11</v>
      </c>
      <c r="K93" s="4" t="s">
        <v>26</v>
      </c>
      <c r="L93" s="4" t="s">
        <v>9</v>
      </c>
      <c r="M93" s="4" t="s">
        <v>19</v>
      </c>
      <c r="N93" s="4" t="s">
        <v>27</v>
      </c>
      <c r="O93" s="4" t="s">
        <v>4</v>
      </c>
      <c r="P93" s="4" t="s">
        <v>25</v>
      </c>
      <c r="Q93" s="4" t="s">
        <v>8</v>
      </c>
      <c r="R93" s="4" t="s">
        <v>7</v>
      </c>
      <c r="S93" s="4" t="s">
        <v>18</v>
      </c>
      <c r="T93" s="4" t="s">
        <v>15</v>
      </c>
      <c r="U93" s="4" t="s">
        <v>12</v>
      </c>
      <c r="V93" s="4" t="s">
        <v>6</v>
      </c>
      <c r="W93" s="4" t="s">
        <v>21</v>
      </c>
      <c r="X93" s="4" t="s">
        <v>22</v>
      </c>
      <c r="Y93" s="4" t="s">
        <v>5</v>
      </c>
      <c r="Z93" s="4" t="s">
        <v>23</v>
      </c>
      <c r="AA93" s="4" t="s">
        <v>24</v>
      </c>
      <c r="AB93" s="4" t="s">
        <v>10</v>
      </c>
      <c r="AC93" s="4" t="s">
        <v>2</v>
      </c>
    </row>
    <row r="94" spans="1:29" x14ac:dyDescent="0.55000000000000004">
      <c r="A94" s="2" t="s">
        <v>48</v>
      </c>
      <c r="B94">
        <v>2</v>
      </c>
      <c r="D94" s="7">
        <f>HLOOKUP(D$93,$D$77:$AC$90,$B94,FALSE)</f>
        <v>0</v>
      </c>
      <c r="E94" s="7">
        <f t="shared" ref="E94:AC104" si="13">HLOOKUP(E$93,$D$77:$AC$90,$B94,FALSE)</f>
        <v>0</v>
      </c>
      <c r="F94" s="7">
        <f t="shared" si="13"/>
        <v>0</v>
      </c>
      <c r="G94" s="7">
        <f t="shared" si="13"/>
        <v>0</v>
      </c>
      <c r="H94" s="7">
        <f t="shared" si="13"/>
        <v>0</v>
      </c>
      <c r="I94" s="7">
        <f t="shared" si="13"/>
        <v>0</v>
      </c>
      <c r="J94" s="7">
        <f t="shared" si="13"/>
        <v>0</v>
      </c>
      <c r="K94" s="7">
        <f t="shared" si="13"/>
        <v>0</v>
      </c>
      <c r="L94" s="7">
        <f t="shared" si="13"/>
        <v>0</v>
      </c>
      <c r="M94" s="7">
        <f t="shared" si="13"/>
        <v>0</v>
      </c>
      <c r="N94" s="7">
        <f t="shared" si="13"/>
        <v>0</v>
      </c>
      <c r="O94" s="7">
        <f t="shared" si="13"/>
        <v>0</v>
      </c>
      <c r="P94" s="7">
        <f t="shared" si="13"/>
        <v>0</v>
      </c>
      <c r="Q94" s="7">
        <f t="shared" si="13"/>
        <v>0</v>
      </c>
      <c r="R94" s="7">
        <f t="shared" si="13"/>
        <v>0</v>
      </c>
      <c r="S94" s="7">
        <f t="shared" si="13"/>
        <v>0</v>
      </c>
      <c r="T94" s="7">
        <f t="shared" si="13"/>
        <v>0</v>
      </c>
      <c r="U94" s="7">
        <f t="shared" si="13"/>
        <v>0</v>
      </c>
      <c r="V94" s="7">
        <f t="shared" si="13"/>
        <v>0</v>
      </c>
      <c r="W94" s="7">
        <f t="shared" si="13"/>
        <v>0</v>
      </c>
      <c r="X94" s="7">
        <f t="shared" si="13"/>
        <v>0</v>
      </c>
      <c r="Y94" s="7">
        <f t="shared" si="13"/>
        <v>0</v>
      </c>
      <c r="Z94" s="7">
        <f t="shared" si="13"/>
        <v>0</v>
      </c>
      <c r="AA94" s="7">
        <f t="shared" si="13"/>
        <v>0</v>
      </c>
      <c r="AB94" s="7">
        <f t="shared" si="13"/>
        <v>0</v>
      </c>
      <c r="AC94" s="7">
        <f t="shared" si="13"/>
        <v>0</v>
      </c>
    </row>
    <row r="95" spans="1:29" x14ac:dyDescent="0.55000000000000004">
      <c r="A95" s="2" t="s">
        <v>49</v>
      </c>
      <c r="B95">
        <v>3</v>
      </c>
      <c r="D95" s="7">
        <f t="shared" ref="D95:S106" si="14">HLOOKUP(D$93,$D$77:$AC$90,$B95,FALSE)</f>
        <v>0</v>
      </c>
      <c r="E95" s="7">
        <f t="shared" si="14"/>
        <v>0</v>
      </c>
      <c r="F95" s="7">
        <f t="shared" si="14"/>
        <v>0</v>
      </c>
      <c r="G95" s="7">
        <f t="shared" si="14"/>
        <v>0</v>
      </c>
      <c r="H95" s="7">
        <f t="shared" si="14"/>
        <v>0</v>
      </c>
      <c r="I95" s="7">
        <f t="shared" si="14"/>
        <v>0</v>
      </c>
      <c r="J95" s="7">
        <f t="shared" si="14"/>
        <v>0</v>
      </c>
      <c r="K95" s="7">
        <f t="shared" si="14"/>
        <v>0</v>
      </c>
      <c r="L95" s="7">
        <f t="shared" si="14"/>
        <v>0</v>
      </c>
      <c r="M95" s="7">
        <f t="shared" si="14"/>
        <v>0</v>
      </c>
      <c r="N95" s="7">
        <f t="shared" si="14"/>
        <v>0</v>
      </c>
      <c r="O95" s="7">
        <f t="shared" si="14"/>
        <v>0</v>
      </c>
      <c r="P95" s="7">
        <f t="shared" si="14"/>
        <v>0</v>
      </c>
      <c r="Q95" s="7">
        <f t="shared" si="14"/>
        <v>0</v>
      </c>
      <c r="R95" s="7">
        <f t="shared" si="14"/>
        <v>0</v>
      </c>
      <c r="S95" s="7">
        <f t="shared" si="14"/>
        <v>0</v>
      </c>
      <c r="T95" s="7">
        <f t="shared" si="13"/>
        <v>0</v>
      </c>
      <c r="U95" s="7">
        <f t="shared" si="13"/>
        <v>0</v>
      </c>
      <c r="V95" s="7">
        <f t="shared" si="13"/>
        <v>0</v>
      </c>
      <c r="W95" s="7">
        <f t="shared" si="13"/>
        <v>0</v>
      </c>
      <c r="X95" s="7">
        <f t="shared" si="13"/>
        <v>0</v>
      </c>
      <c r="Y95" s="7">
        <f t="shared" si="13"/>
        <v>0</v>
      </c>
      <c r="Z95" s="7">
        <f t="shared" si="13"/>
        <v>0</v>
      </c>
      <c r="AA95" s="7">
        <f t="shared" si="13"/>
        <v>0</v>
      </c>
      <c r="AB95" s="7">
        <f t="shared" si="13"/>
        <v>0</v>
      </c>
      <c r="AC95" s="7">
        <f t="shared" si="13"/>
        <v>0</v>
      </c>
    </row>
    <row r="96" spans="1:29" x14ac:dyDescent="0.55000000000000004">
      <c r="A96" s="2" t="s">
        <v>50</v>
      </c>
      <c r="B96">
        <v>4</v>
      </c>
      <c r="D96" s="7">
        <f t="shared" si="14"/>
        <v>0</v>
      </c>
      <c r="E96" s="7">
        <f t="shared" si="13"/>
        <v>0</v>
      </c>
      <c r="F96" s="7">
        <f t="shared" si="13"/>
        <v>0</v>
      </c>
      <c r="G96" s="7">
        <f t="shared" si="13"/>
        <v>0</v>
      </c>
      <c r="H96" s="7">
        <f t="shared" si="13"/>
        <v>0</v>
      </c>
      <c r="I96" s="7">
        <f t="shared" si="13"/>
        <v>0</v>
      </c>
      <c r="J96" s="7">
        <f t="shared" si="13"/>
        <v>0</v>
      </c>
      <c r="K96" s="7">
        <f t="shared" si="13"/>
        <v>0</v>
      </c>
      <c r="L96" s="7">
        <f t="shared" si="13"/>
        <v>0</v>
      </c>
      <c r="M96" s="7">
        <f t="shared" si="13"/>
        <v>0</v>
      </c>
      <c r="N96" s="7">
        <f t="shared" si="13"/>
        <v>6000</v>
      </c>
      <c r="O96" s="7">
        <f t="shared" si="13"/>
        <v>0</v>
      </c>
      <c r="P96" s="7">
        <f t="shared" si="13"/>
        <v>0</v>
      </c>
      <c r="Q96" s="7">
        <f t="shared" si="13"/>
        <v>0</v>
      </c>
      <c r="R96" s="7">
        <f t="shared" si="13"/>
        <v>0</v>
      </c>
      <c r="S96" s="7">
        <f t="shared" si="13"/>
        <v>0</v>
      </c>
      <c r="T96" s="7">
        <f t="shared" si="13"/>
        <v>0</v>
      </c>
      <c r="U96" s="7">
        <f t="shared" si="13"/>
        <v>0</v>
      </c>
      <c r="V96" s="7">
        <f t="shared" si="13"/>
        <v>0</v>
      </c>
      <c r="W96" s="7">
        <f t="shared" si="13"/>
        <v>0</v>
      </c>
      <c r="X96" s="7">
        <f t="shared" si="13"/>
        <v>0</v>
      </c>
      <c r="Y96" s="7">
        <f t="shared" si="13"/>
        <v>0</v>
      </c>
      <c r="Z96" s="7">
        <f t="shared" si="13"/>
        <v>16200</v>
      </c>
      <c r="AA96" s="7">
        <f t="shared" si="13"/>
        <v>0</v>
      </c>
      <c r="AB96" s="7">
        <f t="shared" si="13"/>
        <v>0</v>
      </c>
      <c r="AC96" s="7">
        <f t="shared" si="13"/>
        <v>0</v>
      </c>
    </row>
    <row r="97" spans="1:29" x14ac:dyDescent="0.55000000000000004">
      <c r="A97" s="2" t="s">
        <v>51</v>
      </c>
      <c r="B97">
        <v>5</v>
      </c>
      <c r="D97" s="7">
        <f t="shared" si="14"/>
        <v>0</v>
      </c>
      <c r="E97" s="7">
        <f t="shared" si="13"/>
        <v>0</v>
      </c>
      <c r="F97" s="7">
        <f t="shared" si="13"/>
        <v>0</v>
      </c>
      <c r="G97" s="7">
        <f t="shared" si="13"/>
        <v>0</v>
      </c>
      <c r="H97" s="7">
        <f t="shared" si="13"/>
        <v>0</v>
      </c>
      <c r="I97" s="7">
        <f t="shared" si="13"/>
        <v>0</v>
      </c>
      <c r="J97" s="7">
        <f t="shared" si="13"/>
        <v>0</v>
      </c>
      <c r="K97" s="7">
        <f t="shared" si="13"/>
        <v>0</v>
      </c>
      <c r="L97" s="7">
        <f t="shared" si="13"/>
        <v>0</v>
      </c>
      <c r="M97" s="7">
        <f t="shared" si="13"/>
        <v>0</v>
      </c>
      <c r="N97" s="7">
        <f t="shared" si="13"/>
        <v>0</v>
      </c>
      <c r="O97" s="7">
        <f t="shared" si="13"/>
        <v>0</v>
      </c>
      <c r="P97" s="7">
        <f t="shared" si="13"/>
        <v>0</v>
      </c>
      <c r="Q97" s="7">
        <f t="shared" si="13"/>
        <v>0</v>
      </c>
      <c r="R97" s="7">
        <f t="shared" si="13"/>
        <v>0</v>
      </c>
      <c r="S97" s="7">
        <f t="shared" si="13"/>
        <v>0</v>
      </c>
      <c r="T97" s="7">
        <f t="shared" si="13"/>
        <v>0</v>
      </c>
      <c r="U97" s="7">
        <f t="shared" si="13"/>
        <v>0</v>
      </c>
      <c r="V97" s="7">
        <f t="shared" si="13"/>
        <v>0</v>
      </c>
      <c r="W97" s="7">
        <f t="shared" si="13"/>
        <v>0</v>
      </c>
      <c r="X97" s="7">
        <f t="shared" si="13"/>
        <v>0</v>
      </c>
      <c r="Y97" s="7">
        <f t="shared" si="13"/>
        <v>0</v>
      </c>
      <c r="Z97" s="7">
        <f t="shared" si="13"/>
        <v>0</v>
      </c>
      <c r="AA97" s="7">
        <f t="shared" si="13"/>
        <v>0</v>
      </c>
      <c r="AB97" s="7">
        <f t="shared" si="13"/>
        <v>0</v>
      </c>
      <c r="AC97" s="7">
        <f t="shared" si="13"/>
        <v>0</v>
      </c>
    </row>
    <row r="98" spans="1:29" x14ac:dyDescent="0.55000000000000004">
      <c r="A98" s="2" t="s">
        <v>52</v>
      </c>
      <c r="B98">
        <v>6</v>
      </c>
      <c r="D98" s="7">
        <f t="shared" si="14"/>
        <v>0</v>
      </c>
      <c r="E98" s="7">
        <f t="shared" si="13"/>
        <v>0</v>
      </c>
      <c r="F98" s="7">
        <f t="shared" si="13"/>
        <v>0</v>
      </c>
      <c r="G98" s="7">
        <f t="shared" si="13"/>
        <v>117000</v>
      </c>
      <c r="H98" s="7">
        <f t="shared" si="13"/>
        <v>0</v>
      </c>
      <c r="I98" s="7">
        <f t="shared" si="13"/>
        <v>0</v>
      </c>
      <c r="J98" s="7">
        <f t="shared" si="13"/>
        <v>0</v>
      </c>
      <c r="K98" s="7">
        <f t="shared" si="13"/>
        <v>0</v>
      </c>
      <c r="L98" s="7">
        <f t="shared" si="13"/>
        <v>0</v>
      </c>
      <c r="M98" s="7">
        <f t="shared" si="13"/>
        <v>0</v>
      </c>
      <c r="N98" s="7">
        <f t="shared" si="13"/>
        <v>25000</v>
      </c>
      <c r="O98" s="7">
        <f t="shared" si="13"/>
        <v>0</v>
      </c>
      <c r="P98" s="7">
        <f t="shared" si="13"/>
        <v>0</v>
      </c>
      <c r="Q98" s="7">
        <f t="shared" si="13"/>
        <v>0</v>
      </c>
      <c r="R98" s="7">
        <f t="shared" si="13"/>
        <v>0</v>
      </c>
      <c r="S98" s="7">
        <f t="shared" si="13"/>
        <v>0</v>
      </c>
      <c r="T98" s="7">
        <f t="shared" si="13"/>
        <v>0</v>
      </c>
      <c r="U98" s="7">
        <f t="shared" si="13"/>
        <v>0</v>
      </c>
      <c r="V98" s="7">
        <f t="shared" si="13"/>
        <v>0</v>
      </c>
      <c r="W98" s="7">
        <f t="shared" si="13"/>
        <v>0</v>
      </c>
      <c r="X98" s="7">
        <f t="shared" si="13"/>
        <v>57525</v>
      </c>
      <c r="Y98" s="7">
        <f t="shared" si="13"/>
        <v>0</v>
      </c>
      <c r="Z98" s="7">
        <f t="shared" si="13"/>
        <v>0</v>
      </c>
      <c r="AA98" s="7">
        <f t="shared" si="13"/>
        <v>0</v>
      </c>
      <c r="AB98" s="7">
        <f t="shared" si="13"/>
        <v>0</v>
      </c>
      <c r="AC98" s="7">
        <f t="shared" si="13"/>
        <v>0</v>
      </c>
    </row>
    <row r="99" spans="1:29" x14ac:dyDescent="0.55000000000000004">
      <c r="A99" s="2" t="s">
        <v>53</v>
      </c>
      <c r="B99">
        <v>7</v>
      </c>
      <c r="D99" s="7">
        <f t="shared" si="14"/>
        <v>0</v>
      </c>
      <c r="E99" s="7">
        <f t="shared" si="13"/>
        <v>0</v>
      </c>
      <c r="F99" s="7">
        <f t="shared" si="13"/>
        <v>0</v>
      </c>
      <c r="G99" s="7">
        <f t="shared" si="13"/>
        <v>0</v>
      </c>
      <c r="H99" s="7">
        <f t="shared" si="13"/>
        <v>0</v>
      </c>
      <c r="I99" s="7">
        <f t="shared" si="13"/>
        <v>0</v>
      </c>
      <c r="J99" s="7">
        <f t="shared" si="13"/>
        <v>0</v>
      </c>
      <c r="K99" s="7">
        <f t="shared" si="13"/>
        <v>0</v>
      </c>
      <c r="L99" s="7">
        <f t="shared" si="13"/>
        <v>0</v>
      </c>
      <c r="M99" s="7">
        <f t="shared" si="13"/>
        <v>0</v>
      </c>
      <c r="N99" s="7">
        <f t="shared" si="13"/>
        <v>0</v>
      </c>
      <c r="O99" s="7">
        <f t="shared" si="13"/>
        <v>0</v>
      </c>
      <c r="P99" s="7">
        <f t="shared" si="13"/>
        <v>0</v>
      </c>
      <c r="Q99" s="7">
        <f t="shared" si="13"/>
        <v>0</v>
      </c>
      <c r="R99" s="7">
        <f t="shared" si="13"/>
        <v>0</v>
      </c>
      <c r="S99" s="7">
        <f t="shared" si="13"/>
        <v>0</v>
      </c>
      <c r="T99" s="7">
        <f t="shared" si="13"/>
        <v>0</v>
      </c>
      <c r="U99" s="7">
        <f t="shared" si="13"/>
        <v>0</v>
      </c>
      <c r="V99" s="7">
        <f t="shared" si="13"/>
        <v>0</v>
      </c>
      <c r="W99" s="7">
        <f t="shared" si="13"/>
        <v>0</v>
      </c>
      <c r="X99" s="7">
        <f t="shared" si="13"/>
        <v>0</v>
      </c>
      <c r="Y99" s="7">
        <f t="shared" si="13"/>
        <v>0</v>
      </c>
      <c r="Z99" s="7">
        <f t="shared" si="13"/>
        <v>0</v>
      </c>
      <c r="AA99" s="7">
        <f t="shared" si="13"/>
        <v>0</v>
      </c>
      <c r="AB99" s="7">
        <f t="shared" si="13"/>
        <v>0</v>
      </c>
      <c r="AC99" s="7">
        <f t="shared" si="13"/>
        <v>0</v>
      </c>
    </row>
    <row r="100" spans="1:29" x14ac:dyDescent="0.55000000000000004">
      <c r="A100" s="2" t="s">
        <v>32</v>
      </c>
      <c r="B100">
        <v>8</v>
      </c>
      <c r="D100" s="7">
        <f t="shared" si="14"/>
        <v>0</v>
      </c>
      <c r="E100" s="7">
        <f t="shared" si="13"/>
        <v>0</v>
      </c>
      <c r="F100" s="7">
        <f t="shared" si="13"/>
        <v>0</v>
      </c>
      <c r="G100" s="7">
        <f t="shared" si="13"/>
        <v>0</v>
      </c>
      <c r="H100" s="7">
        <f t="shared" si="13"/>
        <v>0</v>
      </c>
      <c r="I100" s="7">
        <f t="shared" si="13"/>
        <v>0</v>
      </c>
      <c r="J100" s="7">
        <f t="shared" si="13"/>
        <v>0</v>
      </c>
      <c r="K100" s="7">
        <f t="shared" si="13"/>
        <v>0</v>
      </c>
      <c r="L100" s="7">
        <f t="shared" si="13"/>
        <v>0</v>
      </c>
      <c r="M100" s="7">
        <f t="shared" si="13"/>
        <v>0</v>
      </c>
      <c r="N100" s="7">
        <f t="shared" si="13"/>
        <v>7000</v>
      </c>
      <c r="O100" s="7">
        <f t="shared" si="13"/>
        <v>0</v>
      </c>
      <c r="P100" s="7">
        <f t="shared" si="13"/>
        <v>0</v>
      </c>
      <c r="Q100" s="7">
        <f t="shared" si="13"/>
        <v>0</v>
      </c>
      <c r="R100" s="7">
        <f t="shared" si="13"/>
        <v>0</v>
      </c>
      <c r="S100" s="7">
        <f t="shared" si="13"/>
        <v>0</v>
      </c>
      <c r="T100" s="7">
        <f t="shared" si="13"/>
        <v>0</v>
      </c>
      <c r="U100" s="7">
        <f t="shared" si="13"/>
        <v>0</v>
      </c>
      <c r="V100" s="7">
        <f t="shared" si="13"/>
        <v>0</v>
      </c>
      <c r="W100" s="7">
        <f t="shared" si="13"/>
        <v>0</v>
      </c>
      <c r="X100" s="7">
        <f t="shared" si="13"/>
        <v>0</v>
      </c>
      <c r="Y100" s="7">
        <f t="shared" si="13"/>
        <v>0</v>
      </c>
      <c r="Z100" s="7">
        <f t="shared" si="13"/>
        <v>0</v>
      </c>
      <c r="AA100" s="7">
        <f t="shared" si="13"/>
        <v>23152</v>
      </c>
      <c r="AB100" s="7">
        <f t="shared" si="13"/>
        <v>0</v>
      </c>
      <c r="AC100" s="7">
        <f t="shared" si="13"/>
        <v>0</v>
      </c>
    </row>
    <row r="101" spans="1:29" x14ac:dyDescent="0.55000000000000004">
      <c r="A101" s="2" t="s">
        <v>33</v>
      </c>
      <c r="B101">
        <v>9</v>
      </c>
      <c r="D101" s="7">
        <f t="shared" si="14"/>
        <v>0</v>
      </c>
      <c r="E101" s="7">
        <f t="shared" si="13"/>
        <v>0</v>
      </c>
      <c r="F101" s="7">
        <f t="shared" si="13"/>
        <v>0</v>
      </c>
      <c r="G101" s="7">
        <f t="shared" si="13"/>
        <v>0</v>
      </c>
      <c r="H101" s="7">
        <f t="shared" si="13"/>
        <v>0</v>
      </c>
      <c r="I101" s="7">
        <f t="shared" si="13"/>
        <v>0</v>
      </c>
      <c r="J101" s="7">
        <f t="shared" si="13"/>
        <v>0</v>
      </c>
      <c r="K101" s="7">
        <f t="shared" si="13"/>
        <v>0</v>
      </c>
      <c r="L101" s="7">
        <f t="shared" si="13"/>
        <v>0</v>
      </c>
      <c r="M101" s="7">
        <f t="shared" si="13"/>
        <v>0</v>
      </c>
      <c r="N101" s="7">
        <f t="shared" si="13"/>
        <v>0</v>
      </c>
      <c r="O101" s="7">
        <f t="shared" si="13"/>
        <v>0</v>
      </c>
      <c r="P101" s="7">
        <f t="shared" si="13"/>
        <v>0</v>
      </c>
      <c r="Q101" s="7">
        <f t="shared" si="13"/>
        <v>0</v>
      </c>
      <c r="R101" s="7">
        <f t="shared" si="13"/>
        <v>0</v>
      </c>
      <c r="S101" s="7">
        <f t="shared" si="13"/>
        <v>0</v>
      </c>
      <c r="T101" s="7">
        <f t="shared" si="13"/>
        <v>0</v>
      </c>
      <c r="U101" s="7">
        <f t="shared" si="13"/>
        <v>0</v>
      </c>
      <c r="V101" s="7">
        <f t="shared" si="13"/>
        <v>0</v>
      </c>
      <c r="W101" s="7">
        <f t="shared" si="13"/>
        <v>0</v>
      </c>
      <c r="X101" s="7">
        <f t="shared" si="13"/>
        <v>0</v>
      </c>
      <c r="Y101" s="7">
        <f t="shared" si="13"/>
        <v>0</v>
      </c>
      <c r="Z101" s="7">
        <f t="shared" si="13"/>
        <v>0</v>
      </c>
      <c r="AA101" s="7">
        <f t="shared" si="13"/>
        <v>19468</v>
      </c>
      <c r="AB101" s="7">
        <f t="shared" si="13"/>
        <v>0</v>
      </c>
      <c r="AC101" s="7">
        <f t="shared" si="13"/>
        <v>0</v>
      </c>
    </row>
    <row r="102" spans="1:29" x14ac:dyDescent="0.55000000000000004">
      <c r="A102" s="8" t="s">
        <v>35</v>
      </c>
      <c r="B102">
        <v>10</v>
      </c>
      <c r="D102" s="7">
        <f t="shared" si="14"/>
        <v>0</v>
      </c>
      <c r="E102" s="7">
        <f t="shared" si="13"/>
        <v>0</v>
      </c>
      <c r="F102" s="7">
        <f t="shared" si="13"/>
        <v>0</v>
      </c>
      <c r="G102" s="7">
        <f t="shared" si="13"/>
        <v>0</v>
      </c>
      <c r="H102" s="7">
        <f t="shared" si="13"/>
        <v>0</v>
      </c>
      <c r="I102" s="7">
        <f t="shared" si="13"/>
        <v>0</v>
      </c>
      <c r="J102" s="7">
        <f t="shared" si="13"/>
        <v>0</v>
      </c>
      <c r="K102" s="7">
        <f t="shared" si="13"/>
        <v>0</v>
      </c>
      <c r="L102" s="7">
        <f t="shared" si="13"/>
        <v>0</v>
      </c>
      <c r="M102" s="7">
        <f t="shared" si="13"/>
        <v>0</v>
      </c>
      <c r="N102" s="7">
        <f t="shared" si="13"/>
        <v>0</v>
      </c>
      <c r="O102" s="7">
        <f t="shared" si="13"/>
        <v>0</v>
      </c>
      <c r="P102" s="7">
        <f t="shared" si="13"/>
        <v>0</v>
      </c>
      <c r="Q102" s="7">
        <f t="shared" si="13"/>
        <v>0</v>
      </c>
      <c r="R102" s="7">
        <f t="shared" si="13"/>
        <v>0</v>
      </c>
      <c r="S102" s="7">
        <f t="shared" si="13"/>
        <v>0</v>
      </c>
      <c r="T102" s="7">
        <f t="shared" si="13"/>
        <v>0</v>
      </c>
      <c r="U102" s="7">
        <f t="shared" si="13"/>
        <v>0</v>
      </c>
      <c r="V102" s="7">
        <f t="shared" si="13"/>
        <v>0</v>
      </c>
      <c r="W102" s="7">
        <f t="shared" si="13"/>
        <v>0</v>
      </c>
      <c r="X102" s="7">
        <f t="shared" si="13"/>
        <v>0</v>
      </c>
      <c r="Y102" s="7">
        <f t="shared" si="13"/>
        <v>0</v>
      </c>
      <c r="Z102" s="7">
        <f t="shared" si="13"/>
        <v>0</v>
      </c>
      <c r="AA102" s="7">
        <f t="shared" si="13"/>
        <v>0</v>
      </c>
      <c r="AB102" s="7">
        <f t="shared" si="13"/>
        <v>0</v>
      </c>
      <c r="AC102" s="7">
        <f t="shared" si="13"/>
        <v>0</v>
      </c>
    </row>
    <row r="103" spans="1:29" x14ac:dyDescent="0.55000000000000004">
      <c r="A103" s="8" t="s">
        <v>35</v>
      </c>
      <c r="B103">
        <v>11</v>
      </c>
      <c r="D103" s="7">
        <f t="shared" si="14"/>
        <v>0</v>
      </c>
      <c r="E103" s="7">
        <f t="shared" si="13"/>
        <v>0</v>
      </c>
      <c r="F103" s="7">
        <f t="shared" si="13"/>
        <v>0</v>
      </c>
      <c r="G103" s="7">
        <f t="shared" si="13"/>
        <v>0</v>
      </c>
      <c r="H103" s="7">
        <f t="shared" si="13"/>
        <v>0</v>
      </c>
      <c r="I103" s="7">
        <f t="shared" si="13"/>
        <v>0</v>
      </c>
      <c r="J103" s="7">
        <f t="shared" si="13"/>
        <v>0</v>
      </c>
      <c r="K103" s="7">
        <f t="shared" si="13"/>
        <v>0</v>
      </c>
      <c r="L103" s="7">
        <f t="shared" si="13"/>
        <v>0</v>
      </c>
      <c r="M103" s="7">
        <f t="shared" si="13"/>
        <v>0</v>
      </c>
      <c r="N103" s="7">
        <f t="shared" si="13"/>
        <v>22600</v>
      </c>
      <c r="O103" s="7">
        <f t="shared" si="13"/>
        <v>0</v>
      </c>
      <c r="P103" s="7">
        <f t="shared" si="13"/>
        <v>0</v>
      </c>
      <c r="Q103" s="7">
        <f t="shared" si="13"/>
        <v>0</v>
      </c>
      <c r="R103" s="7">
        <f t="shared" si="13"/>
        <v>0</v>
      </c>
      <c r="S103" s="7">
        <f t="shared" si="13"/>
        <v>0</v>
      </c>
      <c r="T103" s="7">
        <f t="shared" si="13"/>
        <v>0</v>
      </c>
      <c r="U103" s="7">
        <f t="shared" si="13"/>
        <v>0</v>
      </c>
      <c r="V103" s="7">
        <f t="shared" si="13"/>
        <v>0</v>
      </c>
      <c r="W103" s="7">
        <f t="shared" si="13"/>
        <v>0</v>
      </c>
      <c r="X103" s="7">
        <f t="shared" si="13"/>
        <v>0</v>
      </c>
      <c r="Y103" s="7">
        <f t="shared" si="13"/>
        <v>0</v>
      </c>
      <c r="Z103" s="7">
        <f t="shared" si="13"/>
        <v>0</v>
      </c>
      <c r="AA103" s="7">
        <f t="shared" si="13"/>
        <v>0</v>
      </c>
      <c r="AB103" s="7">
        <f t="shared" si="13"/>
        <v>0</v>
      </c>
      <c r="AC103" s="7">
        <f t="shared" si="13"/>
        <v>0</v>
      </c>
    </row>
    <row r="104" spans="1:29" x14ac:dyDescent="0.55000000000000004">
      <c r="A104" s="8" t="s">
        <v>35</v>
      </c>
      <c r="B104">
        <v>12</v>
      </c>
      <c r="D104" s="7">
        <f t="shared" si="14"/>
        <v>0</v>
      </c>
      <c r="E104" s="7">
        <f t="shared" si="13"/>
        <v>0</v>
      </c>
      <c r="F104" s="7">
        <f t="shared" si="13"/>
        <v>0</v>
      </c>
      <c r="G104" s="7">
        <f t="shared" si="13"/>
        <v>0</v>
      </c>
      <c r="H104" s="7">
        <f t="shared" si="13"/>
        <v>0</v>
      </c>
      <c r="I104" s="7">
        <f t="shared" si="13"/>
        <v>0</v>
      </c>
      <c r="J104" s="7">
        <f t="shared" si="13"/>
        <v>0</v>
      </c>
      <c r="K104" s="7">
        <f t="shared" si="13"/>
        <v>0</v>
      </c>
      <c r="L104" s="7">
        <f t="shared" si="13"/>
        <v>0</v>
      </c>
      <c r="M104" s="7">
        <f t="shared" si="13"/>
        <v>0</v>
      </c>
      <c r="N104" s="7">
        <f t="shared" si="13"/>
        <v>0</v>
      </c>
      <c r="O104" s="7">
        <f t="shared" si="13"/>
        <v>0</v>
      </c>
      <c r="P104" s="7">
        <f t="shared" si="13"/>
        <v>0</v>
      </c>
      <c r="Q104" s="7">
        <f t="shared" si="13"/>
        <v>0</v>
      </c>
      <c r="R104" s="7">
        <f t="shared" si="13"/>
        <v>0</v>
      </c>
      <c r="S104" s="7">
        <f t="shared" si="13"/>
        <v>0</v>
      </c>
      <c r="T104" s="7">
        <f t="shared" si="13"/>
        <v>0</v>
      </c>
      <c r="U104" s="7">
        <f t="shared" si="13"/>
        <v>0</v>
      </c>
      <c r="V104" s="7">
        <f t="shared" si="13"/>
        <v>0</v>
      </c>
      <c r="W104" s="7">
        <f t="shared" si="13"/>
        <v>0</v>
      </c>
      <c r="X104" s="7">
        <f t="shared" si="13"/>
        <v>0</v>
      </c>
      <c r="Y104" s="7">
        <f t="shared" ref="Y104:AC104" si="15">HLOOKUP(Y$93,$D$77:$AC$90,$B104,FALSE)</f>
        <v>0</v>
      </c>
      <c r="Z104" s="7">
        <f t="shared" si="15"/>
        <v>0</v>
      </c>
      <c r="AA104" s="7">
        <f t="shared" si="15"/>
        <v>0</v>
      </c>
      <c r="AB104" s="7">
        <f t="shared" si="15"/>
        <v>0</v>
      </c>
      <c r="AC104" s="7">
        <f t="shared" si="15"/>
        <v>0</v>
      </c>
    </row>
    <row r="105" spans="1:29" x14ac:dyDescent="0.55000000000000004">
      <c r="A105" s="2" t="s">
        <v>36</v>
      </c>
      <c r="B105">
        <v>13</v>
      </c>
      <c r="D105" s="7">
        <f t="shared" si="14"/>
        <v>0</v>
      </c>
      <c r="E105" s="7">
        <f t="shared" si="14"/>
        <v>0</v>
      </c>
      <c r="F105" s="7">
        <f t="shared" si="14"/>
        <v>0</v>
      </c>
      <c r="G105" s="7">
        <f t="shared" si="14"/>
        <v>0</v>
      </c>
      <c r="H105" s="7">
        <f t="shared" si="14"/>
        <v>0</v>
      </c>
      <c r="I105" s="7">
        <f t="shared" si="14"/>
        <v>0</v>
      </c>
      <c r="J105" s="7">
        <f t="shared" si="14"/>
        <v>0</v>
      </c>
      <c r="K105" s="7">
        <f t="shared" si="14"/>
        <v>0</v>
      </c>
      <c r="L105" s="7">
        <f t="shared" si="14"/>
        <v>0</v>
      </c>
      <c r="M105" s="7">
        <f t="shared" si="14"/>
        <v>0</v>
      </c>
      <c r="N105" s="7">
        <f t="shared" si="14"/>
        <v>0</v>
      </c>
      <c r="O105" s="7">
        <f t="shared" si="14"/>
        <v>0</v>
      </c>
      <c r="P105" s="7">
        <f t="shared" si="14"/>
        <v>0</v>
      </c>
      <c r="Q105" s="7">
        <f t="shared" si="14"/>
        <v>0</v>
      </c>
      <c r="R105" s="7">
        <f t="shared" si="14"/>
        <v>0</v>
      </c>
      <c r="S105" s="7">
        <f t="shared" si="14"/>
        <v>0</v>
      </c>
      <c r="T105" s="7">
        <f t="shared" ref="T105:AC106" si="16">HLOOKUP(T$93,$D$77:$AC$90,$B105,FALSE)</f>
        <v>0</v>
      </c>
      <c r="U105" s="7">
        <f t="shared" si="16"/>
        <v>0</v>
      </c>
      <c r="V105" s="7">
        <f t="shared" si="16"/>
        <v>0</v>
      </c>
      <c r="W105" s="7">
        <f t="shared" si="16"/>
        <v>0</v>
      </c>
      <c r="X105" s="7">
        <f t="shared" si="16"/>
        <v>0</v>
      </c>
      <c r="Y105" s="7">
        <f t="shared" si="16"/>
        <v>0</v>
      </c>
      <c r="Z105" s="7">
        <f t="shared" si="16"/>
        <v>0</v>
      </c>
      <c r="AA105" s="7">
        <f t="shared" si="16"/>
        <v>0</v>
      </c>
      <c r="AB105" s="7">
        <f t="shared" si="16"/>
        <v>0</v>
      </c>
      <c r="AC105" s="7">
        <f t="shared" si="16"/>
        <v>0</v>
      </c>
    </row>
    <row r="106" spans="1:29" x14ac:dyDescent="0.55000000000000004">
      <c r="A106" s="8" t="s">
        <v>54</v>
      </c>
      <c r="B106">
        <v>14</v>
      </c>
      <c r="D106" s="7">
        <f t="shared" si="14"/>
        <v>0</v>
      </c>
      <c r="E106" s="7">
        <f t="shared" si="14"/>
        <v>0</v>
      </c>
      <c r="F106" s="7">
        <f t="shared" si="14"/>
        <v>0</v>
      </c>
      <c r="G106" s="7">
        <f t="shared" si="14"/>
        <v>0</v>
      </c>
      <c r="H106" s="7">
        <f t="shared" si="14"/>
        <v>0</v>
      </c>
      <c r="I106" s="7">
        <f t="shared" si="14"/>
        <v>0</v>
      </c>
      <c r="J106" s="7">
        <f t="shared" si="14"/>
        <v>0</v>
      </c>
      <c r="K106" s="7">
        <f t="shared" si="14"/>
        <v>0</v>
      </c>
      <c r="L106" s="7">
        <f t="shared" si="14"/>
        <v>0</v>
      </c>
      <c r="M106" s="7">
        <f t="shared" si="14"/>
        <v>0</v>
      </c>
      <c r="N106" s="7">
        <f t="shared" si="14"/>
        <v>0</v>
      </c>
      <c r="O106" s="7">
        <f t="shared" si="14"/>
        <v>0</v>
      </c>
      <c r="P106" s="7">
        <f t="shared" si="14"/>
        <v>0</v>
      </c>
      <c r="Q106" s="7">
        <f t="shared" si="14"/>
        <v>0</v>
      </c>
      <c r="R106" s="7">
        <f t="shared" si="14"/>
        <v>0</v>
      </c>
      <c r="S106" s="7">
        <f t="shared" si="14"/>
        <v>0</v>
      </c>
      <c r="T106" s="7">
        <f t="shared" si="16"/>
        <v>0</v>
      </c>
      <c r="U106" s="7">
        <f t="shared" si="16"/>
        <v>0</v>
      </c>
      <c r="V106" s="7">
        <f t="shared" si="16"/>
        <v>0</v>
      </c>
      <c r="W106" s="7">
        <f t="shared" si="16"/>
        <v>0</v>
      </c>
      <c r="X106" s="7">
        <f t="shared" si="16"/>
        <v>0</v>
      </c>
      <c r="Y106" s="7">
        <f t="shared" si="16"/>
        <v>0</v>
      </c>
      <c r="Z106" s="7">
        <f t="shared" si="16"/>
        <v>131400</v>
      </c>
      <c r="AA106" s="7">
        <f t="shared" si="16"/>
        <v>0</v>
      </c>
      <c r="AB106" s="7">
        <f t="shared" si="16"/>
        <v>0</v>
      </c>
      <c r="AC106" s="7">
        <f t="shared" si="16"/>
        <v>0</v>
      </c>
    </row>
    <row r="108" spans="1:29" x14ac:dyDescent="0.55000000000000004">
      <c r="C108" t="s">
        <v>42</v>
      </c>
      <c r="D108" s="7">
        <f>SUM(D100:D101)/1000</f>
        <v>0</v>
      </c>
      <c r="E108" s="7">
        <f t="shared" ref="E108:AC108" si="17">SUM(E100:E101)/1000</f>
        <v>0</v>
      </c>
      <c r="F108" s="7">
        <f t="shared" si="17"/>
        <v>0</v>
      </c>
      <c r="G108" s="7">
        <f t="shared" si="17"/>
        <v>0</v>
      </c>
      <c r="H108" s="7">
        <f t="shared" si="17"/>
        <v>0</v>
      </c>
      <c r="I108" s="7">
        <f t="shared" si="17"/>
        <v>0</v>
      </c>
      <c r="J108" s="7">
        <f t="shared" si="17"/>
        <v>0</v>
      </c>
      <c r="K108" s="7">
        <f t="shared" si="17"/>
        <v>0</v>
      </c>
      <c r="L108" s="7">
        <f t="shared" si="17"/>
        <v>0</v>
      </c>
      <c r="M108" s="7">
        <f t="shared" si="17"/>
        <v>0</v>
      </c>
      <c r="N108" s="7">
        <f t="shared" si="17"/>
        <v>7</v>
      </c>
      <c r="O108" s="7">
        <f t="shared" si="17"/>
        <v>0</v>
      </c>
      <c r="P108" s="7">
        <f t="shared" si="17"/>
        <v>0</v>
      </c>
      <c r="Q108" s="7">
        <f t="shared" si="17"/>
        <v>0</v>
      </c>
      <c r="R108" s="7">
        <f t="shared" si="17"/>
        <v>0</v>
      </c>
      <c r="S108" s="7">
        <f t="shared" si="17"/>
        <v>0</v>
      </c>
      <c r="T108" s="7">
        <f t="shared" si="17"/>
        <v>0</v>
      </c>
      <c r="U108" s="7">
        <f t="shared" si="17"/>
        <v>0</v>
      </c>
      <c r="V108" s="7">
        <f t="shared" si="17"/>
        <v>0</v>
      </c>
      <c r="W108" s="7">
        <f t="shared" si="17"/>
        <v>0</v>
      </c>
      <c r="X108" s="7">
        <f t="shared" si="17"/>
        <v>0</v>
      </c>
      <c r="Y108" s="7">
        <f t="shared" si="17"/>
        <v>0</v>
      </c>
      <c r="Z108" s="7">
        <f t="shared" si="17"/>
        <v>0</v>
      </c>
      <c r="AA108" s="7">
        <f t="shared" si="17"/>
        <v>42.62</v>
      </c>
      <c r="AB108" s="7">
        <f t="shared" si="17"/>
        <v>0</v>
      </c>
      <c r="AC108" s="7">
        <f t="shared" si="17"/>
        <v>0</v>
      </c>
    </row>
    <row r="109" spans="1:29" x14ac:dyDescent="0.55000000000000004">
      <c r="C109" t="s">
        <v>45</v>
      </c>
      <c r="D109" s="7">
        <f>SUM(D94:D97)/1000</f>
        <v>0</v>
      </c>
      <c r="E109" s="7">
        <f t="shared" ref="E109:AC109" si="18">SUM(E94:E97)/1000</f>
        <v>0</v>
      </c>
      <c r="F109" s="7">
        <f t="shared" si="18"/>
        <v>0</v>
      </c>
      <c r="G109" s="7">
        <f t="shared" si="18"/>
        <v>0</v>
      </c>
      <c r="H109" s="7">
        <f t="shared" si="18"/>
        <v>0</v>
      </c>
      <c r="I109" s="7">
        <f t="shared" si="18"/>
        <v>0</v>
      </c>
      <c r="J109" s="7">
        <f t="shared" si="18"/>
        <v>0</v>
      </c>
      <c r="K109" s="7">
        <f t="shared" si="18"/>
        <v>0</v>
      </c>
      <c r="L109" s="7">
        <f t="shared" si="18"/>
        <v>0</v>
      </c>
      <c r="M109" s="7">
        <f t="shared" si="18"/>
        <v>0</v>
      </c>
      <c r="N109" s="7">
        <f t="shared" si="18"/>
        <v>6</v>
      </c>
      <c r="O109" s="7">
        <f t="shared" si="18"/>
        <v>0</v>
      </c>
      <c r="P109" s="7">
        <f t="shared" si="18"/>
        <v>0</v>
      </c>
      <c r="Q109" s="7">
        <f t="shared" si="18"/>
        <v>0</v>
      </c>
      <c r="R109" s="7">
        <f t="shared" si="18"/>
        <v>0</v>
      </c>
      <c r="S109" s="7">
        <f t="shared" si="18"/>
        <v>0</v>
      </c>
      <c r="T109" s="7">
        <f t="shared" si="18"/>
        <v>0</v>
      </c>
      <c r="U109" s="7">
        <f t="shared" si="18"/>
        <v>0</v>
      </c>
      <c r="V109" s="7">
        <f t="shared" si="18"/>
        <v>0</v>
      </c>
      <c r="W109" s="7">
        <f t="shared" si="18"/>
        <v>0</v>
      </c>
      <c r="X109" s="7">
        <f t="shared" si="18"/>
        <v>0</v>
      </c>
      <c r="Y109" s="7">
        <f t="shared" si="18"/>
        <v>0</v>
      </c>
      <c r="Z109" s="7">
        <f t="shared" si="18"/>
        <v>16.2</v>
      </c>
      <c r="AA109" s="7">
        <f t="shared" si="18"/>
        <v>0</v>
      </c>
      <c r="AB109" s="7">
        <f t="shared" si="18"/>
        <v>0</v>
      </c>
      <c r="AC109" s="7">
        <f t="shared" si="18"/>
        <v>0</v>
      </c>
    </row>
    <row r="110" spans="1:29" x14ac:dyDescent="0.55000000000000004">
      <c r="C110" t="s">
        <v>35</v>
      </c>
      <c r="D110" s="7">
        <f>SUM(D102:D104)/1000</f>
        <v>0</v>
      </c>
      <c r="E110" s="7">
        <f t="shared" ref="E110:AC110" si="19">SUM(E102:E104)/1000</f>
        <v>0</v>
      </c>
      <c r="F110" s="7">
        <f t="shared" si="19"/>
        <v>0</v>
      </c>
      <c r="G110" s="7">
        <f t="shared" si="19"/>
        <v>0</v>
      </c>
      <c r="H110" s="7">
        <f t="shared" si="19"/>
        <v>0</v>
      </c>
      <c r="I110" s="7">
        <f t="shared" si="19"/>
        <v>0</v>
      </c>
      <c r="J110" s="7">
        <f t="shared" si="19"/>
        <v>0</v>
      </c>
      <c r="K110" s="7">
        <f t="shared" si="19"/>
        <v>0</v>
      </c>
      <c r="L110" s="7">
        <f t="shared" si="19"/>
        <v>0</v>
      </c>
      <c r="M110" s="7">
        <f t="shared" si="19"/>
        <v>0</v>
      </c>
      <c r="N110" s="7">
        <f t="shared" si="19"/>
        <v>22.6</v>
      </c>
      <c r="O110" s="7">
        <f t="shared" si="19"/>
        <v>0</v>
      </c>
      <c r="P110" s="7">
        <f t="shared" si="19"/>
        <v>0</v>
      </c>
      <c r="Q110" s="7">
        <f t="shared" si="19"/>
        <v>0</v>
      </c>
      <c r="R110" s="7">
        <f t="shared" si="19"/>
        <v>0</v>
      </c>
      <c r="S110" s="7">
        <f t="shared" si="19"/>
        <v>0</v>
      </c>
      <c r="T110" s="7">
        <f t="shared" si="19"/>
        <v>0</v>
      </c>
      <c r="U110" s="7">
        <f t="shared" si="19"/>
        <v>0</v>
      </c>
      <c r="V110" s="7">
        <f t="shared" si="19"/>
        <v>0</v>
      </c>
      <c r="W110" s="7">
        <f t="shared" si="19"/>
        <v>0</v>
      </c>
      <c r="X110" s="7">
        <f t="shared" si="19"/>
        <v>0</v>
      </c>
      <c r="Y110" s="7">
        <f t="shared" si="19"/>
        <v>0</v>
      </c>
      <c r="Z110" s="7">
        <f t="shared" si="19"/>
        <v>0</v>
      </c>
      <c r="AA110" s="7">
        <f t="shared" si="19"/>
        <v>0</v>
      </c>
      <c r="AB110" s="7">
        <f t="shared" si="19"/>
        <v>0</v>
      </c>
      <c r="AC110" s="7">
        <f t="shared" si="19"/>
        <v>0</v>
      </c>
    </row>
    <row r="111" spans="1:29" x14ac:dyDescent="0.55000000000000004"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 spans="1:29" x14ac:dyDescent="0.55000000000000004">
      <c r="C112" t="s">
        <v>43</v>
      </c>
      <c r="D112" s="7">
        <f>SUM(D94:D106)/1000</f>
        <v>0</v>
      </c>
      <c r="E112" s="7">
        <f t="shared" ref="E112:AC112" si="20">SUM(E94:E106)/1000</f>
        <v>0</v>
      </c>
      <c r="F112" s="7">
        <f t="shared" si="20"/>
        <v>0</v>
      </c>
      <c r="G112" s="7">
        <f t="shared" si="20"/>
        <v>117</v>
      </c>
      <c r="H112" s="7">
        <f t="shared" si="20"/>
        <v>0</v>
      </c>
      <c r="I112" s="7">
        <f t="shared" si="20"/>
        <v>0</v>
      </c>
      <c r="J112" s="7">
        <f t="shared" si="20"/>
        <v>0</v>
      </c>
      <c r="K112" s="7">
        <f t="shared" si="20"/>
        <v>0</v>
      </c>
      <c r="L112" s="7">
        <f t="shared" si="20"/>
        <v>0</v>
      </c>
      <c r="M112" s="7">
        <f t="shared" si="20"/>
        <v>0</v>
      </c>
      <c r="N112" s="7">
        <f t="shared" si="20"/>
        <v>60.6</v>
      </c>
      <c r="O112" s="7">
        <f t="shared" si="20"/>
        <v>0</v>
      </c>
      <c r="P112" s="7">
        <f t="shared" si="20"/>
        <v>0</v>
      </c>
      <c r="Q112" s="7">
        <f t="shared" si="20"/>
        <v>0</v>
      </c>
      <c r="R112" s="7">
        <f t="shared" si="20"/>
        <v>0</v>
      </c>
      <c r="S112" s="7">
        <f t="shared" si="20"/>
        <v>0</v>
      </c>
      <c r="T112" s="7">
        <f t="shared" si="20"/>
        <v>0</v>
      </c>
      <c r="U112" s="7">
        <f t="shared" si="20"/>
        <v>0</v>
      </c>
      <c r="V112" s="7">
        <f t="shared" si="20"/>
        <v>0</v>
      </c>
      <c r="W112" s="7">
        <f t="shared" si="20"/>
        <v>0</v>
      </c>
      <c r="X112" s="7">
        <f t="shared" si="20"/>
        <v>57.524999999999999</v>
      </c>
      <c r="Y112" s="7">
        <f t="shared" si="20"/>
        <v>0</v>
      </c>
      <c r="Z112" s="7">
        <f t="shared" si="20"/>
        <v>147.6</v>
      </c>
      <c r="AA112" s="7">
        <f t="shared" si="20"/>
        <v>42.62</v>
      </c>
      <c r="AB112" s="7">
        <f t="shared" si="20"/>
        <v>0</v>
      </c>
      <c r="AC112" s="7">
        <f t="shared" si="20"/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182FF-4023-42F3-AA9F-CCE7CC11CE20}">
  <dimension ref="A1:AC71"/>
  <sheetViews>
    <sheetView topLeftCell="A43" workbookViewId="0">
      <selection activeCell="C67" sqref="C67:AC69"/>
    </sheetView>
  </sheetViews>
  <sheetFormatPr defaultRowHeight="14.4" x14ac:dyDescent="0.55000000000000004"/>
  <cols>
    <col min="1" max="1" width="34.41796875" bestFit="1" customWidth="1"/>
    <col min="2" max="2" width="3.89453125" bestFit="1" customWidth="1"/>
  </cols>
  <sheetData>
    <row r="1" spans="1:29" x14ac:dyDescent="0.55000000000000004">
      <c r="A1" s="1" t="s">
        <v>37</v>
      </c>
      <c r="B1" s="2"/>
    </row>
    <row r="2" spans="1:29" x14ac:dyDescent="0.55000000000000004">
      <c r="A2" s="1" t="s">
        <v>28</v>
      </c>
      <c r="B2" s="1" t="s">
        <v>40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  <c r="L2" s="6" t="s">
        <v>10</v>
      </c>
      <c r="M2" s="6" t="s">
        <v>11</v>
      </c>
      <c r="N2" s="6" t="s">
        <v>12</v>
      </c>
      <c r="O2" s="6" t="s">
        <v>13</v>
      </c>
      <c r="P2" s="6" t="s">
        <v>14</v>
      </c>
      <c r="Q2" s="6" t="s">
        <v>15</v>
      </c>
      <c r="R2" s="6" t="s">
        <v>16</v>
      </c>
      <c r="S2" s="6" t="s">
        <v>17</v>
      </c>
      <c r="T2" s="6" t="s">
        <v>18</v>
      </c>
      <c r="U2" s="6" t="s">
        <v>19</v>
      </c>
      <c r="V2" s="6" t="s">
        <v>20</v>
      </c>
      <c r="W2" s="6" t="s">
        <v>21</v>
      </c>
      <c r="X2" s="6" t="s">
        <v>22</v>
      </c>
      <c r="Y2" s="6" t="s">
        <v>23</v>
      </c>
      <c r="Z2" s="6" t="s">
        <v>24</v>
      </c>
      <c r="AA2" s="6" t="s">
        <v>25</v>
      </c>
      <c r="AB2" s="6" t="s">
        <v>26</v>
      </c>
      <c r="AC2" s="6" t="s">
        <v>27</v>
      </c>
    </row>
    <row r="3" spans="1:29" x14ac:dyDescent="0.55000000000000004">
      <c r="A3" s="2" t="s">
        <v>29</v>
      </c>
      <c r="B3" s="3" t="s">
        <v>55</v>
      </c>
      <c r="C3" s="7">
        <v>72</v>
      </c>
      <c r="D3" s="7">
        <v>0</v>
      </c>
      <c r="E3" s="7">
        <v>0</v>
      </c>
      <c r="F3" s="7">
        <v>0</v>
      </c>
      <c r="G3" s="7">
        <v>1</v>
      </c>
      <c r="H3" s="7">
        <v>1</v>
      </c>
      <c r="I3" s="7">
        <v>1</v>
      </c>
      <c r="J3" s="7">
        <v>0</v>
      </c>
      <c r="K3" s="7">
        <v>7</v>
      </c>
      <c r="L3" s="7">
        <v>0</v>
      </c>
      <c r="M3" s="7">
        <v>13</v>
      </c>
      <c r="N3" s="7">
        <v>4</v>
      </c>
      <c r="O3" s="7">
        <v>0</v>
      </c>
      <c r="P3" s="7">
        <v>9</v>
      </c>
      <c r="Q3" s="7">
        <v>1</v>
      </c>
      <c r="R3" s="7">
        <v>2</v>
      </c>
      <c r="S3" s="7">
        <v>0</v>
      </c>
      <c r="T3" s="7">
        <v>3</v>
      </c>
      <c r="U3" s="7">
        <v>8</v>
      </c>
      <c r="V3" s="7">
        <v>0</v>
      </c>
      <c r="W3" s="7">
        <v>6</v>
      </c>
      <c r="X3" s="7">
        <v>0</v>
      </c>
      <c r="Y3" s="7">
        <v>7</v>
      </c>
      <c r="Z3" s="7">
        <v>0</v>
      </c>
      <c r="AA3" s="7">
        <v>0</v>
      </c>
      <c r="AB3" s="7">
        <v>0</v>
      </c>
      <c r="AC3" s="7">
        <v>9</v>
      </c>
    </row>
    <row r="4" spans="1:29" x14ac:dyDescent="0.55000000000000004">
      <c r="A4" s="2" t="s">
        <v>30</v>
      </c>
      <c r="B4" s="3" t="s">
        <v>55</v>
      </c>
      <c r="C4" s="7">
        <v>359</v>
      </c>
      <c r="D4" s="7">
        <v>0</v>
      </c>
      <c r="E4" s="7">
        <v>126</v>
      </c>
      <c r="F4" s="7">
        <v>6</v>
      </c>
      <c r="G4" s="7">
        <v>4</v>
      </c>
      <c r="H4" s="7">
        <v>0</v>
      </c>
      <c r="I4" s="7">
        <v>0</v>
      </c>
      <c r="J4" s="7">
        <v>1</v>
      </c>
      <c r="K4" s="7">
        <v>4</v>
      </c>
      <c r="L4" s="7">
        <v>0</v>
      </c>
      <c r="M4" s="7">
        <v>17</v>
      </c>
      <c r="N4" s="7">
        <v>14</v>
      </c>
      <c r="O4" s="7">
        <v>5</v>
      </c>
      <c r="P4" s="7">
        <v>22</v>
      </c>
      <c r="Q4" s="7">
        <v>9</v>
      </c>
      <c r="R4" s="7">
        <v>4</v>
      </c>
      <c r="S4" s="7">
        <v>1</v>
      </c>
      <c r="T4" s="7">
        <v>0</v>
      </c>
      <c r="U4" s="7">
        <v>6</v>
      </c>
      <c r="V4" s="7">
        <v>0</v>
      </c>
      <c r="W4" s="7">
        <v>11</v>
      </c>
      <c r="X4" s="7">
        <v>0</v>
      </c>
      <c r="Y4" s="7">
        <v>86</v>
      </c>
      <c r="Z4" s="7">
        <v>0</v>
      </c>
      <c r="AA4" s="7">
        <v>32</v>
      </c>
      <c r="AB4" s="7">
        <v>0</v>
      </c>
      <c r="AC4" s="7">
        <v>11</v>
      </c>
    </row>
    <row r="5" spans="1:29" x14ac:dyDescent="0.55000000000000004">
      <c r="A5" s="2" t="s">
        <v>31</v>
      </c>
      <c r="B5" s="3" t="s">
        <v>55</v>
      </c>
      <c r="C5" s="7">
        <v>1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1</v>
      </c>
      <c r="Z5" s="7">
        <v>0</v>
      </c>
      <c r="AA5" s="7">
        <v>0</v>
      </c>
      <c r="AB5" s="7">
        <v>0</v>
      </c>
      <c r="AC5" s="7">
        <v>0</v>
      </c>
    </row>
    <row r="6" spans="1:29" x14ac:dyDescent="0.55000000000000004">
      <c r="A6" s="2" t="s">
        <v>32</v>
      </c>
      <c r="B6" s="3" t="s">
        <v>55</v>
      </c>
      <c r="C6" s="7">
        <v>3675</v>
      </c>
      <c r="D6" s="7">
        <v>60</v>
      </c>
      <c r="E6" s="7">
        <v>889</v>
      </c>
      <c r="F6" s="7">
        <v>243</v>
      </c>
      <c r="G6" s="7">
        <v>5</v>
      </c>
      <c r="H6" s="7">
        <v>34</v>
      </c>
      <c r="I6" s="7">
        <v>7</v>
      </c>
      <c r="J6" s="7">
        <v>24</v>
      </c>
      <c r="K6" s="7">
        <v>50</v>
      </c>
      <c r="L6" s="7">
        <v>0</v>
      </c>
      <c r="M6" s="7">
        <v>250</v>
      </c>
      <c r="N6" s="7">
        <v>140</v>
      </c>
      <c r="O6" s="7">
        <v>60</v>
      </c>
      <c r="P6" s="7">
        <v>105</v>
      </c>
      <c r="Q6" s="7">
        <v>53</v>
      </c>
      <c r="R6" s="7">
        <v>16</v>
      </c>
      <c r="S6" s="7">
        <v>15</v>
      </c>
      <c r="T6" s="7">
        <v>427</v>
      </c>
      <c r="U6" s="7">
        <v>91</v>
      </c>
      <c r="V6" s="7">
        <v>0</v>
      </c>
      <c r="W6" s="7">
        <v>229</v>
      </c>
      <c r="X6" s="7">
        <v>228</v>
      </c>
      <c r="Y6" s="7">
        <v>250</v>
      </c>
      <c r="Z6" s="7">
        <v>253</v>
      </c>
      <c r="AA6" s="7">
        <v>98</v>
      </c>
      <c r="AB6" s="7">
        <v>113</v>
      </c>
      <c r="AC6" s="7">
        <v>35</v>
      </c>
    </row>
    <row r="7" spans="1:29" x14ac:dyDescent="0.55000000000000004">
      <c r="A7" s="2" t="s">
        <v>33</v>
      </c>
      <c r="B7" s="3" t="s">
        <v>55</v>
      </c>
      <c r="C7" s="7">
        <v>1111</v>
      </c>
      <c r="D7" s="7">
        <v>27</v>
      </c>
      <c r="E7" s="7">
        <v>170</v>
      </c>
      <c r="F7" s="7">
        <v>187</v>
      </c>
      <c r="G7" s="7">
        <v>4</v>
      </c>
      <c r="H7" s="7">
        <v>7</v>
      </c>
      <c r="I7" s="7">
        <v>2</v>
      </c>
      <c r="J7" s="7">
        <v>6</v>
      </c>
      <c r="K7" s="7">
        <v>1</v>
      </c>
      <c r="L7" s="7">
        <v>0</v>
      </c>
      <c r="M7" s="7">
        <v>94</v>
      </c>
      <c r="N7" s="7">
        <v>29</v>
      </c>
      <c r="O7" s="7">
        <v>20</v>
      </c>
      <c r="P7" s="7">
        <v>15</v>
      </c>
      <c r="Q7" s="7">
        <v>15</v>
      </c>
      <c r="R7" s="7">
        <v>12</v>
      </c>
      <c r="S7" s="7">
        <v>7</v>
      </c>
      <c r="T7" s="7">
        <v>241</v>
      </c>
      <c r="U7" s="7">
        <v>56</v>
      </c>
      <c r="V7" s="7">
        <v>0</v>
      </c>
      <c r="W7" s="7">
        <v>92</v>
      </c>
      <c r="X7" s="7">
        <v>8</v>
      </c>
      <c r="Y7" s="7">
        <v>93</v>
      </c>
      <c r="Z7" s="7">
        <v>11</v>
      </c>
      <c r="AA7" s="7">
        <v>2</v>
      </c>
      <c r="AB7" s="7">
        <v>9</v>
      </c>
      <c r="AC7" s="7">
        <v>3</v>
      </c>
    </row>
    <row r="8" spans="1:29" x14ac:dyDescent="0.55000000000000004">
      <c r="A8" s="2" t="s">
        <v>34</v>
      </c>
      <c r="B8" s="3" t="s">
        <v>55</v>
      </c>
      <c r="C8" s="7">
        <v>415</v>
      </c>
      <c r="D8" s="7">
        <v>2</v>
      </c>
      <c r="E8" s="7">
        <v>174</v>
      </c>
      <c r="F8" s="7">
        <v>0</v>
      </c>
      <c r="G8" s="7">
        <v>1</v>
      </c>
      <c r="H8" s="7">
        <v>63</v>
      </c>
      <c r="I8" s="7">
        <v>9</v>
      </c>
      <c r="J8" s="7">
        <v>1</v>
      </c>
      <c r="K8" s="7">
        <v>4</v>
      </c>
      <c r="L8" s="7">
        <v>0</v>
      </c>
      <c r="M8" s="7">
        <v>57</v>
      </c>
      <c r="N8" s="7">
        <v>3</v>
      </c>
      <c r="O8" s="7">
        <v>35</v>
      </c>
      <c r="P8" s="7">
        <v>20</v>
      </c>
      <c r="Q8" s="7">
        <v>10</v>
      </c>
      <c r="R8" s="7">
        <v>4</v>
      </c>
      <c r="S8" s="7">
        <v>0</v>
      </c>
      <c r="T8" s="7">
        <v>2</v>
      </c>
      <c r="U8" s="7">
        <v>2</v>
      </c>
      <c r="V8" s="7">
        <v>0</v>
      </c>
      <c r="W8" s="7">
        <v>12</v>
      </c>
      <c r="X8" s="7">
        <v>3</v>
      </c>
      <c r="Y8" s="7">
        <v>0</v>
      </c>
      <c r="Z8" s="7">
        <v>6</v>
      </c>
      <c r="AA8" s="7">
        <v>4</v>
      </c>
      <c r="AB8" s="7">
        <v>0</v>
      </c>
      <c r="AC8" s="7">
        <v>3</v>
      </c>
    </row>
    <row r="9" spans="1:29" x14ac:dyDescent="0.55000000000000004">
      <c r="A9" s="2" t="s">
        <v>35</v>
      </c>
      <c r="B9" s="3" t="s">
        <v>55</v>
      </c>
      <c r="C9" s="7">
        <v>494</v>
      </c>
      <c r="D9" s="7">
        <v>0</v>
      </c>
      <c r="E9" s="7">
        <v>58</v>
      </c>
      <c r="F9" s="7">
        <v>14</v>
      </c>
      <c r="G9" s="7">
        <v>0</v>
      </c>
      <c r="H9" s="7">
        <v>5</v>
      </c>
      <c r="I9" s="7">
        <v>0</v>
      </c>
      <c r="J9" s="7">
        <v>1</v>
      </c>
      <c r="K9" s="7">
        <v>8</v>
      </c>
      <c r="L9" s="7">
        <v>0</v>
      </c>
      <c r="M9" s="7">
        <v>19</v>
      </c>
      <c r="N9" s="7">
        <v>16</v>
      </c>
      <c r="O9" s="7">
        <v>5</v>
      </c>
      <c r="P9" s="7">
        <v>23</v>
      </c>
      <c r="Q9" s="7">
        <v>0</v>
      </c>
      <c r="R9" s="7">
        <v>14</v>
      </c>
      <c r="S9" s="7">
        <v>5</v>
      </c>
      <c r="T9" s="7">
        <v>42</v>
      </c>
      <c r="U9" s="7">
        <v>20</v>
      </c>
      <c r="V9" s="7">
        <v>0</v>
      </c>
      <c r="W9" s="7">
        <v>19</v>
      </c>
      <c r="X9" s="7">
        <v>28</v>
      </c>
      <c r="Y9" s="7">
        <v>120</v>
      </c>
      <c r="Z9" s="7">
        <v>10</v>
      </c>
      <c r="AA9" s="7">
        <v>20</v>
      </c>
      <c r="AB9" s="7">
        <v>39</v>
      </c>
      <c r="AC9" s="7">
        <v>28</v>
      </c>
    </row>
    <row r="10" spans="1:29" x14ac:dyDescent="0.55000000000000004">
      <c r="A10" s="2" t="s">
        <v>36</v>
      </c>
      <c r="B10" s="3" t="s">
        <v>55</v>
      </c>
      <c r="C10" s="7">
        <v>9</v>
      </c>
      <c r="D10" s="7">
        <v>0</v>
      </c>
      <c r="E10" s="7">
        <v>1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3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2</v>
      </c>
      <c r="V10" s="7">
        <v>0</v>
      </c>
      <c r="W10" s="7">
        <v>1</v>
      </c>
      <c r="X10" s="7">
        <v>0</v>
      </c>
      <c r="Y10" s="7">
        <v>0</v>
      </c>
      <c r="Z10" s="7">
        <v>0</v>
      </c>
      <c r="AA10" s="7">
        <v>0</v>
      </c>
      <c r="AB10" s="7">
        <v>2</v>
      </c>
      <c r="AC10" s="7">
        <v>0</v>
      </c>
    </row>
    <row r="11" spans="1:29" x14ac:dyDescent="0.55000000000000004">
      <c r="A11" s="2"/>
      <c r="B11" s="3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8"/>
      <c r="Z11" s="8"/>
      <c r="AA11" s="8"/>
      <c r="AB11" s="8"/>
      <c r="AC11" s="8"/>
    </row>
    <row r="12" spans="1:29" x14ac:dyDescent="0.55000000000000004">
      <c r="A12" s="1" t="s">
        <v>39</v>
      </c>
      <c r="B12" s="2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</row>
    <row r="13" spans="1:29" x14ac:dyDescent="0.55000000000000004">
      <c r="A13" s="1" t="s">
        <v>28</v>
      </c>
      <c r="B13" s="1" t="s">
        <v>40</v>
      </c>
      <c r="C13" s="6" t="s">
        <v>1</v>
      </c>
      <c r="D13" s="6" t="s">
        <v>2</v>
      </c>
      <c r="E13" s="6" t="s">
        <v>3</v>
      </c>
      <c r="F13" s="6" t="s">
        <v>4</v>
      </c>
      <c r="G13" s="6" t="s">
        <v>5</v>
      </c>
      <c r="H13" s="6" t="s">
        <v>6</v>
      </c>
      <c r="I13" s="6" t="s">
        <v>7</v>
      </c>
      <c r="J13" s="6" t="s">
        <v>8</v>
      </c>
      <c r="K13" s="6" t="s">
        <v>9</v>
      </c>
      <c r="L13" s="6" t="s">
        <v>10</v>
      </c>
      <c r="M13" s="6" t="s">
        <v>11</v>
      </c>
      <c r="N13" s="6" t="s">
        <v>12</v>
      </c>
      <c r="O13" s="6" t="s">
        <v>13</v>
      </c>
      <c r="P13" s="6" t="s">
        <v>14</v>
      </c>
      <c r="Q13" s="6" t="s">
        <v>15</v>
      </c>
      <c r="R13" s="6" t="s">
        <v>16</v>
      </c>
      <c r="S13" s="6" t="s">
        <v>17</v>
      </c>
      <c r="T13" s="6" t="s">
        <v>18</v>
      </c>
      <c r="U13" s="6" t="s">
        <v>19</v>
      </c>
      <c r="V13" s="6" t="s">
        <v>20</v>
      </c>
      <c r="W13" s="6" t="s">
        <v>21</v>
      </c>
      <c r="X13" s="6" t="s">
        <v>22</v>
      </c>
      <c r="Y13" s="6" t="s">
        <v>23</v>
      </c>
      <c r="Z13" s="6" t="s">
        <v>24</v>
      </c>
      <c r="AA13" s="6" t="s">
        <v>25</v>
      </c>
      <c r="AB13" s="6" t="s">
        <v>26</v>
      </c>
      <c r="AC13" s="6" t="s">
        <v>27</v>
      </c>
    </row>
    <row r="14" spans="1:29" x14ac:dyDescent="0.55000000000000004">
      <c r="A14" s="2" t="s">
        <v>29</v>
      </c>
      <c r="B14" s="3" t="s">
        <v>55</v>
      </c>
      <c r="C14" s="7">
        <v>15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4</v>
      </c>
      <c r="N14" s="7">
        <v>1</v>
      </c>
      <c r="O14" s="7">
        <v>0</v>
      </c>
      <c r="P14" s="7">
        <v>4</v>
      </c>
      <c r="Q14" s="7">
        <v>0</v>
      </c>
      <c r="R14" s="7">
        <v>0</v>
      </c>
      <c r="S14" s="7">
        <v>0</v>
      </c>
      <c r="T14" s="7">
        <v>0</v>
      </c>
      <c r="U14" s="7">
        <v>6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</row>
    <row r="15" spans="1:29" x14ac:dyDescent="0.55000000000000004">
      <c r="A15" s="2" t="s">
        <v>30</v>
      </c>
      <c r="B15" s="3" t="s">
        <v>55</v>
      </c>
      <c r="C15" s="7">
        <v>162</v>
      </c>
      <c r="D15" s="7">
        <v>0</v>
      </c>
      <c r="E15" s="7">
        <v>51</v>
      </c>
      <c r="F15" s="7">
        <v>12</v>
      </c>
      <c r="G15" s="7">
        <v>4</v>
      </c>
      <c r="H15" s="7">
        <v>1</v>
      </c>
      <c r="I15" s="7">
        <v>0</v>
      </c>
      <c r="J15" s="7">
        <v>3</v>
      </c>
      <c r="K15" s="7">
        <v>1</v>
      </c>
      <c r="L15" s="7">
        <v>0</v>
      </c>
      <c r="M15" s="7">
        <v>10</v>
      </c>
      <c r="N15" s="7">
        <v>9</v>
      </c>
      <c r="O15" s="7">
        <v>7</v>
      </c>
      <c r="P15" s="7">
        <v>9</v>
      </c>
      <c r="Q15" s="7">
        <v>2</v>
      </c>
      <c r="R15" s="7">
        <v>2</v>
      </c>
      <c r="S15" s="7">
        <v>0</v>
      </c>
      <c r="T15" s="7">
        <v>0</v>
      </c>
      <c r="U15" s="7">
        <v>16</v>
      </c>
      <c r="V15" s="7">
        <v>0</v>
      </c>
      <c r="W15" s="7">
        <v>2</v>
      </c>
      <c r="X15" s="7">
        <v>0</v>
      </c>
      <c r="Y15" s="7">
        <v>24</v>
      </c>
      <c r="Z15" s="7">
        <v>2</v>
      </c>
      <c r="AA15" s="7">
        <v>2</v>
      </c>
      <c r="AB15" s="7">
        <v>0</v>
      </c>
      <c r="AC15" s="7">
        <v>5</v>
      </c>
    </row>
    <row r="16" spans="1:29" x14ac:dyDescent="0.55000000000000004">
      <c r="A16" s="2" t="s">
        <v>31</v>
      </c>
      <c r="B16" s="3" t="s">
        <v>55</v>
      </c>
      <c r="C16" s="7">
        <v>10</v>
      </c>
      <c r="D16" s="7">
        <v>0</v>
      </c>
      <c r="E16" s="7">
        <v>4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2</v>
      </c>
      <c r="N16" s="7">
        <v>0</v>
      </c>
      <c r="O16" s="7">
        <v>3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1</v>
      </c>
      <c r="Z16" s="7">
        <v>0</v>
      </c>
      <c r="AA16" s="7">
        <v>0</v>
      </c>
      <c r="AB16" s="7">
        <v>0</v>
      </c>
      <c r="AC16" s="7">
        <v>0</v>
      </c>
    </row>
    <row r="17" spans="1:29" x14ac:dyDescent="0.55000000000000004">
      <c r="A17" s="2" t="s">
        <v>32</v>
      </c>
      <c r="B17" s="3" t="s">
        <v>55</v>
      </c>
      <c r="C17" s="7">
        <v>393</v>
      </c>
      <c r="D17" s="7">
        <v>18</v>
      </c>
      <c r="E17" s="7">
        <v>109</v>
      </c>
      <c r="F17" s="7">
        <v>55</v>
      </c>
      <c r="G17" s="7">
        <v>4</v>
      </c>
      <c r="H17" s="7">
        <v>9</v>
      </c>
      <c r="I17" s="7">
        <v>2</v>
      </c>
      <c r="J17" s="7">
        <v>15</v>
      </c>
      <c r="K17" s="7">
        <v>1</v>
      </c>
      <c r="L17" s="7">
        <v>0</v>
      </c>
      <c r="M17" s="7">
        <v>21</v>
      </c>
      <c r="N17" s="7">
        <v>9</v>
      </c>
      <c r="O17" s="7">
        <v>10</v>
      </c>
      <c r="P17" s="7">
        <v>7</v>
      </c>
      <c r="Q17" s="7">
        <v>2</v>
      </c>
      <c r="R17" s="7">
        <v>0</v>
      </c>
      <c r="S17" s="7">
        <v>0</v>
      </c>
      <c r="T17" s="7">
        <v>13</v>
      </c>
      <c r="U17" s="7">
        <v>23</v>
      </c>
      <c r="V17" s="7">
        <v>0</v>
      </c>
      <c r="W17" s="7">
        <v>15</v>
      </c>
      <c r="X17" s="7">
        <v>13</v>
      </c>
      <c r="Y17" s="7">
        <v>18</v>
      </c>
      <c r="Z17" s="7">
        <v>47</v>
      </c>
      <c r="AA17" s="7">
        <v>0</v>
      </c>
      <c r="AB17" s="7">
        <v>1</v>
      </c>
      <c r="AC17" s="7">
        <v>1</v>
      </c>
    </row>
    <row r="18" spans="1:29" x14ac:dyDescent="0.55000000000000004">
      <c r="A18" s="2" t="s">
        <v>33</v>
      </c>
      <c r="B18" s="3" t="s">
        <v>55</v>
      </c>
      <c r="C18" s="7">
        <v>325</v>
      </c>
      <c r="D18" s="7">
        <v>23</v>
      </c>
      <c r="E18" s="7">
        <v>51</v>
      </c>
      <c r="F18" s="7">
        <v>91</v>
      </c>
      <c r="G18" s="7">
        <v>4</v>
      </c>
      <c r="H18" s="7">
        <v>2</v>
      </c>
      <c r="I18" s="7">
        <v>6</v>
      </c>
      <c r="J18" s="7">
        <v>15</v>
      </c>
      <c r="K18" s="7">
        <v>2</v>
      </c>
      <c r="L18" s="7">
        <v>0</v>
      </c>
      <c r="M18" s="7">
        <v>19</v>
      </c>
      <c r="N18" s="7">
        <v>10</v>
      </c>
      <c r="O18" s="7">
        <v>1</v>
      </c>
      <c r="P18" s="7">
        <v>4</v>
      </c>
      <c r="Q18" s="7">
        <v>0</v>
      </c>
      <c r="R18" s="7">
        <v>3</v>
      </c>
      <c r="S18" s="7">
        <v>3</v>
      </c>
      <c r="T18" s="7">
        <v>27</v>
      </c>
      <c r="U18" s="7">
        <v>31</v>
      </c>
      <c r="V18" s="7">
        <v>0</v>
      </c>
      <c r="W18" s="7">
        <v>14</v>
      </c>
      <c r="X18" s="7">
        <v>0</v>
      </c>
      <c r="Y18" s="7">
        <v>9</v>
      </c>
      <c r="Z18" s="7">
        <v>9</v>
      </c>
      <c r="AA18" s="7">
        <v>0</v>
      </c>
      <c r="AB18" s="7">
        <v>0</v>
      </c>
      <c r="AC18" s="7">
        <v>1</v>
      </c>
    </row>
    <row r="19" spans="1:29" x14ac:dyDescent="0.55000000000000004">
      <c r="A19" s="2" t="s">
        <v>34</v>
      </c>
      <c r="B19" s="3" t="s">
        <v>55</v>
      </c>
      <c r="C19" s="7">
        <v>367</v>
      </c>
      <c r="D19" s="7">
        <v>1</v>
      </c>
      <c r="E19" s="7">
        <v>93</v>
      </c>
      <c r="F19" s="7">
        <v>0</v>
      </c>
      <c r="G19" s="7">
        <v>4</v>
      </c>
      <c r="H19" s="7">
        <v>43</v>
      </c>
      <c r="I19" s="7">
        <v>15</v>
      </c>
      <c r="J19" s="7">
        <v>1</v>
      </c>
      <c r="K19" s="7">
        <v>0</v>
      </c>
      <c r="L19" s="7">
        <v>0</v>
      </c>
      <c r="M19" s="7">
        <v>33</v>
      </c>
      <c r="N19" s="7">
        <v>3</v>
      </c>
      <c r="O19" s="7">
        <v>59</v>
      </c>
      <c r="P19" s="7">
        <v>27</v>
      </c>
      <c r="Q19" s="7">
        <v>13</v>
      </c>
      <c r="R19" s="7">
        <v>6</v>
      </c>
      <c r="S19" s="7">
        <v>0</v>
      </c>
      <c r="T19" s="7">
        <v>2</v>
      </c>
      <c r="U19" s="7">
        <v>7</v>
      </c>
      <c r="V19" s="7">
        <v>0</v>
      </c>
      <c r="W19" s="7">
        <v>16</v>
      </c>
      <c r="X19" s="7">
        <v>2</v>
      </c>
      <c r="Y19" s="7">
        <v>1</v>
      </c>
      <c r="Z19" s="7">
        <v>24</v>
      </c>
      <c r="AA19" s="7">
        <v>8</v>
      </c>
      <c r="AB19" s="7">
        <v>6</v>
      </c>
      <c r="AC19" s="7">
        <v>3</v>
      </c>
    </row>
    <row r="20" spans="1:29" x14ac:dyDescent="0.55000000000000004">
      <c r="A20" s="2" t="s">
        <v>35</v>
      </c>
      <c r="B20" s="3" t="s">
        <v>55</v>
      </c>
      <c r="C20" s="7">
        <v>196</v>
      </c>
      <c r="D20" s="7">
        <v>0</v>
      </c>
      <c r="E20" s="7">
        <v>24</v>
      </c>
      <c r="F20" s="7">
        <v>29</v>
      </c>
      <c r="G20" s="7">
        <v>6</v>
      </c>
      <c r="H20" s="7">
        <v>2</v>
      </c>
      <c r="I20" s="7">
        <v>1</v>
      </c>
      <c r="J20" s="7">
        <v>1</v>
      </c>
      <c r="K20" s="7">
        <v>1</v>
      </c>
      <c r="L20" s="7">
        <v>0</v>
      </c>
      <c r="M20" s="7">
        <v>7</v>
      </c>
      <c r="N20" s="7">
        <v>6</v>
      </c>
      <c r="O20" s="7">
        <v>6</v>
      </c>
      <c r="P20" s="7">
        <v>15</v>
      </c>
      <c r="Q20" s="7">
        <v>2</v>
      </c>
      <c r="R20" s="7">
        <v>4</v>
      </c>
      <c r="S20" s="7">
        <v>1</v>
      </c>
      <c r="T20" s="7">
        <v>5</v>
      </c>
      <c r="U20" s="7">
        <v>5</v>
      </c>
      <c r="V20" s="7">
        <v>0</v>
      </c>
      <c r="W20" s="7">
        <v>4</v>
      </c>
      <c r="X20" s="7">
        <v>8</v>
      </c>
      <c r="Y20" s="7">
        <v>34</v>
      </c>
      <c r="Z20" s="7">
        <v>1</v>
      </c>
      <c r="AA20" s="7">
        <v>13</v>
      </c>
      <c r="AB20" s="7">
        <v>19</v>
      </c>
      <c r="AC20" s="7">
        <v>2</v>
      </c>
    </row>
    <row r="21" spans="1:29" x14ac:dyDescent="0.55000000000000004">
      <c r="A21" s="2" t="s">
        <v>36</v>
      </c>
      <c r="B21" s="3" t="s">
        <v>55</v>
      </c>
      <c r="C21" s="7">
        <v>8</v>
      </c>
      <c r="D21" s="7">
        <v>0</v>
      </c>
      <c r="E21" s="7">
        <v>3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3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2</v>
      </c>
      <c r="AC21" s="7">
        <v>0</v>
      </c>
    </row>
    <row r="22" spans="1:29" x14ac:dyDescent="0.55000000000000004">
      <c r="A22" s="2"/>
      <c r="B22" s="3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8"/>
      <c r="Z22" s="8"/>
      <c r="AA22" s="8"/>
      <c r="AB22" s="8"/>
      <c r="AC22" s="8"/>
    </row>
    <row r="23" spans="1:29" x14ac:dyDescent="0.55000000000000004">
      <c r="A23" s="1" t="s">
        <v>38</v>
      </c>
      <c r="B23" s="2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</row>
    <row r="24" spans="1:29" x14ac:dyDescent="0.55000000000000004">
      <c r="A24" s="1" t="s">
        <v>28</v>
      </c>
      <c r="B24" s="1" t="s">
        <v>40</v>
      </c>
      <c r="C24" s="6" t="s">
        <v>1</v>
      </c>
      <c r="D24" s="6" t="s">
        <v>2</v>
      </c>
      <c r="E24" s="6" t="s">
        <v>3</v>
      </c>
      <c r="F24" s="6" t="s">
        <v>4</v>
      </c>
      <c r="G24" s="6" t="s">
        <v>5</v>
      </c>
      <c r="H24" s="6" t="s">
        <v>6</v>
      </c>
      <c r="I24" s="6" t="s">
        <v>7</v>
      </c>
      <c r="J24" s="6" t="s">
        <v>8</v>
      </c>
      <c r="K24" s="6" t="s">
        <v>9</v>
      </c>
      <c r="L24" s="6" t="s">
        <v>10</v>
      </c>
      <c r="M24" s="6" t="s">
        <v>11</v>
      </c>
      <c r="N24" s="6" t="s">
        <v>12</v>
      </c>
      <c r="O24" s="6" t="s">
        <v>13</v>
      </c>
      <c r="P24" s="6" t="s">
        <v>14</v>
      </c>
      <c r="Q24" s="6" t="s">
        <v>15</v>
      </c>
      <c r="R24" s="6" t="s">
        <v>16</v>
      </c>
      <c r="S24" s="6" t="s">
        <v>17</v>
      </c>
      <c r="T24" s="6" t="s">
        <v>18</v>
      </c>
      <c r="U24" s="6" t="s">
        <v>19</v>
      </c>
      <c r="V24" s="6" t="s">
        <v>20</v>
      </c>
      <c r="W24" s="6" t="s">
        <v>21</v>
      </c>
      <c r="X24" s="6" t="s">
        <v>22</v>
      </c>
      <c r="Y24" s="6" t="s">
        <v>23</v>
      </c>
      <c r="Z24" s="6" t="s">
        <v>24</v>
      </c>
      <c r="AA24" s="6" t="s">
        <v>25</v>
      </c>
      <c r="AB24" s="6" t="s">
        <v>26</v>
      </c>
      <c r="AC24" s="6" t="s">
        <v>27</v>
      </c>
    </row>
    <row r="25" spans="1:29" x14ac:dyDescent="0.55000000000000004">
      <c r="A25" s="2" t="s">
        <v>29</v>
      </c>
      <c r="B25" s="3" t="s">
        <v>55</v>
      </c>
      <c r="C25" s="7">
        <v>2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1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1</v>
      </c>
      <c r="Z25" s="7">
        <v>0</v>
      </c>
      <c r="AA25" s="7">
        <v>0</v>
      </c>
      <c r="AB25" s="7">
        <v>0</v>
      </c>
      <c r="AC25" s="7">
        <v>0</v>
      </c>
    </row>
    <row r="26" spans="1:29" x14ac:dyDescent="0.55000000000000004">
      <c r="A26" s="2" t="s">
        <v>30</v>
      </c>
      <c r="B26" s="3" t="s">
        <v>55</v>
      </c>
      <c r="C26" s="7">
        <v>31</v>
      </c>
      <c r="D26" s="7">
        <v>0</v>
      </c>
      <c r="E26" s="7">
        <v>14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4</v>
      </c>
      <c r="N26" s="7">
        <v>1</v>
      </c>
      <c r="O26" s="7">
        <v>1</v>
      </c>
      <c r="P26" s="7">
        <v>4</v>
      </c>
      <c r="Q26" s="7">
        <v>0</v>
      </c>
      <c r="R26" s="7">
        <v>0</v>
      </c>
      <c r="S26" s="7">
        <v>0</v>
      </c>
      <c r="T26" s="7">
        <v>0</v>
      </c>
      <c r="U26" s="7">
        <v>3</v>
      </c>
      <c r="V26" s="7">
        <v>0</v>
      </c>
      <c r="W26" s="7">
        <v>0</v>
      </c>
      <c r="X26" s="7">
        <v>0</v>
      </c>
      <c r="Y26" s="7">
        <v>0</v>
      </c>
      <c r="Z26" s="7">
        <v>1</v>
      </c>
      <c r="AA26" s="7">
        <v>2</v>
      </c>
      <c r="AB26" s="7">
        <v>0</v>
      </c>
      <c r="AC26" s="7">
        <v>1</v>
      </c>
    </row>
    <row r="27" spans="1:29" x14ac:dyDescent="0.55000000000000004">
      <c r="A27" s="2" t="s">
        <v>31</v>
      </c>
      <c r="B27" s="3" t="s">
        <v>55</v>
      </c>
      <c r="C27" s="7">
        <v>13</v>
      </c>
      <c r="D27" s="7">
        <v>0</v>
      </c>
      <c r="E27" s="7">
        <v>4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2</v>
      </c>
      <c r="N27" s="7">
        <v>3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2</v>
      </c>
      <c r="V27" s="7">
        <v>0</v>
      </c>
      <c r="W27" s="7">
        <v>0</v>
      </c>
      <c r="X27" s="7">
        <v>0</v>
      </c>
      <c r="Y27" s="7">
        <v>1</v>
      </c>
      <c r="Z27" s="7">
        <v>1</v>
      </c>
      <c r="AA27" s="7">
        <v>0</v>
      </c>
      <c r="AB27" s="7">
        <v>0</v>
      </c>
      <c r="AC27" s="7">
        <v>0</v>
      </c>
    </row>
    <row r="28" spans="1:29" x14ac:dyDescent="0.55000000000000004">
      <c r="A28" s="2" t="s">
        <v>32</v>
      </c>
      <c r="B28" s="3" t="s">
        <v>55</v>
      </c>
      <c r="C28" s="7">
        <v>34</v>
      </c>
      <c r="D28" s="7">
        <v>1</v>
      </c>
      <c r="E28" s="7">
        <v>10</v>
      </c>
      <c r="F28" s="7">
        <v>3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1</v>
      </c>
      <c r="N28" s="7">
        <v>1</v>
      </c>
      <c r="O28" s="7">
        <v>0</v>
      </c>
      <c r="P28" s="7">
        <v>1</v>
      </c>
      <c r="Q28" s="7">
        <v>1</v>
      </c>
      <c r="R28" s="7">
        <v>0</v>
      </c>
      <c r="S28" s="7">
        <v>1</v>
      </c>
      <c r="T28" s="7">
        <v>3</v>
      </c>
      <c r="U28" s="7">
        <v>6</v>
      </c>
      <c r="V28" s="7">
        <v>0</v>
      </c>
      <c r="W28" s="7">
        <v>0</v>
      </c>
      <c r="X28" s="7">
        <v>1</v>
      </c>
      <c r="Y28" s="7">
        <v>2</v>
      </c>
      <c r="Z28" s="7">
        <v>1</v>
      </c>
      <c r="AA28" s="7">
        <v>0</v>
      </c>
      <c r="AB28" s="7">
        <v>2</v>
      </c>
      <c r="AC28" s="7">
        <v>0</v>
      </c>
    </row>
    <row r="29" spans="1:29" x14ac:dyDescent="0.55000000000000004">
      <c r="A29" s="2" t="s">
        <v>33</v>
      </c>
      <c r="B29" s="3" t="s">
        <v>55</v>
      </c>
      <c r="C29" s="7">
        <v>35</v>
      </c>
      <c r="D29" s="7">
        <v>1</v>
      </c>
      <c r="E29" s="7">
        <v>6</v>
      </c>
      <c r="F29" s="7">
        <v>4</v>
      </c>
      <c r="G29" s="7">
        <v>0</v>
      </c>
      <c r="H29" s="7">
        <v>0</v>
      </c>
      <c r="I29" s="7">
        <v>0</v>
      </c>
      <c r="J29" s="7">
        <v>1</v>
      </c>
      <c r="K29" s="7">
        <v>2</v>
      </c>
      <c r="L29" s="7">
        <v>0</v>
      </c>
      <c r="M29" s="7">
        <v>1</v>
      </c>
      <c r="N29" s="7">
        <v>1</v>
      </c>
      <c r="O29" s="7">
        <v>0</v>
      </c>
      <c r="P29" s="7">
        <v>0</v>
      </c>
      <c r="Q29" s="7">
        <v>0</v>
      </c>
      <c r="R29" s="7">
        <v>2</v>
      </c>
      <c r="S29" s="7">
        <v>0</v>
      </c>
      <c r="T29" s="7">
        <v>4</v>
      </c>
      <c r="U29" s="7">
        <v>2</v>
      </c>
      <c r="V29" s="7">
        <v>0</v>
      </c>
      <c r="W29" s="7">
        <v>3</v>
      </c>
      <c r="X29" s="7">
        <v>2</v>
      </c>
      <c r="Y29" s="7">
        <v>3</v>
      </c>
      <c r="Z29" s="7">
        <v>0</v>
      </c>
      <c r="AA29" s="7">
        <v>0</v>
      </c>
      <c r="AB29" s="7">
        <v>2</v>
      </c>
      <c r="AC29" s="7">
        <v>1</v>
      </c>
    </row>
    <row r="30" spans="1:29" x14ac:dyDescent="0.55000000000000004">
      <c r="A30" s="2" t="s">
        <v>34</v>
      </c>
      <c r="B30" s="3" t="s">
        <v>55</v>
      </c>
      <c r="C30" s="7">
        <v>109</v>
      </c>
      <c r="D30" s="7">
        <v>0</v>
      </c>
      <c r="E30" s="7">
        <v>33</v>
      </c>
      <c r="F30" s="7">
        <v>0</v>
      </c>
      <c r="G30" s="7">
        <v>0</v>
      </c>
      <c r="H30" s="7">
        <v>4</v>
      </c>
      <c r="I30" s="7">
        <v>2</v>
      </c>
      <c r="J30" s="7">
        <v>0</v>
      </c>
      <c r="K30" s="7">
        <v>0</v>
      </c>
      <c r="L30" s="7">
        <v>0</v>
      </c>
      <c r="M30" s="7">
        <v>15</v>
      </c>
      <c r="N30" s="7">
        <v>0</v>
      </c>
      <c r="O30" s="7">
        <v>6</v>
      </c>
      <c r="P30" s="7">
        <v>8</v>
      </c>
      <c r="Q30" s="7">
        <v>6</v>
      </c>
      <c r="R30" s="7">
        <v>0</v>
      </c>
      <c r="S30" s="7">
        <v>0</v>
      </c>
      <c r="T30" s="7">
        <v>0</v>
      </c>
      <c r="U30" s="7">
        <v>3</v>
      </c>
      <c r="V30" s="7">
        <v>0</v>
      </c>
      <c r="W30" s="7">
        <v>8</v>
      </c>
      <c r="X30" s="7">
        <v>12</v>
      </c>
      <c r="Y30" s="7">
        <v>0</v>
      </c>
      <c r="Z30" s="7">
        <v>8</v>
      </c>
      <c r="AA30" s="7">
        <v>4</v>
      </c>
      <c r="AB30" s="7">
        <v>0</v>
      </c>
      <c r="AC30" s="7">
        <v>0</v>
      </c>
    </row>
    <row r="31" spans="1:29" x14ac:dyDescent="0.55000000000000004">
      <c r="A31" s="2" t="s">
        <v>35</v>
      </c>
      <c r="B31" s="3" t="s">
        <v>55</v>
      </c>
      <c r="C31" s="7">
        <v>26</v>
      </c>
      <c r="D31" s="7">
        <v>0</v>
      </c>
      <c r="E31" s="7">
        <v>5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3</v>
      </c>
      <c r="N31" s="7">
        <v>0</v>
      </c>
      <c r="O31" s="7">
        <v>0</v>
      </c>
      <c r="P31" s="7">
        <v>2</v>
      </c>
      <c r="Q31" s="7">
        <v>0</v>
      </c>
      <c r="R31" s="7">
        <v>0</v>
      </c>
      <c r="S31" s="7">
        <v>0</v>
      </c>
      <c r="T31" s="7">
        <v>4</v>
      </c>
      <c r="U31" s="7">
        <v>3</v>
      </c>
      <c r="V31" s="7">
        <v>0</v>
      </c>
      <c r="W31" s="7">
        <v>2</v>
      </c>
      <c r="X31" s="7">
        <v>2</v>
      </c>
      <c r="Y31" s="7">
        <v>2</v>
      </c>
      <c r="Z31" s="7">
        <v>1</v>
      </c>
      <c r="AA31" s="7">
        <v>0</v>
      </c>
      <c r="AB31" s="7">
        <v>1</v>
      </c>
      <c r="AC31" s="7">
        <v>1</v>
      </c>
    </row>
    <row r="32" spans="1:29" x14ac:dyDescent="0.55000000000000004">
      <c r="A32" s="2" t="s">
        <v>36</v>
      </c>
      <c r="B32" s="3" t="s">
        <v>55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</row>
    <row r="34" spans="1:29" x14ac:dyDescent="0.55000000000000004">
      <c r="A34" s="1" t="s">
        <v>37</v>
      </c>
      <c r="B34" s="1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spans="1:29" x14ac:dyDescent="0.55000000000000004">
      <c r="A35" s="1" t="s">
        <v>28</v>
      </c>
      <c r="B35" s="1" t="s">
        <v>41</v>
      </c>
      <c r="D35" s="4" t="s">
        <v>20</v>
      </c>
      <c r="E35" s="4" t="s">
        <v>17</v>
      </c>
      <c r="F35" s="4" t="s">
        <v>16</v>
      </c>
      <c r="G35" s="4" t="s">
        <v>3</v>
      </c>
      <c r="H35" s="4" t="s">
        <v>14</v>
      </c>
      <c r="I35" s="4" t="s">
        <v>13</v>
      </c>
      <c r="J35" s="4" t="s">
        <v>11</v>
      </c>
      <c r="K35" s="4" t="s">
        <v>26</v>
      </c>
      <c r="L35" s="4" t="s">
        <v>9</v>
      </c>
      <c r="M35" s="4" t="s">
        <v>19</v>
      </c>
      <c r="N35" s="4" t="s">
        <v>27</v>
      </c>
      <c r="O35" s="4" t="s">
        <v>4</v>
      </c>
      <c r="P35" s="4" t="s">
        <v>25</v>
      </c>
      <c r="Q35" s="4" t="s">
        <v>8</v>
      </c>
      <c r="R35" s="4" t="s">
        <v>7</v>
      </c>
      <c r="S35" s="4" t="s">
        <v>18</v>
      </c>
      <c r="T35" s="4" t="s">
        <v>15</v>
      </c>
      <c r="U35" s="4" t="s">
        <v>12</v>
      </c>
      <c r="V35" s="4" t="s">
        <v>6</v>
      </c>
      <c r="W35" s="4" t="s">
        <v>21</v>
      </c>
      <c r="X35" s="4" t="s">
        <v>22</v>
      </c>
      <c r="Y35" s="4" t="s">
        <v>5</v>
      </c>
      <c r="Z35" s="4" t="s">
        <v>23</v>
      </c>
      <c r="AA35" s="4" t="s">
        <v>24</v>
      </c>
      <c r="AB35" s="4" t="s">
        <v>10</v>
      </c>
      <c r="AC35" s="4" t="s">
        <v>2</v>
      </c>
    </row>
    <row r="36" spans="1:29" x14ac:dyDescent="0.55000000000000004">
      <c r="A36" s="2" t="s">
        <v>29</v>
      </c>
      <c r="B36">
        <v>2</v>
      </c>
      <c r="D36" s="7">
        <f>HLOOKUP(D$35,$D$2:$AC$10,$B36,FALSE)</f>
        <v>0</v>
      </c>
      <c r="E36" s="7">
        <f t="shared" ref="E36:AC43" si="0">HLOOKUP(E$35,$D$2:$AC$10,$B36,FALSE)</f>
        <v>0</v>
      </c>
      <c r="F36" s="7">
        <f t="shared" si="0"/>
        <v>2</v>
      </c>
      <c r="G36" s="7">
        <f t="shared" si="0"/>
        <v>0</v>
      </c>
      <c r="H36" s="7">
        <f t="shared" si="0"/>
        <v>9</v>
      </c>
      <c r="I36" s="7">
        <f t="shared" si="0"/>
        <v>0</v>
      </c>
      <c r="J36" s="7">
        <f t="shared" si="0"/>
        <v>13</v>
      </c>
      <c r="K36" s="7">
        <f t="shared" si="0"/>
        <v>0</v>
      </c>
      <c r="L36" s="7">
        <f t="shared" si="0"/>
        <v>7</v>
      </c>
      <c r="M36" s="7">
        <f t="shared" si="0"/>
        <v>8</v>
      </c>
      <c r="N36" s="7">
        <f t="shared" si="0"/>
        <v>9</v>
      </c>
      <c r="O36" s="7">
        <f t="shared" si="0"/>
        <v>0</v>
      </c>
      <c r="P36" s="7">
        <f t="shared" si="0"/>
        <v>0</v>
      </c>
      <c r="Q36" s="7">
        <f t="shared" si="0"/>
        <v>0</v>
      </c>
      <c r="R36" s="7">
        <f t="shared" si="0"/>
        <v>1</v>
      </c>
      <c r="S36" s="7">
        <f t="shared" si="0"/>
        <v>3</v>
      </c>
      <c r="T36" s="7">
        <f t="shared" si="0"/>
        <v>1</v>
      </c>
      <c r="U36" s="7">
        <f t="shared" si="0"/>
        <v>4</v>
      </c>
      <c r="V36" s="7">
        <f t="shared" si="0"/>
        <v>1</v>
      </c>
      <c r="W36" s="7">
        <f t="shared" si="0"/>
        <v>6</v>
      </c>
      <c r="X36" s="7">
        <f t="shared" si="0"/>
        <v>0</v>
      </c>
      <c r="Y36" s="7">
        <f t="shared" si="0"/>
        <v>1</v>
      </c>
      <c r="Z36" s="7">
        <f t="shared" si="0"/>
        <v>7</v>
      </c>
      <c r="AA36" s="7">
        <f t="shared" si="0"/>
        <v>0</v>
      </c>
      <c r="AB36" s="7">
        <f t="shared" si="0"/>
        <v>0</v>
      </c>
      <c r="AC36" s="7">
        <f t="shared" si="0"/>
        <v>0</v>
      </c>
    </row>
    <row r="37" spans="1:29" x14ac:dyDescent="0.55000000000000004">
      <c r="A37" s="2" t="s">
        <v>30</v>
      </c>
      <c r="B37">
        <v>3</v>
      </c>
      <c r="D37" s="7">
        <f t="shared" ref="D37:D42" si="1">HLOOKUP(D$35,$D$2:$AC$10,$B37,FALSE)</f>
        <v>0</v>
      </c>
      <c r="E37" s="7">
        <f t="shared" si="0"/>
        <v>1</v>
      </c>
      <c r="F37" s="7">
        <f t="shared" si="0"/>
        <v>4</v>
      </c>
      <c r="G37" s="7">
        <f t="shared" si="0"/>
        <v>126</v>
      </c>
      <c r="H37" s="7">
        <f t="shared" si="0"/>
        <v>22</v>
      </c>
      <c r="I37" s="7">
        <f t="shared" si="0"/>
        <v>5</v>
      </c>
      <c r="J37" s="7">
        <f t="shared" si="0"/>
        <v>17</v>
      </c>
      <c r="K37" s="7">
        <f t="shared" si="0"/>
        <v>0</v>
      </c>
      <c r="L37" s="7">
        <f t="shared" si="0"/>
        <v>4</v>
      </c>
      <c r="M37" s="7">
        <f t="shared" si="0"/>
        <v>6</v>
      </c>
      <c r="N37" s="7">
        <f t="shared" si="0"/>
        <v>11</v>
      </c>
      <c r="O37" s="7">
        <f t="shared" si="0"/>
        <v>6</v>
      </c>
      <c r="P37" s="7">
        <f t="shared" si="0"/>
        <v>32</v>
      </c>
      <c r="Q37" s="7">
        <f t="shared" si="0"/>
        <v>1</v>
      </c>
      <c r="R37" s="7">
        <f t="shared" si="0"/>
        <v>0</v>
      </c>
      <c r="S37" s="7">
        <f t="shared" si="0"/>
        <v>0</v>
      </c>
      <c r="T37" s="7">
        <f t="shared" si="0"/>
        <v>9</v>
      </c>
      <c r="U37" s="7">
        <f t="shared" si="0"/>
        <v>14</v>
      </c>
      <c r="V37" s="7">
        <f t="shared" si="0"/>
        <v>0</v>
      </c>
      <c r="W37" s="7">
        <f t="shared" si="0"/>
        <v>11</v>
      </c>
      <c r="X37" s="7">
        <f t="shared" si="0"/>
        <v>0</v>
      </c>
      <c r="Y37" s="7">
        <f t="shared" si="0"/>
        <v>4</v>
      </c>
      <c r="Z37" s="7">
        <f t="shared" si="0"/>
        <v>86</v>
      </c>
      <c r="AA37" s="7">
        <f t="shared" si="0"/>
        <v>0</v>
      </c>
      <c r="AB37" s="7">
        <f t="shared" si="0"/>
        <v>0</v>
      </c>
      <c r="AC37" s="7">
        <f t="shared" si="0"/>
        <v>0</v>
      </c>
    </row>
    <row r="38" spans="1:29" x14ac:dyDescent="0.55000000000000004">
      <c r="A38" s="2" t="s">
        <v>31</v>
      </c>
      <c r="B38">
        <v>4</v>
      </c>
      <c r="D38" s="7">
        <f t="shared" si="1"/>
        <v>0</v>
      </c>
      <c r="E38" s="7">
        <f t="shared" si="0"/>
        <v>0</v>
      </c>
      <c r="F38" s="7">
        <f t="shared" si="0"/>
        <v>0</v>
      </c>
      <c r="G38" s="7">
        <f t="shared" si="0"/>
        <v>0</v>
      </c>
      <c r="H38" s="7">
        <f t="shared" si="0"/>
        <v>0</v>
      </c>
      <c r="I38" s="7">
        <f t="shared" si="0"/>
        <v>0</v>
      </c>
      <c r="J38" s="7">
        <f t="shared" si="0"/>
        <v>0</v>
      </c>
      <c r="K38" s="7">
        <f t="shared" si="0"/>
        <v>0</v>
      </c>
      <c r="L38" s="7">
        <f t="shared" si="0"/>
        <v>0</v>
      </c>
      <c r="M38" s="7">
        <f t="shared" si="0"/>
        <v>0</v>
      </c>
      <c r="N38" s="7">
        <f t="shared" si="0"/>
        <v>0</v>
      </c>
      <c r="O38" s="7">
        <f t="shared" si="0"/>
        <v>0</v>
      </c>
      <c r="P38" s="7">
        <f t="shared" si="0"/>
        <v>0</v>
      </c>
      <c r="Q38" s="7">
        <f t="shared" si="0"/>
        <v>0</v>
      </c>
      <c r="R38" s="7">
        <f t="shared" si="0"/>
        <v>0</v>
      </c>
      <c r="S38" s="7">
        <f t="shared" si="0"/>
        <v>0</v>
      </c>
      <c r="T38" s="7">
        <f t="shared" si="0"/>
        <v>0</v>
      </c>
      <c r="U38" s="7">
        <f t="shared" si="0"/>
        <v>0</v>
      </c>
      <c r="V38" s="7">
        <f t="shared" si="0"/>
        <v>0</v>
      </c>
      <c r="W38" s="7">
        <f t="shared" si="0"/>
        <v>0</v>
      </c>
      <c r="X38" s="7">
        <f t="shared" si="0"/>
        <v>0</v>
      </c>
      <c r="Y38" s="7">
        <f t="shared" si="0"/>
        <v>0</v>
      </c>
      <c r="Z38" s="7">
        <f t="shared" si="0"/>
        <v>1</v>
      </c>
      <c r="AA38" s="7">
        <f t="shared" si="0"/>
        <v>0</v>
      </c>
      <c r="AB38" s="7">
        <f t="shared" si="0"/>
        <v>0</v>
      </c>
      <c r="AC38" s="7">
        <f t="shared" si="0"/>
        <v>0</v>
      </c>
    </row>
    <row r="39" spans="1:29" x14ac:dyDescent="0.55000000000000004">
      <c r="A39" s="2" t="s">
        <v>32</v>
      </c>
      <c r="B39">
        <v>5</v>
      </c>
      <c r="D39" s="7">
        <f t="shared" si="1"/>
        <v>0</v>
      </c>
      <c r="E39" s="7">
        <f t="shared" si="0"/>
        <v>15</v>
      </c>
      <c r="F39" s="7">
        <f t="shared" si="0"/>
        <v>16</v>
      </c>
      <c r="G39" s="7">
        <f t="shared" si="0"/>
        <v>889</v>
      </c>
      <c r="H39" s="7">
        <f t="shared" si="0"/>
        <v>105</v>
      </c>
      <c r="I39" s="7">
        <f t="shared" si="0"/>
        <v>60</v>
      </c>
      <c r="J39" s="7">
        <f t="shared" si="0"/>
        <v>250</v>
      </c>
      <c r="K39" s="7">
        <f t="shared" si="0"/>
        <v>113</v>
      </c>
      <c r="L39" s="7">
        <f t="shared" si="0"/>
        <v>50</v>
      </c>
      <c r="M39" s="7">
        <f t="shared" si="0"/>
        <v>91</v>
      </c>
      <c r="N39" s="7">
        <f t="shared" si="0"/>
        <v>35</v>
      </c>
      <c r="O39" s="7">
        <f t="shared" si="0"/>
        <v>243</v>
      </c>
      <c r="P39" s="7">
        <f t="shared" si="0"/>
        <v>98</v>
      </c>
      <c r="Q39" s="7">
        <f t="shared" si="0"/>
        <v>24</v>
      </c>
      <c r="R39" s="7">
        <f t="shared" si="0"/>
        <v>7</v>
      </c>
      <c r="S39" s="7">
        <f t="shared" si="0"/>
        <v>427</v>
      </c>
      <c r="T39" s="7">
        <f t="shared" si="0"/>
        <v>53</v>
      </c>
      <c r="U39" s="7">
        <f t="shared" si="0"/>
        <v>140</v>
      </c>
      <c r="V39" s="7">
        <f t="shared" si="0"/>
        <v>34</v>
      </c>
      <c r="W39" s="7">
        <f t="shared" si="0"/>
        <v>229</v>
      </c>
      <c r="X39" s="7">
        <f t="shared" si="0"/>
        <v>228</v>
      </c>
      <c r="Y39" s="7">
        <f t="shared" si="0"/>
        <v>5</v>
      </c>
      <c r="Z39" s="7">
        <f t="shared" si="0"/>
        <v>250</v>
      </c>
      <c r="AA39" s="7">
        <f t="shared" si="0"/>
        <v>253</v>
      </c>
      <c r="AB39" s="7">
        <f t="shared" si="0"/>
        <v>0</v>
      </c>
      <c r="AC39" s="7">
        <f t="shared" si="0"/>
        <v>60</v>
      </c>
    </row>
    <row r="40" spans="1:29" x14ac:dyDescent="0.55000000000000004">
      <c r="A40" s="2" t="s">
        <v>33</v>
      </c>
      <c r="B40">
        <v>6</v>
      </c>
      <c r="D40" s="7">
        <f t="shared" si="1"/>
        <v>0</v>
      </c>
      <c r="E40" s="7">
        <f t="shared" si="0"/>
        <v>7</v>
      </c>
      <c r="F40" s="7">
        <f t="shared" si="0"/>
        <v>12</v>
      </c>
      <c r="G40" s="7">
        <f t="shared" si="0"/>
        <v>170</v>
      </c>
      <c r="H40" s="7">
        <f t="shared" si="0"/>
        <v>15</v>
      </c>
      <c r="I40" s="7">
        <f t="shared" si="0"/>
        <v>20</v>
      </c>
      <c r="J40" s="7">
        <f t="shared" si="0"/>
        <v>94</v>
      </c>
      <c r="K40" s="7">
        <f t="shared" si="0"/>
        <v>9</v>
      </c>
      <c r="L40" s="7">
        <f t="shared" si="0"/>
        <v>1</v>
      </c>
      <c r="M40" s="7">
        <f t="shared" si="0"/>
        <v>56</v>
      </c>
      <c r="N40" s="7">
        <f t="shared" si="0"/>
        <v>3</v>
      </c>
      <c r="O40" s="7">
        <f t="shared" si="0"/>
        <v>187</v>
      </c>
      <c r="P40" s="7">
        <f t="shared" si="0"/>
        <v>2</v>
      </c>
      <c r="Q40" s="7">
        <f t="shared" si="0"/>
        <v>6</v>
      </c>
      <c r="R40" s="7">
        <f t="shared" si="0"/>
        <v>2</v>
      </c>
      <c r="S40" s="7">
        <f t="shared" si="0"/>
        <v>241</v>
      </c>
      <c r="T40" s="7">
        <f t="shared" si="0"/>
        <v>15</v>
      </c>
      <c r="U40" s="7">
        <f t="shared" si="0"/>
        <v>29</v>
      </c>
      <c r="V40" s="7">
        <f t="shared" si="0"/>
        <v>7</v>
      </c>
      <c r="W40" s="7">
        <f t="shared" si="0"/>
        <v>92</v>
      </c>
      <c r="X40" s="7">
        <f t="shared" si="0"/>
        <v>8</v>
      </c>
      <c r="Y40" s="7">
        <f t="shared" si="0"/>
        <v>4</v>
      </c>
      <c r="Z40" s="7">
        <f t="shared" si="0"/>
        <v>93</v>
      </c>
      <c r="AA40" s="7">
        <f t="shared" si="0"/>
        <v>11</v>
      </c>
      <c r="AB40" s="7">
        <f t="shared" si="0"/>
        <v>0</v>
      </c>
      <c r="AC40" s="7">
        <f t="shared" si="0"/>
        <v>27</v>
      </c>
    </row>
    <row r="41" spans="1:29" x14ac:dyDescent="0.55000000000000004">
      <c r="A41" s="2" t="s">
        <v>34</v>
      </c>
      <c r="B41">
        <v>7</v>
      </c>
      <c r="D41" s="7">
        <f t="shared" si="1"/>
        <v>0</v>
      </c>
      <c r="E41" s="7">
        <f t="shared" si="0"/>
        <v>0</v>
      </c>
      <c r="F41" s="7">
        <f t="shared" si="0"/>
        <v>4</v>
      </c>
      <c r="G41" s="7">
        <f t="shared" si="0"/>
        <v>174</v>
      </c>
      <c r="H41" s="7">
        <f t="shared" si="0"/>
        <v>20</v>
      </c>
      <c r="I41" s="7">
        <f t="shared" si="0"/>
        <v>35</v>
      </c>
      <c r="J41" s="7">
        <f t="shared" si="0"/>
        <v>57</v>
      </c>
      <c r="K41" s="7">
        <f t="shared" si="0"/>
        <v>0</v>
      </c>
      <c r="L41" s="7">
        <f t="shared" si="0"/>
        <v>4</v>
      </c>
      <c r="M41" s="7">
        <f t="shared" si="0"/>
        <v>2</v>
      </c>
      <c r="N41" s="7">
        <f t="shared" si="0"/>
        <v>3</v>
      </c>
      <c r="O41" s="7">
        <f t="shared" si="0"/>
        <v>0</v>
      </c>
      <c r="P41" s="7">
        <f t="shared" si="0"/>
        <v>4</v>
      </c>
      <c r="Q41" s="7">
        <f t="shared" si="0"/>
        <v>1</v>
      </c>
      <c r="R41" s="7">
        <f t="shared" si="0"/>
        <v>9</v>
      </c>
      <c r="S41" s="7">
        <f t="shared" si="0"/>
        <v>2</v>
      </c>
      <c r="T41" s="7">
        <f t="shared" si="0"/>
        <v>10</v>
      </c>
      <c r="U41" s="7">
        <f t="shared" si="0"/>
        <v>3</v>
      </c>
      <c r="V41" s="7">
        <f t="shared" si="0"/>
        <v>63</v>
      </c>
      <c r="W41" s="7">
        <f t="shared" si="0"/>
        <v>12</v>
      </c>
      <c r="X41" s="7">
        <f t="shared" si="0"/>
        <v>3</v>
      </c>
      <c r="Y41" s="7">
        <f t="shared" si="0"/>
        <v>1</v>
      </c>
      <c r="Z41" s="7">
        <f t="shared" si="0"/>
        <v>0</v>
      </c>
      <c r="AA41" s="7">
        <f t="shared" si="0"/>
        <v>6</v>
      </c>
      <c r="AB41" s="7">
        <f t="shared" si="0"/>
        <v>0</v>
      </c>
      <c r="AC41" s="7">
        <f t="shared" si="0"/>
        <v>2</v>
      </c>
    </row>
    <row r="42" spans="1:29" x14ac:dyDescent="0.55000000000000004">
      <c r="A42" s="2" t="s">
        <v>35</v>
      </c>
      <c r="B42">
        <v>8</v>
      </c>
      <c r="D42" s="7">
        <f t="shared" si="1"/>
        <v>0</v>
      </c>
      <c r="E42" s="7">
        <f t="shared" si="0"/>
        <v>5</v>
      </c>
      <c r="F42" s="7">
        <f t="shared" si="0"/>
        <v>14</v>
      </c>
      <c r="G42" s="7">
        <f t="shared" si="0"/>
        <v>58</v>
      </c>
      <c r="H42" s="7">
        <f t="shared" si="0"/>
        <v>23</v>
      </c>
      <c r="I42" s="7">
        <f t="shared" si="0"/>
        <v>5</v>
      </c>
      <c r="J42" s="7">
        <f t="shared" si="0"/>
        <v>19</v>
      </c>
      <c r="K42" s="7">
        <f t="shared" si="0"/>
        <v>39</v>
      </c>
      <c r="L42" s="7">
        <f t="shared" si="0"/>
        <v>8</v>
      </c>
      <c r="M42" s="7">
        <f t="shared" si="0"/>
        <v>20</v>
      </c>
      <c r="N42" s="7">
        <f t="shared" si="0"/>
        <v>28</v>
      </c>
      <c r="O42" s="7">
        <f t="shared" si="0"/>
        <v>14</v>
      </c>
      <c r="P42" s="7">
        <f t="shared" si="0"/>
        <v>20</v>
      </c>
      <c r="Q42" s="7">
        <f t="shared" si="0"/>
        <v>1</v>
      </c>
      <c r="R42" s="7">
        <f t="shared" si="0"/>
        <v>0</v>
      </c>
      <c r="S42" s="7">
        <f t="shared" si="0"/>
        <v>42</v>
      </c>
      <c r="T42" s="7">
        <f t="shared" si="0"/>
        <v>0</v>
      </c>
      <c r="U42" s="7">
        <f t="shared" si="0"/>
        <v>16</v>
      </c>
      <c r="V42" s="7">
        <f t="shared" si="0"/>
        <v>5</v>
      </c>
      <c r="W42" s="7">
        <f t="shared" si="0"/>
        <v>19</v>
      </c>
      <c r="X42" s="7">
        <f t="shared" si="0"/>
        <v>28</v>
      </c>
      <c r="Y42" s="7">
        <f t="shared" si="0"/>
        <v>0</v>
      </c>
      <c r="Z42" s="7">
        <f t="shared" si="0"/>
        <v>120</v>
      </c>
      <c r="AA42" s="7">
        <f t="shared" si="0"/>
        <v>10</v>
      </c>
      <c r="AB42" s="7">
        <f t="shared" si="0"/>
        <v>0</v>
      </c>
      <c r="AC42" s="7">
        <f t="shared" si="0"/>
        <v>0</v>
      </c>
    </row>
    <row r="43" spans="1:29" x14ac:dyDescent="0.55000000000000004">
      <c r="A43" s="2" t="s">
        <v>36</v>
      </c>
      <c r="B43">
        <v>9</v>
      </c>
      <c r="D43" s="7">
        <f>HLOOKUP(D$35,$D$2:$AC$10,$B43,FALSE)</f>
        <v>0</v>
      </c>
      <c r="E43" s="7">
        <f t="shared" si="0"/>
        <v>0</v>
      </c>
      <c r="F43" s="7">
        <f t="shared" si="0"/>
        <v>0</v>
      </c>
      <c r="G43" s="7">
        <f t="shared" si="0"/>
        <v>1</v>
      </c>
      <c r="H43" s="7">
        <f t="shared" si="0"/>
        <v>0</v>
      </c>
      <c r="I43" s="7">
        <f t="shared" si="0"/>
        <v>3</v>
      </c>
      <c r="J43" s="7">
        <f t="shared" si="0"/>
        <v>0</v>
      </c>
      <c r="K43" s="7">
        <f t="shared" si="0"/>
        <v>2</v>
      </c>
      <c r="L43" s="7">
        <f t="shared" si="0"/>
        <v>0</v>
      </c>
      <c r="M43" s="7">
        <f t="shared" si="0"/>
        <v>2</v>
      </c>
      <c r="N43" s="7">
        <f t="shared" si="0"/>
        <v>0</v>
      </c>
      <c r="O43" s="7">
        <f t="shared" si="0"/>
        <v>0</v>
      </c>
      <c r="P43" s="7">
        <f t="shared" si="0"/>
        <v>0</v>
      </c>
      <c r="Q43" s="7">
        <f t="shared" si="0"/>
        <v>0</v>
      </c>
      <c r="R43" s="7">
        <f t="shared" si="0"/>
        <v>0</v>
      </c>
      <c r="S43" s="7">
        <f t="shared" si="0"/>
        <v>0</v>
      </c>
      <c r="T43" s="7">
        <f t="shared" si="0"/>
        <v>0</v>
      </c>
      <c r="U43" s="7">
        <f t="shared" si="0"/>
        <v>0</v>
      </c>
      <c r="V43" s="7">
        <f t="shared" si="0"/>
        <v>0</v>
      </c>
      <c r="W43" s="7">
        <f t="shared" si="0"/>
        <v>1</v>
      </c>
      <c r="X43" s="7">
        <f t="shared" si="0"/>
        <v>0</v>
      </c>
      <c r="Y43" s="7">
        <f t="shared" si="0"/>
        <v>0</v>
      </c>
      <c r="Z43" s="7">
        <f t="shared" si="0"/>
        <v>0</v>
      </c>
      <c r="AA43" s="7">
        <f t="shared" si="0"/>
        <v>0</v>
      </c>
      <c r="AB43" s="7">
        <f t="shared" si="0"/>
        <v>0</v>
      </c>
      <c r="AC43" s="7">
        <f t="shared" si="0"/>
        <v>0</v>
      </c>
    </row>
    <row r="44" spans="1:29" x14ac:dyDescent="0.55000000000000004">
      <c r="A44" s="2"/>
    </row>
    <row r="45" spans="1:29" x14ac:dyDescent="0.55000000000000004">
      <c r="A45" s="1" t="s">
        <v>39</v>
      </c>
      <c r="B45" s="1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spans="1:29" x14ac:dyDescent="0.55000000000000004">
      <c r="A46" s="1" t="s">
        <v>28</v>
      </c>
      <c r="B46" s="1" t="s">
        <v>41</v>
      </c>
      <c r="D46" s="4" t="s">
        <v>20</v>
      </c>
      <c r="E46" s="4" t="s">
        <v>17</v>
      </c>
      <c r="F46" s="4" t="s">
        <v>16</v>
      </c>
      <c r="G46" s="4" t="s">
        <v>3</v>
      </c>
      <c r="H46" s="4" t="s">
        <v>14</v>
      </c>
      <c r="I46" s="4" t="s">
        <v>13</v>
      </c>
      <c r="J46" s="4" t="s">
        <v>11</v>
      </c>
      <c r="K46" s="4" t="s">
        <v>26</v>
      </c>
      <c r="L46" s="4" t="s">
        <v>9</v>
      </c>
      <c r="M46" s="4" t="s">
        <v>19</v>
      </c>
      <c r="N46" s="4" t="s">
        <v>27</v>
      </c>
      <c r="O46" s="4" t="s">
        <v>4</v>
      </c>
      <c r="P46" s="4" t="s">
        <v>25</v>
      </c>
      <c r="Q46" s="4" t="s">
        <v>8</v>
      </c>
      <c r="R46" s="4" t="s">
        <v>7</v>
      </c>
      <c r="S46" s="4" t="s">
        <v>18</v>
      </c>
      <c r="T46" s="4" t="s">
        <v>15</v>
      </c>
      <c r="U46" s="4" t="s">
        <v>12</v>
      </c>
      <c r="V46" s="4" t="s">
        <v>6</v>
      </c>
      <c r="W46" s="4" t="s">
        <v>21</v>
      </c>
      <c r="X46" s="4" t="s">
        <v>22</v>
      </c>
      <c r="Y46" s="4" t="s">
        <v>5</v>
      </c>
      <c r="Z46" s="4" t="s">
        <v>23</v>
      </c>
      <c r="AA46" s="4" t="s">
        <v>24</v>
      </c>
      <c r="AB46" s="4" t="s">
        <v>10</v>
      </c>
      <c r="AC46" s="4" t="s">
        <v>2</v>
      </c>
    </row>
    <row r="47" spans="1:29" x14ac:dyDescent="0.55000000000000004">
      <c r="A47" s="2" t="s">
        <v>29</v>
      </c>
      <c r="B47">
        <v>2</v>
      </c>
      <c r="D47" s="7">
        <f>HLOOKUP(D$46,$D$13:$AC$21,$B47,FALSE)</f>
        <v>0</v>
      </c>
      <c r="E47" s="7">
        <f t="shared" ref="E47:AC54" si="2">HLOOKUP(E$46,$D$13:$AC$21,$B47,FALSE)</f>
        <v>0</v>
      </c>
      <c r="F47" s="7">
        <f t="shared" si="2"/>
        <v>0</v>
      </c>
      <c r="G47" s="7">
        <f t="shared" si="2"/>
        <v>0</v>
      </c>
      <c r="H47" s="7">
        <f t="shared" si="2"/>
        <v>4</v>
      </c>
      <c r="I47" s="7">
        <f t="shared" si="2"/>
        <v>0</v>
      </c>
      <c r="J47" s="7">
        <f t="shared" si="2"/>
        <v>4</v>
      </c>
      <c r="K47" s="7">
        <f t="shared" si="2"/>
        <v>0</v>
      </c>
      <c r="L47" s="7">
        <f t="shared" si="2"/>
        <v>0</v>
      </c>
      <c r="M47" s="7">
        <f t="shared" si="2"/>
        <v>6</v>
      </c>
      <c r="N47" s="7">
        <f t="shared" si="2"/>
        <v>0</v>
      </c>
      <c r="O47" s="7">
        <f t="shared" si="2"/>
        <v>0</v>
      </c>
      <c r="P47" s="7">
        <f t="shared" si="2"/>
        <v>0</v>
      </c>
      <c r="Q47" s="7">
        <f t="shared" si="2"/>
        <v>0</v>
      </c>
      <c r="R47" s="7">
        <f t="shared" si="2"/>
        <v>0</v>
      </c>
      <c r="S47" s="7">
        <f t="shared" si="2"/>
        <v>0</v>
      </c>
      <c r="T47" s="7">
        <f t="shared" si="2"/>
        <v>0</v>
      </c>
      <c r="U47" s="7">
        <f t="shared" si="2"/>
        <v>1</v>
      </c>
      <c r="V47" s="7">
        <f t="shared" si="2"/>
        <v>0</v>
      </c>
      <c r="W47" s="7">
        <f t="shared" si="2"/>
        <v>0</v>
      </c>
      <c r="X47" s="7">
        <f t="shared" si="2"/>
        <v>0</v>
      </c>
      <c r="Y47" s="7">
        <f t="shared" si="2"/>
        <v>0</v>
      </c>
      <c r="Z47" s="7">
        <f t="shared" si="2"/>
        <v>0</v>
      </c>
      <c r="AA47" s="7">
        <f t="shared" si="2"/>
        <v>0</v>
      </c>
      <c r="AB47" s="7">
        <f t="shared" si="2"/>
        <v>0</v>
      </c>
      <c r="AC47" s="7">
        <f t="shared" si="2"/>
        <v>0</v>
      </c>
    </row>
    <row r="48" spans="1:29" x14ac:dyDescent="0.55000000000000004">
      <c r="A48" s="2" t="s">
        <v>30</v>
      </c>
      <c r="B48">
        <v>3</v>
      </c>
      <c r="D48" s="7">
        <f t="shared" ref="D48:S54" si="3">HLOOKUP(D$46,$D$13:$AC$21,$B48,FALSE)</f>
        <v>0</v>
      </c>
      <c r="E48" s="7">
        <f t="shared" si="3"/>
        <v>0</v>
      </c>
      <c r="F48" s="7">
        <f t="shared" si="3"/>
        <v>2</v>
      </c>
      <c r="G48" s="7">
        <f t="shared" si="3"/>
        <v>51</v>
      </c>
      <c r="H48" s="7">
        <f t="shared" si="3"/>
        <v>9</v>
      </c>
      <c r="I48" s="7">
        <f t="shared" si="3"/>
        <v>7</v>
      </c>
      <c r="J48" s="7">
        <f t="shared" si="3"/>
        <v>10</v>
      </c>
      <c r="K48" s="7">
        <f t="shared" si="3"/>
        <v>0</v>
      </c>
      <c r="L48" s="7">
        <f t="shared" si="3"/>
        <v>1</v>
      </c>
      <c r="M48" s="7">
        <f t="shared" si="3"/>
        <v>16</v>
      </c>
      <c r="N48" s="7">
        <f t="shared" si="3"/>
        <v>5</v>
      </c>
      <c r="O48" s="7">
        <f t="shared" si="3"/>
        <v>12</v>
      </c>
      <c r="P48" s="7">
        <f t="shared" si="3"/>
        <v>2</v>
      </c>
      <c r="Q48" s="7">
        <f t="shared" si="3"/>
        <v>3</v>
      </c>
      <c r="R48" s="7">
        <f t="shared" si="3"/>
        <v>0</v>
      </c>
      <c r="S48" s="7">
        <f t="shared" si="3"/>
        <v>0</v>
      </c>
      <c r="T48" s="7">
        <f t="shared" si="2"/>
        <v>2</v>
      </c>
      <c r="U48" s="7">
        <f t="shared" si="2"/>
        <v>9</v>
      </c>
      <c r="V48" s="7">
        <f t="shared" si="2"/>
        <v>1</v>
      </c>
      <c r="W48" s="7">
        <f t="shared" si="2"/>
        <v>2</v>
      </c>
      <c r="X48" s="7">
        <f t="shared" si="2"/>
        <v>0</v>
      </c>
      <c r="Y48" s="7">
        <f t="shared" si="2"/>
        <v>4</v>
      </c>
      <c r="Z48" s="7">
        <f t="shared" si="2"/>
        <v>24</v>
      </c>
      <c r="AA48" s="7">
        <f t="shared" si="2"/>
        <v>2</v>
      </c>
      <c r="AB48" s="7">
        <f t="shared" si="2"/>
        <v>0</v>
      </c>
      <c r="AC48" s="7">
        <f t="shared" si="2"/>
        <v>0</v>
      </c>
    </row>
    <row r="49" spans="1:29" x14ac:dyDescent="0.55000000000000004">
      <c r="A49" s="2" t="s">
        <v>31</v>
      </c>
      <c r="B49">
        <v>4</v>
      </c>
      <c r="D49" s="7">
        <f t="shared" si="3"/>
        <v>0</v>
      </c>
      <c r="E49" s="7">
        <f t="shared" si="2"/>
        <v>0</v>
      </c>
      <c r="F49" s="7">
        <f t="shared" si="2"/>
        <v>0</v>
      </c>
      <c r="G49" s="7">
        <f t="shared" si="2"/>
        <v>4</v>
      </c>
      <c r="H49" s="7">
        <f t="shared" si="2"/>
        <v>0</v>
      </c>
      <c r="I49" s="7">
        <f t="shared" si="2"/>
        <v>3</v>
      </c>
      <c r="J49" s="7">
        <f t="shared" si="2"/>
        <v>2</v>
      </c>
      <c r="K49" s="7">
        <f t="shared" si="2"/>
        <v>0</v>
      </c>
      <c r="L49" s="7">
        <f t="shared" si="2"/>
        <v>0</v>
      </c>
      <c r="M49" s="7">
        <f t="shared" si="2"/>
        <v>0</v>
      </c>
      <c r="N49" s="7">
        <f t="shared" si="2"/>
        <v>0</v>
      </c>
      <c r="O49" s="7">
        <f t="shared" si="2"/>
        <v>0</v>
      </c>
      <c r="P49" s="7">
        <f t="shared" si="2"/>
        <v>0</v>
      </c>
      <c r="Q49" s="7">
        <f t="shared" si="2"/>
        <v>0</v>
      </c>
      <c r="R49" s="7">
        <f t="shared" si="2"/>
        <v>0</v>
      </c>
      <c r="S49" s="7">
        <f t="shared" si="2"/>
        <v>0</v>
      </c>
      <c r="T49" s="7">
        <f t="shared" si="2"/>
        <v>0</v>
      </c>
      <c r="U49" s="7">
        <f t="shared" si="2"/>
        <v>0</v>
      </c>
      <c r="V49" s="7">
        <f t="shared" si="2"/>
        <v>0</v>
      </c>
      <c r="W49" s="7">
        <f t="shared" si="2"/>
        <v>0</v>
      </c>
      <c r="X49" s="7">
        <f t="shared" si="2"/>
        <v>0</v>
      </c>
      <c r="Y49" s="7">
        <f t="shared" si="2"/>
        <v>0</v>
      </c>
      <c r="Z49" s="7">
        <f t="shared" si="2"/>
        <v>1</v>
      </c>
      <c r="AA49" s="7">
        <f t="shared" si="2"/>
        <v>0</v>
      </c>
      <c r="AB49" s="7">
        <f t="shared" si="2"/>
        <v>0</v>
      </c>
      <c r="AC49" s="7">
        <f t="shared" si="2"/>
        <v>0</v>
      </c>
    </row>
    <row r="50" spans="1:29" x14ac:dyDescent="0.55000000000000004">
      <c r="A50" s="2" t="s">
        <v>32</v>
      </c>
      <c r="B50">
        <v>5</v>
      </c>
      <c r="D50" s="7">
        <f t="shared" si="3"/>
        <v>0</v>
      </c>
      <c r="E50" s="7">
        <f t="shared" si="2"/>
        <v>0</v>
      </c>
      <c r="F50" s="7">
        <f t="shared" si="2"/>
        <v>0</v>
      </c>
      <c r="G50" s="7">
        <f t="shared" si="2"/>
        <v>109</v>
      </c>
      <c r="H50" s="7">
        <f t="shared" si="2"/>
        <v>7</v>
      </c>
      <c r="I50" s="7">
        <f t="shared" si="2"/>
        <v>10</v>
      </c>
      <c r="J50" s="7">
        <f t="shared" si="2"/>
        <v>21</v>
      </c>
      <c r="K50" s="7">
        <f t="shared" si="2"/>
        <v>1</v>
      </c>
      <c r="L50" s="7">
        <f t="shared" si="2"/>
        <v>1</v>
      </c>
      <c r="M50" s="7">
        <f t="shared" si="2"/>
        <v>23</v>
      </c>
      <c r="N50" s="7">
        <f t="shared" si="2"/>
        <v>1</v>
      </c>
      <c r="O50" s="7">
        <f t="shared" si="2"/>
        <v>55</v>
      </c>
      <c r="P50" s="7">
        <f t="shared" si="2"/>
        <v>0</v>
      </c>
      <c r="Q50" s="7">
        <f t="shared" si="2"/>
        <v>15</v>
      </c>
      <c r="R50" s="7">
        <f t="shared" si="2"/>
        <v>2</v>
      </c>
      <c r="S50" s="7">
        <f t="shared" si="2"/>
        <v>13</v>
      </c>
      <c r="T50" s="7">
        <f t="shared" si="2"/>
        <v>2</v>
      </c>
      <c r="U50" s="7">
        <f t="shared" si="2"/>
        <v>9</v>
      </c>
      <c r="V50" s="7">
        <f t="shared" si="2"/>
        <v>9</v>
      </c>
      <c r="W50" s="7">
        <f t="shared" si="2"/>
        <v>15</v>
      </c>
      <c r="X50" s="7">
        <f t="shared" si="2"/>
        <v>13</v>
      </c>
      <c r="Y50" s="7">
        <f t="shared" si="2"/>
        <v>4</v>
      </c>
      <c r="Z50" s="7">
        <f t="shared" si="2"/>
        <v>18</v>
      </c>
      <c r="AA50" s="7">
        <f t="shared" si="2"/>
        <v>47</v>
      </c>
      <c r="AB50" s="7">
        <f t="shared" si="2"/>
        <v>0</v>
      </c>
      <c r="AC50" s="7">
        <f t="shared" si="2"/>
        <v>18</v>
      </c>
    </row>
    <row r="51" spans="1:29" x14ac:dyDescent="0.55000000000000004">
      <c r="A51" s="2" t="s">
        <v>33</v>
      </c>
      <c r="B51">
        <v>6</v>
      </c>
      <c r="D51" s="7">
        <f t="shared" si="3"/>
        <v>0</v>
      </c>
      <c r="E51" s="7">
        <f t="shared" si="2"/>
        <v>3</v>
      </c>
      <c r="F51" s="7">
        <f t="shared" si="2"/>
        <v>3</v>
      </c>
      <c r="G51" s="7">
        <f t="shared" si="2"/>
        <v>51</v>
      </c>
      <c r="H51" s="7">
        <f t="shared" si="2"/>
        <v>4</v>
      </c>
      <c r="I51" s="7">
        <f t="shared" si="2"/>
        <v>1</v>
      </c>
      <c r="J51" s="7">
        <f t="shared" si="2"/>
        <v>19</v>
      </c>
      <c r="K51" s="7">
        <f t="shared" si="2"/>
        <v>0</v>
      </c>
      <c r="L51" s="7">
        <f t="shared" si="2"/>
        <v>2</v>
      </c>
      <c r="M51" s="7">
        <f t="shared" si="2"/>
        <v>31</v>
      </c>
      <c r="N51" s="7">
        <f t="shared" si="2"/>
        <v>1</v>
      </c>
      <c r="O51" s="7">
        <f t="shared" si="2"/>
        <v>91</v>
      </c>
      <c r="P51" s="7">
        <f t="shared" si="2"/>
        <v>0</v>
      </c>
      <c r="Q51" s="7">
        <f t="shared" si="2"/>
        <v>15</v>
      </c>
      <c r="R51" s="7">
        <f t="shared" si="2"/>
        <v>6</v>
      </c>
      <c r="S51" s="7">
        <f t="shared" si="2"/>
        <v>27</v>
      </c>
      <c r="T51" s="7">
        <f t="shared" si="2"/>
        <v>0</v>
      </c>
      <c r="U51" s="7">
        <f t="shared" si="2"/>
        <v>10</v>
      </c>
      <c r="V51" s="7">
        <f t="shared" si="2"/>
        <v>2</v>
      </c>
      <c r="W51" s="7">
        <f t="shared" si="2"/>
        <v>14</v>
      </c>
      <c r="X51" s="7">
        <f t="shared" si="2"/>
        <v>0</v>
      </c>
      <c r="Y51" s="7">
        <f t="shared" si="2"/>
        <v>4</v>
      </c>
      <c r="Z51" s="7">
        <f t="shared" si="2"/>
        <v>9</v>
      </c>
      <c r="AA51" s="7">
        <f t="shared" si="2"/>
        <v>9</v>
      </c>
      <c r="AB51" s="7">
        <f t="shared" si="2"/>
        <v>0</v>
      </c>
      <c r="AC51" s="7">
        <f t="shared" si="2"/>
        <v>23</v>
      </c>
    </row>
    <row r="52" spans="1:29" x14ac:dyDescent="0.55000000000000004">
      <c r="A52" s="2" t="s">
        <v>34</v>
      </c>
      <c r="B52">
        <v>7</v>
      </c>
      <c r="D52" s="7">
        <f t="shared" si="3"/>
        <v>0</v>
      </c>
      <c r="E52" s="7">
        <f t="shared" si="2"/>
        <v>0</v>
      </c>
      <c r="F52" s="7">
        <f t="shared" si="2"/>
        <v>6</v>
      </c>
      <c r="G52" s="7">
        <f t="shared" si="2"/>
        <v>93</v>
      </c>
      <c r="H52" s="7">
        <f t="shared" si="2"/>
        <v>27</v>
      </c>
      <c r="I52" s="7">
        <f t="shared" si="2"/>
        <v>59</v>
      </c>
      <c r="J52" s="7">
        <f t="shared" si="2"/>
        <v>33</v>
      </c>
      <c r="K52" s="7">
        <f t="shared" si="2"/>
        <v>6</v>
      </c>
      <c r="L52" s="7">
        <f t="shared" si="2"/>
        <v>0</v>
      </c>
      <c r="M52" s="7">
        <f t="shared" si="2"/>
        <v>7</v>
      </c>
      <c r="N52" s="7">
        <f t="shared" si="2"/>
        <v>3</v>
      </c>
      <c r="O52" s="7">
        <f t="shared" si="2"/>
        <v>0</v>
      </c>
      <c r="P52" s="7">
        <f t="shared" si="2"/>
        <v>8</v>
      </c>
      <c r="Q52" s="7">
        <f t="shared" si="2"/>
        <v>1</v>
      </c>
      <c r="R52" s="7">
        <f t="shared" si="2"/>
        <v>15</v>
      </c>
      <c r="S52" s="7">
        <f t="shared" si="2"/>
        <v>2</v>
      </c>
      <c r="T52" s="7">
        <f t="shared" si="2"/>
        <v>13</v>
      </c>
      <c r="U52" s="7">
        <f t="shared" si="2"/>
        <v>3</v>
      </c>
      <c r="V52" s="7">
        <f t="shared" si="2"/>
        <v>43</v>
      </c>
      <c r="W52" s="7">
        <f t="shared" si="2"/>
        <v>16</v>
      </c>
      <c r="X52" s="7">
        <f t="shared" si="2"/>
        <v>2</v>
      </c>
      <c r="Y52" s="7">
        <f t="shared" si="2"/>
        <v>4</v>
      </c>
      <c r="Z52" s="7">
        <f t="shared" si="2"/>
        <v>1</v>
      </c>
      <c r="AA52" s="7">
        <f t="shared" si="2"/>
        <v>24</v>
      </c>
      <c r="AB52" s="7">
        <f t="shared" si="2"/>
        <v>0</v>
      </c>
      <c r="AC52" s="7">
        <f t="shared" si="2"/>
        <v>1</v>
      </c>
    </row>
    <row r="53" spans="1:29" x14ac:dyDescent="0.55000000000000004">
      <c r="A53" s="2" t="s">
        <v>35</v>
      </c>
      <c r="B53">
        <v>8</v>
      </c>
      <c r="D53" s="7">
        <f t="shared" si="3"/>
        <v>0</v>
      </c>
      <c r="E53" s="7">
        <f t="shared" si="2"/>
        <v>1</v>
      </c>
      <c r="F53" s="7">
        <f t="shared" si="2"/>
        <v>4</v>
      </c>
      <c r="G53" s="7">
        <f t="shared" si="2"/>
        <v>24</v>
      </c>
      <c r="H53" s="7">
        <f t="shared" si="2"/>
        <v>15</v>
      </c>
      <c r="I53" s="7">
        <f t="shared" si="2"/>
        <v>6</v>
      </c>
      <c r="J53" s="7">
        <f t="shared" si="2"/>
        <v>7</v>
      </c>
      <c r="K53" s="7">
        <f t="shared" si="2"/>
        <v>19</v>
      </c>
      <c r="L53" s="7">
        <f t="shared" si="2"/>
        <v>1</v>
      </c>
      <c r="M53" s="7">
        <f t="shared" si="2"/>
        <v>5</v>
      </c>
      <c r="N53" s="7">
        <f t="shared" si="2"/>
        <v>2</v>
      </c>
      <c r="O53" s="7">
        <f t="shared" si="2"/>
        <v>29</v>
      </c>
      <c r="P53" s="7">
        <f t="shared" si="2"/>
        <v>13</v>
      </c>
      <c r="Q53" s="7">
        <f t="shared" si="2"/>
        <v>1</v>
      </c>
      <c r="R53" s="7">
        <f t="shared" si="2"/>
        <v>1</v>
      </c>
      <c r="S53" s="7">
        <f t="shared" si="2"/>
        <v>5</v>
      </c>
      <c r="T53" s="7">
        <f t="shared" si="2"/>
        <v>2</v>
      </c>
      <c r="U53" s="7">
        <f t="shared" si="2"/>
        <v>6</v>
      </c>
      <c r="V53" s="7">
        <f t="shared" si="2"/>
        <v>2</v>
      </c>
      <c r="W53" s="7">
        <f t="shared" si="2"/>
        <v>4</v>
      </c>
      <c r="X53" s="7">
        <f t="shared" si="2"/>
        <v>8</v>
      </c>
      <c r="Y53" s="7">
        <f t="shared" si="2"/>
        <v>6</v>
      </c>
      <c r="Z53" s="7">
        <f t="shared" si="2"/>
        <v>34</v>
      </c>
      <c r="AA53" s="7">
        <f t="shared" si="2"/>
        <v>1</v>
      </c>
      <c r="AB53" s="7">
        <f t="shared" si="2"/>
        <v>0</v>
      </c>
      <c r="AC53" s="7">
        <f t="shared" si="2"/>
        <v>0</v>
      </c>
    </row>
    <row r="54" spans="1:29" x14ac:dyDescent="0.55000000000000004">
      <c r="A54" s="2" t="s">
        <v>36</v>
      </c>
      <c r="B54">
        <v>9</v>
      </c>
      <c r="D54" s="7">
        <f t="shared" si="3"/>
        <v>0</v>
      </c>
      <c r="E54" s="7">
        <f t="shared" si="2"/>
        <v>0</v>
      </c>
      <c r="F54" s="7">
        <f t="shared" si="2"/>
        <v>0</v>
      </c>
      <c r="G54" s="7">
        <f t="shared" si="2"/>
        <v>3</v>
      </c>
      <c r="H54" s="7">
        <f t="shared" si="2"/>
        <v>0</v>
      </c>
      <c r="I54" s="7">
        <f t="shared" si="2"/>
        <v>3</v>
      </c>
      <c r="J54" s="7">
        <f t="shared" si="2"/>
        <v>0</v>
      </c>
      <c r="K54" s="7">
        <f t="shared" si="2"/>
        <v>2</v>
      </c>
      <c r="L54" s="7">
        <f t="shared" si="2"/>
        <v>0</v>
      </c>
      <c r="M54" s="7">
        <f t="shared" si="2"/>
        <v>0</v>
      </c>
      <c r="N54" s="7">
        <f t="shared" si="2"/>
        <v>0</v>
      </c>
      <c r="O54" s="7">
        <f t="shared" si="2"/>
        <v>0</v>
      </c>
      <c r="P54" s="7">
        <f t="shared" si="2"/>
        <v>0</v>
      </c>
      <c r="Q54" s="7">
        <f t="shared" si="2"/>
        <v>0</v>
      </c>
      <c r="R54" s="7">
        <f t="shared" si="2"/>
        <v>0</v>
      </c>
      <c r="S54" s="7">
        <f t="shared" si="2"/>
        <v>0</v>
      </c>
      <c r="T54" s="7">
        <f t="shared" si="2"/>
        <v>0</v>
      </c>
      <c r="U54" s="7">
        <f t="shared" si="2"/>
        <v>0</v>
      </c>
      <c r="V54" s="7">
        <f t="shared" si="2"/>
        <v>0</v>
      </c>
      <c r="W54" s="7">
        <f t="shared" si="2"/>
        <v>0</v>
      </c>
      <c r="X54" s="7">
        <f t="shared" si="2"/>
        <v>0</v>
      </c>
      <c r="Y54" s="7">
        <f t="shared" si="2"/>
        <v>0</v>
      </c>
      <c r="Z54" s="7">
        <f t="shared" si="2"/>
        <v>0</v>
      </c>
      <c r="AA54" s="7">
        <f t="shared" si="2"/>
        <v>0</v>
      </c>
      <c r="AB54" s="7">
        <f t="shared" si="2"/>
        <v>0</v>
      </c>
      <c r="AC54" s="7">
        <f t="shared" si="2"/>
        <v>0</v>
      </c>
    </row>
    <row r="55" spans="1:29" x14ac:dyDescent="0.55000000000000004">
      <c r="A55" s="2"/>
    </row>
    <row r="56" spans="1:29" x14ac:dyDescent="0.55000000000000004">
      <c r="A56" s="1" t="s">
        <v>38</v>
      </c>
      <c r="B56" s="1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spans="1:29" x14ac:dyDescent="0.55000000000000004">
      <c r="A57" s="1" t="s">
        <v>28</v>
      </c>
      <c r="B57" s="1" t="s">
        <v>41</v>
      </c>
      <c r="D57" s="4" t="s">
        <v>20</v>
      </c>
      <c r="E57" s="4" t="s">
        <v>17</v>
      </c>
      <c r="F57" s="4" t="s">
        <v>16</v>
      </c>
      <c r="G57" s="4" t="s">
        <v>3</v>
      </c>
      <c r="H57" s="4" t="s">
        <v>14</v>
      </c>
      <c r="I57" s="4" t="s">
        <v>13</v>
      </c>
      <c r="J57" s="4" t="s">
        <v>11</v>
      </c>
      <c r="K57" s="4" t="s">
        <v>26</v>
      </c>
      <c r="L57" s="4" t="s">
        <v>9</v>
      </c>
      <c r="M57" s="4" t="s">
        <v>19</v>
      </c>
      <c r="N57" s="4" t="s">
        <v>27</v>
      </c>
      <c r="O57" s="4" t="s">
        <v>4</v>
      </c>
      <c r="P57" s="4" t="s">
        <v>25</v>
      </c>
      <c r="Q57" s="4" t="s">
        <v>8</v>
      </c>
      <c r="R57" s="4" t="s">
        <v>7</v>
      </c>
      <c r="S57" s="4" t="s">
        <v>18</v>
      </c>
      <c r="T57" s="4" t="s">
        <v>15</v>
      </c>
      <c r="U57" s="4" t="s">
        <v>12</v>
      </c>
      <c r="V57" s="4" t="s">
        <v>6</v>
      </c>
      <c r="W57" s="4" t="s">
        <v>21</v>
      </c>
      <c r="X57" s="4" t="s">
        <v>22</v>
      </c>
      <c r="Y57" s="4" t="s">
        <v>5</v>
      </c>
      <c r="Z57" s="4" t="s">
        <v>23</v>
      </c>
      <c r="AA57" s="4" t="s">
        <v>24</v>
      </c>
      <c r="AB57" s="4" t="s">
        <v>10</v>
      </c>
      <c r="AC57" s="4" t="s">
        <v>2</v>
      </c>
    </row>
    <row r="58" spans="1:29" x14ac:dyDescent="0.55000000000000004">
      <c r="A58" s="2" t="s">
        <v>29</v>
      </c>
      <c r="B58">
        <v>2</v>
      </c>
      <c r="D58" s="7">
        <f>HLOOKUP(D$57,$D$24:$AC$32,$B58,FALSE)</f>
        <v>0</v>
      </c>
      <c r="E58" s="7">
        <f t="shared" ref="E58:AC65" si="4">HLOOKUP(E$57,$D$24:$AC$32,$B58,FALSE)</f>
        <v>0</v>
      </c>
      <c r="F58" s="7">
        <f t="shared" si="4"/>
        <v>0</v>
      </c>
      <c r="G58" s="7">
        <f t="shared" si="4"/>
        <v>0</v>
      </c>
      <c r="H58" s="7">
        <f t="shared" si="4"/>
        <v>1</v>
      </c>
      <c r="I58" s="7">
        <f t="shared" si="4"/>
        <v>0</v>
      </c>
      <c r="J58" s="7">
        <f t="shared" si="4"/>
        <v>0</v>
      </c>
      <c r="K58" s="7">
        <f t="shared" si="4"/>
        <v>0</v>
      </c>
      <c r="L58" s="7">
        <f t="shared" si="4"/>
        <v>0</v>
      </c>
      <c r="M58" s="7">
        <f t="shared" si="4"/>
        <v>0</v>
      </c>
      <c r="N58" s="7">
        <f t="shared" si="4"/>
        <v>0</v>
      </c>
      <c r="O58" s="7">
        <f t="shared" si="4"/>
        <v>0</v>
      </c>
      <c r="P58" s="7">
        <f t="shared" si="4"/>
        <v>0</v>
      </c>
      <c r="Q58" s="7">
        <f t="shared" si="4"/>
        <v>0</v>
      </c>
      <c r="R58" s="7">
        <f t="shared" si="4"/>
        <v>0</v>
      </c>
      <c r="S58" s="7">
        <f t="shared" si="4"/>
        <v>0</v>
      </c>
      <c r="T58" s="7">
        <f t="shared" si="4"/>
        <v>0</v>
      </c>
      <c r="U58" s="7">
        <f t="shared" si="4"/>
        <v>0</v>
      </c>
      <c r="V58" s="7">
        <f t="shared" si="4"/>
        <v>0</v>
      </c>
      <c r="W58" s="7">
        <f t="shared" si="4"/>
        <v>0</v>
      </c>
      <c r="X58" s="7">
        <f t="shared" si="4"/>
        <v>0</v>
      </c>
      <c r="Y58" s="7">
        <f t="shared" si="4"/>
        <v>0</v>
      </c>
      <c r="Z58" s="7">
        <f t="shared" si="4"/>
        <v>1</v>
      </c>
      <c r="AA58" s="7">
        <f t="shared" si="4"/>
        <v>0</v>
      </c>
      <c r="AB58" s="7">
        <f t="shared" si="4"/>
        <v>0</v>
      </c>
      <c r="AC58" s="7">
        <f t="shared" si="4"/>
        <v>0</v>
      </c>
    </row>
    <row r="59" spans="1:29" x14ac:dyDescent="0.55000000000000004">
      <c r="A59" s="2" t="s">
        <v>30</v>
      </c>
      <c r="B59">
        <v>3</v>
      </c>
      <c r="D59" s="7">
        <f t="shared" ref="D59:D65" si="5">HLOOKUP(D$57,$D$24:$AC$32,$B59,FALSE)</f>
        <v>0</v>
      </c>
      <c r="E59" s="7">
        <f t="shared" si="4"/>
        <v>0</v>
      </c>
      <c r="F59" s="7">
        <f t="shared" si="4"/>
        <v>0</v>
      </c>
      <c r="G59" s="7">
        <f t="shared" si="4"/>
        <v>14</v>
      </c>
      <c r="H59" s="7">
        <f t="shared" si="4"/>
        <v>4</v>
      </c>
      <c r="I59" s="7">
        <f t="shared" si="4"/>
        <v>1</v>
      </c>
      <c r="J59" s="7">
        <f t="shared" si="4"/>
        <v>4</v>
      </c>
      <c r="K59" s="7">
        <f t="shared" si="4"/>
        <v>0</v>
      </c>
      <c r="L59" s="7">
        <f t="shared" si="4"/>
        <v>0</v>
      </c>
      <c r="M59" s="7">
        <f t="shared" si="4"/>
        <v>3</v>
      </c>
      <c r="N59" s="7">
        <f t="shared" si="4"/>
        <v>1</v>
      </c>
      <c r="O59" s="7">
        <f t="shared" si="4"/>
        <v>0</v>
      </c>
      <c r="P59" s="7">
        <f t="shared" si="4"/>
        <v>2</v>
      </c>
      <c r="Q59" s="7">
        <f t="shared" si="4"/>
        <v>0</v>
      </c>
      <c r="R59" s="7">
        <f t="shared" si="4"/>
        <v>0</v>
      </c>
      <c r="S59" s="7">
        <f t="shared" si="4"/>
        <v>0</v>
      </c>
      <c r="T59" s="7">
        <f t="shared" si="4"/>
        <v>0</v>
      </c>
      <c r="U59" s="7">
        <f t="shared" si="4"/>
        <v>1</v>
      </c>
      <c r="V59" s="7">
        <f t="shared" si="4"/>
        <v>0</v>
      </c>
      <c r="W59" s="7">
        <f t="shared" si="4"/>
        <v>0</v>
      </c>
      <c r="X59" s="7">
        <f t="shared" si="4"/>
        <v>0</v>
      </c>
      <c r="Y59" s="7">
        <f t="shared" si="4"/>
        <v>0</v>
      </c>
      <c r="Z59" s="7">
        <f t="shared" si="4"/>
        <v>0</v>
      </c>
      <c r="AA59" s="7">
        <f t="shared" si="4"/>
        <v>1</v>
      </c>
      <c r="AB59" s="7">
        <f t="shared" si="4"/>
        <v>0</v>
      </c>
      <c r="AC59" s="7">
        <f t="shared" si="4"/>
        <v>0</v>
      </c>
    </row>
    <row r="60" spans="1:29" x14ac:dyDescent="0.55000000000000004">
      <c r="A60" s="2" t="s">
        <v>31</v>
      </c>
      <c r="B60">
        <v>4</v>
      </c>
      <c r="D60" s="7">
        <f t="shared" si="5"/>
        <v>0</v>
      </c>
      <c r="E60" s="7">
        <f t="shared" si="4"/>
        <v>0</v>
      </c>
      <c r="F60" s="7">
        <f t="shared" si="4"/>
        <v>0</v>
      </c>
      <c r="G60" s="7">
        <f t="shared" si="4"/>
        <v>4</v>
      </c>
      <c r="H60" s="7">
        <f t="shared" si="4"/>
        <v>0</v>
      </c>
      <c r="I60" s="7">
        <f t="shared" si="4"/>
        <v>0</v>
      </c>
      <c r="J60" s="7">
        <f t="shared" si="4"/>
        <v>2</v>
      </c>
      <c r="K60" s="7">
        <f t="shared" si="4"/>
        <v>0</v>
      </c>
      <c r="L60" s="7">
        <f t="shared" si="4"/>
        <v>0</v>
      </c>
      <c r="M60" s="7">
        <f t="shared" si="4"/>
        <v>2</v>
      </c>
      <c r="N60" s="7">
        <f t="shared" si="4"/>
        <v>0</v>
      </c>
      <c r="O60" s="7">
        <f t="shared" si="4"/>
        <v>0</v>
      </c>
      <c r="P60" s="7">
        <f t="shared" si="4"/>
        <v>0</v>
      </c>
      <c r="Q60" s="7">
        <f t="shared" si="4"/>
        <v>0</v>
      </c>
      <c r="R60" s="7">
        <f t="shared" si="4"/>
        <v>0</v>
      </c>
      <c r="S60" s="7">
        <f t="shared" si="4"/>
        <v>0</v>
      </c>
      <c r="T60" s="7">
        <f t="shared" si="4"/>
        <v>0</v>
      </c>
      <c r="U60" s="7">
        <f t="shared" si="4"/>
        <v>3</v>
      </c>
      <c r="V60" s="7">
        <f t="shared" si="4"/>
        <v>0</v>
      </c>
      <c r="W60" s="7">
        <f t="shared" si="4"/>
        <v>0</v>
      </c>
      <c r="X60" s="7">
        <f t="shared" si="4"/>
        <v>0</v>
      </c>
      <c r="Y60" s="7">
        <f t="shared" si="4"/>
        <v>0</v>
      </c>
      <c r="Z60" s="7">
        <f t="shared" si="4"/>
        <v>1</v>
      </c>
      <c r="AA60" s="7">
        <f t="shared" si="4"/>
        <v>1</v>
      </c>
      <c r="AB60" s="7">
        <f t="shared" si="4"/>
        <v>0</v>
      </c>
      <c r="AC60" s="7">
        <f t="shared" si="4"/>
        <v>0</v>
      </c>
    </row>
    <row r="61" spans="1:29" x14ac:dyDescent="0.55000000000000004">
      <c r="A61" s="2" t="s">
        <v>32</v>
      </c>
      <c r="B61">
        <v>5</v>
      </c>
      <c r="D61" s="7">
        <f t="shared" si="5"/>
        <v>0</v>
      </c>
      <c r="E61" s="7">
        <f t="shared" si="4"/>
        <v>1</v>
      </c>
      <c r="F61" s="7">
        <f t="shared" si="4"/>
        <v>0</v>
      </c>
      <c r="G61" s="7">
        <f t="shared" si="4"/>
        <v>10</v>
      </c>
      <c r="H61" s="7">
        <f t="shared" si="4"/>
        <v>1</v>
      </c>
      <c r="I61" s="7">
        <f t="shared" si="4"/>
        <v>0</v>
      </c>
      <c r="J61" s="7">
        <f t="shared" si="4"/>
        <v>1</v>
      </c>
      <c r="K61" s="7">
        <f t="shared" si="4"/>
        <v>2</v>
      </c>
      <c r="L61" s="7">
        <f t="shared" si="4"/>
        <v>0</v>
      </c>
      <c r="M61" s="7">
        <f t="shared" si="4"/>
        <v>6</v>
      </c>
      <c r="N61" s="7">
        <f t="shared" si="4"/>
        <v>0</v>
      </c>
      <c r="O61" s="7">
        <f t="shared" si="4"/>
        <v>3</v>
      </c>
      <c r="P61" s="7">
        <f t="shared" si="4"/>
        <v>0</v>
      </c>
      <c r="Q61" s="7">
        <f t="shared" si="4"/>
        <v>0</v>
      </c>
      <c r="R61" s="7">
        <f t="shared" si="4"/>
        <v>0</v>
      </c>
      <c r="S61" s="7">
        <f t="shared" si="4"/>
        <v>3</v>
      </c>
      <c r="T61" s="7">
        <f t="shared" si="4"/>
        <v>1</v>
      </c>
      <c r="U61" s="7">
        <f t="shared" si="4"/>
        <v>1</v>
      </c>
      <c r="V61" s="7">
        <f t="shared" si="4"/>
        <v>0</v>
      </c>
      <c r="W61" s="7">
        <f t="shared" si="4"/>
        <v>0</v>
      </c>
      <c r="X61" s="7">
        <f t="shared" si="4"/>
        <v>1</v>
      </c>
      <c r="Y61" s="7">
        <f t="shared" si="4"/>
        <v>0</v>
      </c>
      <c r="Z61" s="7">
        <f t="shared" si="4"/>
        <v>2</v>
      </c>
      <c r="AA61" s="7">
        <f t="shared" si="4"/>
        <v>1</v>
      </c>
      <c r="AB61" s="7">
        <f t="shared" si="4"/>
        <v>0</v>
      </c>
      <c r="AC61" s="7">
        <f t="shared" si="4"/>
        <v>1</v>
      </c>
    </row>
    <row r="62" spans="1:29" x14ac:dyDescent="0.55000000000000004">
      <c r="A62" s="2" t="s">
        <v>33</v>
      </c>
      <c r="B62">
        <v>6</v>
      </c>
      <c r="D62" s="7">
        <f t="shared" si="5"/>
        <v>0</v>
      </c>
      <c r="E62" s="7">
        <f t="shared" si="4"/>
        <v>0</v>
      </c>
      <c r="F62" s="7">
        <f t="shared" si="4"/>
        <v>2</v>
      </c>
      <c r="G62" s="7">
        <f t="shared" si="4"/>
        <v>6</v>
      </c>
      <c r="H62" s="7">
        <f t="shared" si="4"/>
        <v>0</v>
      </c>
      <c r="I62" s="7">
        <f t="shared" si="4"/>
        <v>0</v>
      </c>
      <c r="J62" s="7">
        <f t="shared" si="4"/>
        <v>1</v>
      </c>
      <c r="K62" s="7">
        <f t="shared" si="4"/>
        <v>2</v>
      </c>
      <c r="L62" s="7">
        <f t="shared" si="4"/>
        <v>2</v>
      </c>
      <c r="M62" s="7">
        <f t="shared" si="4"/>
        <v>2</v>
      </c>
      <c r="N62" s="7">
        <f t="shared" si="4"/>
        <v>1</v>
      </c>
      <c r="O62" s="7">
        <f t="shared" si="4"/>
        <v>4</v>
      </c>
      <c r="P62" s="7">
        <f t="shared" si="4"/>
        <v>0</v>
      </c>
      <c r="Q62" s="7">
        <f t="shared" si="4"/>
        <v>1</v>
      </c>
      <c r="R62" s="7">
        <f t="shared" si="4"/>
        <v>0</v>
      </c>
      <c r="S62" s="7">
        <f t="shared" si="4"/>
        <v>4</v>
      </c>
      <c r="T62" s="7">
        <f t="shared" si="4"/>
        <v>0</v>
      </c>
      <c r="U62" s="7">
        <f t="shared" si="4"/>
        <v>1</v>
      </c>
      <c r="V62" s="7">
        <f t="shared" si="4"/>
        <v>0</v>
      </c>
      <c r="W62" s="7">
        <f t="shared" si="4"/>
        <v>3</v>
      </c>
      <c r="X62" s="7">
        <f t="shared" si="4"/>
        <v>2</v>
      </c>
      <c r="Y62" s="7">
        <f t="shared" si="4"/>
        <v>0</v>
      </c>
      <c r="Z62" s="7">
        <f t="shared" si="4"/>
        <v>3</v>
      </c>
      <c r="AA62" s="7">
        <f t="shared" si="4"/>
        <v>0</v>
      </c>
      <c r="AB62" s="7">
        <f t="shared" si="4"/>
        <v>0</v>
      </c>
      <c r="AC62" s="7">
        <f t="shared" si="4"/>
        <v>1</v>
      </c>
    </row>
    <row r="63" spans="1:29" x14ac:dyDescent="0.55000000000000004">
      <c r="A63" s="2" t="s">
        <v>34</v>
      </c>
      <c r="B63">
        <v>7</v>
      </c>
      <c r="D63" s="7">
        <f t="shared" si="5"/>
        <v>0</v>
      </c>
      <c r="E63" s="7">
        <f t="shared" si="4"/>
        <v>0</v>
      </c>
      <c r="F63" s="7">
        <f t="shared" si="4"/>
        <v>0</v>
      </c>
      <c r="G63" s="7">
        <f t="shared" si="4"/>
        <v>33</v>
      </c>
      <c r="H63" s="7">
        <f t="shared" si="4"/>
        <v>8</v>
      </c>
      <c r="I63" s="7">
        <f t="shared" si="4"/>
        <v>6</v>
      </c>
      <c r="J63" s="7">
        <f t="shared" si="4"/>
        <v>15</v>
      </c>
      <c r="K63" s="7">
        <f t="shared" si="4"/>
        <v>0</v>
      </c>
      <c r="L63" s="7">
        <f t="shared" si="4"/>
        <v>0</v>
      </c>
      <c r="M63" s="7">
        <f t="shared" si="4"/>
        <v>3</v>
      </c>
      <c r="N63" s="7">
        <f t="shared" si="4"/>
        <v>0</v>
      </c>
      <c r="O63" s="7">
        <f t="shared" si="4"/>
        <v>0</v>
      </c>
      <c r="P63" s="7">
        <f t="shared" si="4"/>
        <v>4</v>
      </c>
      <c r="Q63" s="7">
        <f t="shared" si="4"/>
        <v>0</v>
      </c>
      <c r="R63" s="7">
        <f t="shared" si="4"/>
        <v>2</v>
      </c>
      <c r="S63" s="7">
        <f t="shared" si="4"/>
        <v>0</v>
      </c>
      <c r="T63" s="7">
        <f t="shared" si="4"/>
        <v>6</v>
      </c>
      <c r="U63" s="7">
        <f t="shared" si="4"/>
        <v>0</v>
      </c>
      <c r="V63" s="7">
        <f t="shared" si="4"/>
        <v>4</v>
      </c>
      <c r="W63" s="7">
        <f t="shared" si="4"/>
        <v>8</v>
      </c>
      <c r="X63" s="7">
        <f t="shared" si="4"/>
        <v>12</v>
      </c>
      <c r="Y63" s="7">
        <f t="shared" si="4"/>
        <v>0</v>
      </c>
      <c r="Z63" s="7">
        <f t="shared" si="4"/>
        <v>0</v>
      </c>
      <c r="AA63" s="7">
        <f t="shared" si="4"/>
        <v>8</v>
      </c>
      <c r="AB63" s="7">
        <f t="shared" si="4"/>
        <v>0</v>
      </c>
      <c r="AC63" s="7">
        <f t="shared" si="4"/>
        <v>0</v>
      </c>
    </row>
    <row r="64" spans="1:29" x14ac:dyDescent="0.55000000000000004">
      <c r="A64" s="2" t="s">
        <v>35</v>
      </c>
      <c r="B64">
        <v>8</v>
      </c>
      <c r="D64" s="7">
        <f t="shared" si="5"/>
        <v>0</v>
      </c>
      <c r="E64" s="7">
        <f t="shared" si="4"/>
        <v>0</v>
      </c>
      <c r="F64" s="7">
        <f t="shared" si="4"/>
        <v>0</v>
      </c>
      <c r="G64" s="7">
        <f t="shared" si="4"/>
        <v>5</v>
      </c>
      <c r="H64" s="7">
        <f t="shared" si="4"/>
        <v>2</v>
      </c>
      <c r="I64" s="7">
        <f t="shared" si="4"/>
        <v>0</v>
      </c>
      <c r="J64" s="7">
        <f t="shared" si="4"/>
        <v>3</v>
      </c>
      <c r="K64" s="7">
        <f t="shared" si="4"/>
        <v>1</v>
      </c>
      <c r="L64" s="7">
        <f t="shared" si="4"/>
        <v>0</v>
      </c>
      <c r="M64" s="7">
        <f t="shared" si="4"/>
        <v>3</v>
      </c>
      <c r="N64" s="7">
        <f t="shared" si="4"/>
        <v>1</v>
      </c>
      <c r="O64" s="7">
        <f t="shared" si="4"/>
        <v>0</v>
      </c>
      <c r="P64" s="7">
        <f t="shared" si="4"/>
        <v>0</v>
      </c>
      <c r="Q64" s="7">
        <f t="shared" si="4"/>
        <v>0</v>
      </c>
      <c r="R64" s="7">
        <f t="shared" si="4"/>
        <v>0</v>
      </c>
      <c r="S64" s="7">
        <f t="shared" si="4"/>
        <v>4</v>
      </c>
      <c r="T64" s="7">
        <f t="shared" si="4"/>
        <v>0</v>
      </c>
      <c r="U64" s="7">
        <f t="shared" si="4"/>
        <v>0</v>
      </c>
      <c r="V64" s="7">
        <f t="shared" si="4"/>
        <v>0</v>
      </c>
      <c r="W64" s="7">
        <f t="shared" si="4"/>
        <v>2</v>
      </c>
      <c r="X64" s="7">
        <f t="shared" si="4"/>
        <v>2</v>
      </c>
      <c r="Y64" s="7">
        <f t="shared" si="4"/>
        <v>0</v>
      </c>
      <c r="Z64" s="7">
        <f t="shared" si="4"/>
        <v>2</v>
      </c>
      <c r="AA64" s="7">
        <f t="shared" si="4"/>
        <v>1</v>
      </c>
      <c r="AB64" s="7">
        <f t="shared" si="4"/>
        <v>0</v>
      </c>
      <c r="AC64" s="7">
        <f t="shared" si="4"/>
        <v>0</v>
      </c>
    </row>
    <row r="65" spans="1:29" x14ac:dyDescent="0.55000000000000004">
      <c r="A65" s="2" t="s">
        <v>36</v>
      </c>
      <c r="B65">
        <v>9</v>
      </c>
      <c r="D65" s="7">
        <f t="shared" si="5"/>
        <v>0</v>
      </c>
      <c r="E65" s="7">
        <f t="shared" si="4"/>
        <v>0</v>
      </c>
      <c r="F65" s="7">
        <f t="shared" si="4"/>
        <v>0</v>
      </c>
      <c r="G65" s="7">
        <f t="shared" si="4"/>
        <v>0</v>
      </c>
      <c r="H65" s="7">
        <f t="shared" si="4"/>
        <v>0</v>
      </c>
      <c r="I65" s="7">
        <f t="shared" si="4"/>
        <v>0</v>
      </c>
      <c r="J65" s="7">
        <f t="shared" si="4"/>
        <v>0</v>
      </c>
      <c r="K65" s="7">
        <f t="shared" si="4"/>
        <v>0</v>
      </c>
      <c r="L65" s="7">
        <f t="shared" si="4"/>
        <v>0</v>
      </c>
      <c r="M65" s="7">
        <f t="shared" si="4"/>
        <v>0</v>
      </c>
      <c r="N65" s="7">
        <f t="shared" si="4"/>
        <v>0</v>
      </c>
      <c r="O65" s="7">
        <f t="shared" si="4"/>
        <v>0</v>
      </c>
      <c r="P65" s="7">
        <f t="shared" si="4"/>
        <v>0</v>
      </c>
      <c r="Q65" s="7">
        <f t="shared" si="4"/>
        <v>0</v>
      </c>
      <c r="R65" s="7">
        <f t="shared" si="4"/>
        <v>0</v>
      </c>
      <c r="S65" s="7">
        <f t="shared" si="4"/>
        <v>0</v>
      </c>
      <c r="T65" s="7">
        <f t="shared" si="4"/>
        <v>0</v>
      </c>
      <c r="U65" s="7">
        <f t="shared" si="4"/>
        <v>0</v>
      </c>
      <c r="V65" s="7">
        <f t="shared" si="4"/>
        <v>0</v>
      </c>
      <c r="W65" s="7">
        <f t="shared" si="4"/>
        <v>0</v>
      </c>
      <c r="X65" s="7">
        <f t="shared" si="4"/>
        <v>0</v>
      </c>
      <c r="Y65" s="7">
        <f t="shared" si="4"/>
        <v>0</v>
      </c>
      <c r="Z65" s="7">
        <f t="shared" si="4"/>
        <v>0</v>
      </c>
      <c r="AA65" s="7">
        <f t="shared" si="4"/>
        <v>0</v>
      </c>
      <c r="AB65" s="7">
        <f t="shared" si="4"/>
        <v>0</v>
      </c>
      <c r="AC65" s="7">
        <f t="shared" si="4"/>
        <v>0</v>
      </c>
    </row>
    <row r="66" spans="1:29" x14ac:dyDescent="0.55000000000000004"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</row>
    <row r="67" spans="1:29" x14ac:dyDescent="0.55000000000000004">
      <c r="C67" t="s">
        <v>56</v>
      </c>
      <c r="D67" s="5">
        <f>SUM(D39:D40)</f>
        <v>0</v>
      </c>
      <c r="E67" s="5">
        <f t="shared" ref="E67:AC67" si="6">SUM(E39:E40)</f>
        <v>22</v>
      </c>
      <c r="F67" s="5">
        <f t="shared" si="6"/>
        <v>28</v>
      </c>
      <c r="G67" s="5">
        <f t="shared" si="6"/>
        <v>1059</v>
      </c>
      <c r="H67" s="5">
        <f t="shared" si="6"/>
        <v>120</v>
      </c>
      <c r="I67" s="5">
        <f t="shared" si="6"/>
        <v>80</v>
      </c>
      <c r="J67" s="5">
        <f t="shared" si="6"/>
        <v>344</v>
      </c>
      <c r="K67" s="5">
        <f t="shared" si="6"/>
        <v>122</v>
      </c>
      <c r="L67" s="5">
        <f t="shared" si="6"/>
        <v>51</v>
      </c>
      <c r="M67" s="5">
        <f t="shared" si="6"/>
        <v>147</v>
      </c>
      <c r="N67" s="5">
        <f t="shared" si="6"/>
        <v>38</v>
      </c>
      <c r="O67" s="5">
        <f t="shared" si="6"/>
        <v>430</v>
      </c>
      <c r="P67" s="5">
        <f t="shared" si="6"/>
        <v>100</v>
      </c>
      <c r="Q67" s="5">
        <f t="shared" si="6"/>
        <v>30</v>
      </c>
      <c r="R67" s="5">
        <f t="shared" si="6"/>
        <v>9</v>
      </c>
      <c r="S67" s="5">
        <f t="shared" si="6"/>
        <v>668</v>
      </c>
      <c r="T67" s="5">
        <f t="shared" si="6"/>
        <v>68</v>
      </c>
      <c r="U67" s="5">
        <f t="shared" si="6"/>
        <v>169</v>
      </c>
      <c r="V67" s="5">
        <f t="shared" si="6"/>
        <v>41</v>
      </c>
      <c r="W67" s="5">
        <f t="shared" si="6"/>
        <v>321</v>
      </c>
      <c r="X67" s="5">
        <f t="shared" si="6"/>
        <v>236</v>
      </c>
      <c r="Y67" s="5">
        <f t="shared" si="6"/>
        <v>9</v>
      </c>
      <c r="Z67" s="5">
        <f t="shared" si="6"/>
        <v>343</v>
      </c>
      <c r="AA67" s="5">
        <f t="shared" si="6"/>
        <v>264</v>
      </c>
      <c r="AB67" s="5">
        <f t="shared" si="6"/>
        <v>0</v>
      </c>
      <c r="AC67" s="5">
        <f t="shared" si="6"/>
        <v>87</v>
      </c>
    </row>
    <row r="68" spans="1:29" x14ac:dyDescent="0.55000000000000004">
      <c r="C68" t="s">
        <v>58</v>
      </c>
      <c r="D68" s="5">
        <f>SUM(D50:D51)</f>
        <v>0</v>
      </c>
      <c r="E68" s="5">
        <f t="shared" ref="E68:AC68" si="7">SUM(E50:E51)</f>
        <v>3</v>
      </c>
      <c r="F68" s="5">
        <f t="shared" si="7"/>
        <v>3</v>
      </c>
      <c r="G68" s="5">
        <f t="shared" si="7"/>
        <v>160</v>
      </c>
      <c r="H68" s="5">
        <f t="shared" si="7"/>
        <v>11</v>
      </c>
      <c r="I68" s="5">
        <f t="shared" si="7"/>
        <v>11</v>
      </c>
      <c r="J68" s="5">
        <f t="shared" si="7"/>
        <v>40</v>
      </c>
      <c r="K68" s="5">
        <f t="shared" si="7"/>
        <v>1</v>
      </c>
      <c r="L68" s="5">
        <f t="shared" si="7"/>
        <v>3</v>
      </c>
      <c r="M68" s="5">
        <f t="shared" si="7"/>
        <v>54</v>
      </c>
      <c r="N68" s="5">
        <f t="shared" si="7"/>
        <v>2</v>
      </c>
      <c r="O68" s="5">
        <f t="shared" si="7"/>
        <v>146</v>
      </c>
      <c r="P68" s="5">
        <f t="shared" si="7"/>
        <v>0</v>
      </c>
      <c r="Q68" s="5">
        <f t="shared" si="7"/>
        <v>30</v>
      </c>
      <c r="R68" s="5">
        <f t="shared" si="7"/>
        <v>8</v>
      </c>
      <c r="S68" s="5">
        <f t="shared" si="7"/>
        <v>40</v>
      </c>
      <c r="T68" s="5">
        <f t="shared" si="7"/>
        <v>2</v>
      </c>
      <c r="U68" s="5">
        <f t="shared" si="7"/>
        <v>19</v>
      </c>
      <c r="V68" s="5">
        <f t="shared" si="7"/>
        <v>11</v>
      </c>
      <c r="W68" s="5">
        <f t="shared" si="7"/>
        <v>29</v>
      </c>
      <c r="X68" s="5">
        <f t="shared" si="7"/>
        <v>13</v>
      </c>
      <c r="Y68" s="5">
        <f t="shared" si="7"/>
        <v>8</v>
      </c>
      <c r="Z68" s="5">
        <f t="shared" si="7"/>
        <v>27</v>
      </c>
      <c r="AA68" s="5">
        <f t="shared" si="7"/>
        <v>56</v>
      </c>
      <c r="AB68" s="5">
        <f t="shared" si="7"/>
        <v>0</v>
      </c>
      <c r="AC68" s="5">
        <f t="shared" si="7"/>
        <v>41</v>
      </c>
    </row>
    <row r="69" spans="1:29" x14ac:dyDescent="0.55000000000000004">
      <c r="C69" t="s">
        <v>57</v>
      </c>
      <c r="D69" s="5">
        <f>SUM(D61:D62)</f>
        <v>0</v>
      </c>
      <c r="E69" s="5">
        <f t="shared" ref="E69:AC69" si="8">SUM(E61:E62)</f>
        <v>1</v>
      </c>
      <c r="F69" s="5">
        <f t="shared" si="8"/>
        <v>2</v>
      </c>
      <c r="G69" s="5">
        <f t="shared" si="8"/>
        <v>16</v>
      </c>
      <c r="H69" s="5">
        <f t="shared" si="8"/>
        <v>1</v>
      </c>
      <c r="I69" s="5">
        <f t="shared" si="8"/>
        <v>0</v>
      </c>
      <c r="J69" s="5">
        <f t="shared" si="8"/>
        <v>2</v>
      </c>
      <c r="K69" s="5">
        <f t="shared" si="8"/>
        <v>4</v>
      </c>
      <c r="L69" s="5">
        <f t="shared" si="8"/>
        <v>2</v>
      </c>
      <c r="M69" s="5">
        <f t="shared" si="8"/>
        <v>8</v>
      </c>
      <c r="N69" s="5">
        <f t="shared" si="8"/>
        <v>1</v>
      </c>
      <c r="O69" s="5">
        <f t="shared" si="8"/>
        <v>7</v>
      </c>
      <c r="P69" s="5">
        <f t="shared" si="8"/>
        <v>0</v>
      </c>
      <c r="Q69" s="5">
        <f t="shared" si="8"/>
        <v>1</v>
      </c>
      <c r="R69" s="5">
        <f t="shared" si="8"/>
        <v>0</v>
      </c>
      <c r="S69" s="5">
        <f t="shared" si="8"/>
        <v>7</v>
      </c>
      <c r="T69" s="5">
        <f t="shared" si="8"/>
        <v>1</v>
      </c>
      <c r="U69" s="5">
        <f t="shared" si="8"/>
        <v>2</v>
      </c>
      <c r="V69" s="5">
        <f t="shared" si="8"/>
        <v>0</v>
      </c>
      <c r="W69" s="5">
        <f t="shared" si="8"/>
        <v>3</v>
      </c>
      <c r="X69" s="5">
        <f t="shared" si="8"/>
        <v>3</v>
      </c>
      <c r="Y69" s="5">
        <f t="shared" si="8"/>
        <v>0</v>
      </c>
      <c r="Z69" s="5">
        <f t="shared" si="8"/>
        <v>5</v>
      </c>
      <c r="AA69" s="5">
        <f t="shared" si="8"/>
        <v>1</v>
      </c>
      <c r="AB69" s="5">
        <f t="shared" si="8"/>
        <v>0</v>
      </c>
      <c r="AC69" s="5">
        <f t="shared" si="8"/>
        <v>2</v>
      </c>
    </row>
    <row r="70" spans="1:29" x14ac:dyDescent="0.55000000000000004"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</row>
    <row r="71" spans="1:29" x14ac:dyDescent="0.55000000000000004">
      <c r="C71" t="s">
        <v>43</v>
      </c>
      <c r="D71" s="7">
        <f>SUM(D36:D43,D47:D54,D58:D65)</f>
        <v>0</v>
      </c>
      <c r="E71" s="7">
        <f t="shared" ref="E71:AC71" si="9">SUM(E36:E43,E47:E54,E58:E65)</f>
        <v>33</v>
      </c>
      <c r="F71" s="7">
        <f t="shared" si="9"/>
        <v>69</v>
      </c>
      <c r="G71" s="7">
        <f t="shared" si="9"/>
        <v>1825</v>
      </c>
      <c r="H71" s="7">
        <f t="shared" si="9"/>
        <v>276</v>
      </c>
      <c r="I71" s="7">
        <f t="shared" si="9"/>
        <v>224</v>
      </c>
      <c r="J71" s="7">
        <f t="shared" si="9"/>
        <v>572</v>
      </c>
      <c r="K71" s="7">
        <f t="shared" si="9"/>
        <v>196</v>
      </c>
      <c r="L71" s="7">
        <f t="shared" si="9"/>
        <v>81</v>
      </c>
      <c r="M71" s="7">
        <f t="shared" si="9"/>
        <v>292</v>
      </c>
      <c r="N71" s="7">
        <f t="shared" si="9"/>
        <v>104</v>
      </c>
      <c r="O71" s="7">
        <f t="shared" si="9"/>
        <v>644</v>
      </c>
      <c r="P71" s="7">
        <f t="shared" si="9"/>
        <v>185</v>
      </c>
      <c r="Q71" s="7">
        <f t="shared" si="9"/>
        <v>69</v>
      </c>
      <c r="R71" s="7">
        <f t="shared" si="9"/>
        <v>45</v>
      </c>
      <c r="S71" s="7">
        <f t="shared" si="9"/>
        <v>773</v>
      </c>
      <c r="T71" s="7">
        <f t="shared" si="9"/>
        <v>114</v>
      </c>
      <c r="U71" s="7">
        <f t="shared" si="9"/>
        <v>250</v>
      </c>
      <c r="V71" s="7">
        <f t="shared" si="9"/>
        <v>171</v>
      </c>
      <c r="W71" s="7">
        <f t="shared" si="9"/>
        <v>434</v>
      </c>
      <c r="X71" s="7">
        <f t="shared" si="9"/>
        <v>307</v>
      </c>
      <c r="Y71" s="7">
        <f t="shared" si="9"/>
        <v>37</v>
      </c>
      <c r="Z71" s="7">
        <f t="shared" si="9"/>
        <v>653</v>
      </c>
      <c r="AA71" s="7">
        <f t="shared" si="9"/>
        <v>375</v>
      </c>
      <c r="AB71" s="7">
        <f t="shared" si="9"/>
        <v>0</v>
      </c>
      <c r="AC71" s="7">
        <f t="shared" si="9"/>
        <v>133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D93C5-188D-4DEA-867D-3DE75F9E62E0}">
  <dimension ref="A1:BF112"/>
  <sheetViews>
    <sheetView topLeftCell="A64" workbookViewId="0">
      <selection activeCell="C71" sqref="C71:AC73"/>
    </sheetView>
  </sheetViews>
  <sheetFormatPr defaultRowHeight="14.4" x14ac:dyDescent="0.55000000000000004"/>
  <cols>
    <col min="1" max="1" width="51.62890625" bestFit="1" customWidth="1"/>
    <col min="2" max="2" width="3.89453125" bestFit="1" customWidth="1"/>
  </cols>
  <sheetData>
    <row r="1" spans="1:29" x14ac:dyDescent="0.55000000000000004">
      <c r="A1" s="1" t="s">
        <v>37</v>
      </c>
      <c r="B1" s="2"/>
    </row>
    <row r="2" spans="1:29" x14ac:dyDescent="0.55000000000000004">
      <c r="A2" s="1" t="s">
        <v>28</v>
      </c>
      <c r="B2" s="1" t="s">
        <v>40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  <c r="L2" s="6" t="s">
        <v>10</v>
      </c>
      <c r="M2" s="6" t="s">
        <v>11</v>
      </c>
      <c r="N2" s="6" t="s">
        <v>12</v>
      </c>
      <c r="O2" s="6" t="s">
        <v>13</v>
      </c>
      <c r="P2" s="6" t="s">
        <v>14</v>
      </c>
      <c r="Q2" s="6" t="s">
        <v>15</v>
      </c>
      <c r="R2" s="6" t="s">
        <v>16</v>
      </c>
      <c r="S2" s="6" t="s">
        <v>17</v>
      </c>
      <c r="T2" s="6" t="s">
        <v>18</v>
      </c>
      <c r="U2" s="6" t="s">
        <v>19</v>
      </c>
      <c r="V2" s="6" t="s">
        <v>20</v>
      </c>
      <c r="W2" s="6" t="s">
        <v>21</v>
      </c>
      <c r="X2" s="6" t="s">
        <v>22</v>
      </c>
      <c r="Y2" s="6" t="s">
        <v>23</v>
      </c>
      <c r="Z2" s="6" t="s">
        <v>24</v>
      </c>
      <c r="AA2" s="6" t="s">
        <v>25</v>
      </c>
      <c r="AB2" s="6" t="s">
        <v>26</v>
      </c>
      <c r="AC2" s="6" t="s">
        <v>27</v>
      </c>
    </row>
    <row r="3" spans="1:29" x14ac:dyDescent="0.55000000000000004">
      <c r="A3" s="2" t="s">
        <v>29</v>
      </c>
      <c r="B3" s="3" t="s">
        <v>0</v>
      </c>
      <c r="C3" s="7">
        <v>435300</v>
      </c>
      <c r="D3" s="7">
        <v>0</v>
      </c>
      <c r="E3" s="7">
        <v>0</v>
      </c>
      <c r="F3" s="7">
        <v>0</v>
      </c>
      <c r="G3" s="7">
        <v>14000</v>
      </c>
      <c r="H3" s="7">
        <v>3000</v>
      </c>
      <c r="I3" s="7">
        <v>5000</v>
      </c>
      <c r="J3" s="7">
        <v>0</v>
      </c>
      <c r="K3" s="7">
        <v>36750</v>
      </c>
      <c r="L3" s="7">
        <v>0</v>
      </c>
      <c r="M3" s="7">
        <v>47000</v>
      </c>
      <c r="N3" s="7">
        <v>14000</v>
      </c>
      <c r="O3" s="7">
        <v>0</v>
      </c>
      <c r="P3" s="7">
        <v>33000</v>
      </c>
      <c r="Q3" s="7">
        <v>7000</v>
      </c>
      <c r="R3" s="7">
        <v>8000</v>
      </c>
      <c r="S3" s="7">
        <v>0</v>
      </c>
      <c r="T3" s="7">
        <v>13050</v>
      </c>
      <c r="U3" s="7">
        <v>60000</v>
      </c>
      <c r="V3" s="7">
        <v>0</v>
      </c>
      <c r="W3" s="7">
        <v>50000</v>
      </c>
      <c r="X3" s="7">
        <v>0</v>
      </c>
      <c r="Y3" s="7">
        <v>82500</v>
      </c>
      <c r="Z3" s="7">
        <v>0</v>
      </c>
      <c r="AA3" s="7">
        <v>0</v>
      </c>
      <c r="AB3" s="7">
        <v>0</v>
      </c>
      <c r="AC3" s="7">
        <v>62000</v>
      </c>
    </row>
    <row r="4" spans="1:29" x14ac:dyDescent="0.55000000000000004">
      <c r="A4" s="2" t="s">
        <v>30</v>
      </c>
      <c r="B4" s="3" t="s">
        <v>0</v>
      </c>
      <c r="C4" s="7">
        <v>3072105</v>
      </c>
      <c r="D4" s="7">
        <v>0</v>
      </c>
      <c r="E4" s="7">
        <v>1135329</v>
      </c>
      <c r="F4" s="7">
        <v>36200</v>
      </c>
      <c r="G4" s="7">
        <v>44000</v>
      </c>
      <c r="H4" s="7">
        <v>0</v>
      </c>
      <c r="I4" s="7">
        <v>0</v>
      </c>
      <c r="J4" s="7">
        <v>3515</v>
      </c>
      <c r="K4" s="7">
        <v>25870</v>
      </c>
      <c r="L4" s="7">
        <v>0</v>
      </c>
      <c r="M4" s="7">
        <v>97677</v>
      </c>
      <c r="N4" s="7">
        <v>67531</v>
      </c>
      <c r="O4" s="7">
        <v>69210</v>
      </c>
      <c r="P4" s="7">
        <v>136565</v>
      </c>
      <c r="Q4" s="7">
        <v>76000</v>
      </c>
      <c r="R4" s="7">
        <v>20125</v>
      </c>
      <c r="S4" s="7">
        <v>5250</v>
      </c>
      <c r="T4" s="7">
        <v>0</v>
      </c>
      <c r="U4" s="7">
        <v>40000</v>
      </c>
      <c r="V4" s="7">
        <v>0</v>
      </c>
      <c r="W4" s="7">
        <v>81000</v>
      </c>
      <c r="X4" s="7">
        <v>0</v>
      </c>
      <c r="Y4" s="7">
        <v>910273</v>
      </c>
      <c r="Z4" s="7">
        <v>0</v>
      </c>
      <c r="AA4" s="7">
        <v>186875</v>
      </c>
      <c r="AB4" s="7">
        <v>0</v>
      </c>
      <c r="AC4" s="7">
        <v>136685</v>
      </c>
    </row>
    <row r="5" spans="1:29" x14ac:dyDescent="0.55000000000000004">
      <c r="A5" s="2" t="s">
        <v>31</v>
      </c>
      <c r="B5" s="3" t="s">
        <v>0</v>
      </c>
      <c r="C5" s="7">
        <v>17042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17042</v>
      </c>
      <c r="Z5" s="7">
        <v>0</v>
      </c>
      <c r="AA5" s="7">
        <v>0</v>
      </c>
      <c r="AB5" s="7">
        <v>0</v>
      </c>
      <c r="AC5" s="7">
        <v>0</v>
      </c>
    </row>
    <row r="6" spans="1:29" x14ac:dyDescent="0.55000000000000004">
      <c r="A6" s="2" t="s">
        <v>32</v>
      </c>
      <c r="B6" s="3" t="s">
        <v>0</v>
      </c>
      <c r="C6" s="7">
        <v>24020952.100000001</v>
      </c>
      <c r="D6" s="7">
        <v>271874</v>
      </c>
      <c r="E6" s="7">
        <v>8595813</v>
      </c>
      <c r="F6" s="7">
        <v>858848</v>
      </c>
      <c r="G6" s="7">
        <v>45000</v>
      </c>
      <c r="H6" s="7">
        <v>83709</v>
      </c>
      <c r="I6" s="7">
        <v>36000</v>
      </c>
      <c r="J6" s="7">
        <v>80822</v>
      </c>
      <c r="K6" s="7">
        <v>226565</v>
      </c>
      <c r="L6" s="7">
        <v>0</v>
      </c>
      <c r="M6" s="7">
        <v>1582155.5</v>
      </c>
      <c r="N6" s="7">
        <v>675529</v>
      </c>
      <c r="O6" s="7">
        <v>655735</v>
      </c>
      <c r="P6" s="7">
        <v>697312</v>
      </c>
      <c r="Q6" s="7">
        <v>203000</v>
      </c>
      <c r="R6" s="7">
        <v>48998</v>
      </c>
      <c r="S6" s="7">
        <v>31967</v>
      </c>
      <c r="T6" s="7">
        <v>1433960.6</v>
      </c>
      <c r="U6" s="7">
        <v>365032</v>
      </c>
      <c r="V6" s="7">
        <v>0</v>
      </c>
      <c r="W6" s="7">
        <v>1005600</v>
      </c>
      <c r="X6" s="7">
        <v>1284520</v>
      </c>
      <c r="Y6" s="7">
        <v>1829163</v>
      </c>
      <c r="Z6" s="7">
        <v>2496043</v>
      </c>
      <c r="AA6" s="7">
        <v>489113</v>
      </c>
      <c r="AB6" s="7">
        <v>880433</v>
      </c>
      <c r="AC6" s="7">
        <v>143760</v>
      </c>
    </row>
    <row r="7" spans="1:29" x14ac:dyDescent="0.55000000000000004">
      <c r="A7" s="2" t="s">
        <v>33</v>
      </c>
      <c r="B7" s="3" t="s">
        <v>0</v>
      </c>
      <c r="C7" s="7">
        <v>9850944</v>
      </c>
      <c r="D7" s="7">
        <v>265962</v>
      </c>
      <c r="E7" s="7">
        <v>1610500</v>
      </c>
      <c r="F7" s="7">
        <v>1323158</v>
      </c>
      <c r="G7" s="7">
        <v>32000</v>
      </c>
      <c r="H7" s="7">
        <v>30281</v>
      </c>
      <c r="I7" s="7">
        <v>12000</v>
      </c>
      <c r="J7" s="7">
        <v>40556</v>
      </c>
      <c r="K7" s="7">
        <v>7813</v>
      </c>
      <c r="L7" s="7">
        <v>0</v>
      </c>
      <c r="M7" s="7">
        <v>871349</v>
      </c>
      <c r="N7" s="7">
        <v>157366</v>
      </c>
      <c r="O7" s="7">
        <v>590727</v>
      </c>
      <c r="P7" s="7">
        <v>110672</v>
      </c>
      <c r="Q7" s="7">
        <v>148000</v>
      </c>
      <c r="R7" s="7">
        <v>94260</v>
      </c>
      <c r="S7" s="7">
        <v>27537</v>
      </c>
      <c r="T7" s="7">
        <v>1543336</v>
      </c>
      <c r="U7" s="7">
        <v>522600</v>
      </c>
      <c r="V7" s="7">
        <v>0</v>
      </c>
      <c r="W7" s="7">
        <v>834500</v>
      </c>
      <c r="X7" s="7">
        <v>80663</v>
      </c>
      <c r="Y7" s="7">
        <v>1270691</v>
      </c>
      <c r="Z7" s="7">
        <v>136067</v>
      </c>
      <c r="AA7" s="7">
        <v>14375</v>
      </c>
      <c r="AB7" s="7">
        <v>96296</v>
      </c>
      <c r="AC7" s="7">
        <v>30235</v>
      </c>
    </row>
    <row r="8" spans="1:29" x14ac:dyDescent="0.55000000000000004">
      <c r="A8" s="2" t="s">
        <v>34</v>
      </c>
      <c r="B8" s="3" t="s">
        <v>0</v>
      </c>
      <c r="C8" s="7">
        <v>2857235.65</v>
      </c>
      <c r="D8" s="7">
        <v>12237</v>
      </c>
      <c r="E8" s="7">
        <v>1460264</v>
      </c>
      <c r="F8" s="7">
        <v>0</v>
      </c>
      <c r="G8" s="7">
        <v>8000</v>
      </c>
      <c r="H8" s="7">
        <v>265021</v>
      </c>
      <c r="I8" s="7">
        <v>45000</v>
      </c>
      <c r="J8" s="7">
        <v>4128</v>
      </c>
      <c r="K8" s="7">
        <v>24640</v>
      </c>
      <c r="L8" s="7">
        <v>0</v>
      </c>
      <c r="M8" s="7">
        <v>371740</v>
      </c>
      <c r="N8" s="7">
        <v>16787</v>
      </c>
      <c r="O8" s="7">
        <v>230762</v>
      </c>
      <c r="P8" s="7">
        <v>107081</v>
      </c>
      <c r="Q8" s="7">
        <v>84000</v>
      </c>
      <c r="R8" s="7">
        <v>17110</v>
      </c>
      <c r="S8" s="7">
        <v>0</v>
      </c>
      <c r="T8" s="7">
        <v>9260.65</v>
      </c>
      <c r="U8" s="7">
        <v>15000</v>
      </c>
      <c r="V8" s="7">
        <v>0</v>
      </c>
      <c r="W8" s="7">
        <v>88500</v>
      </c>
      <c r="X8" s="7">
        <v>23750</v>
      </c>
      <c r="Y8" s="7">
        <v>0</v>
      </c>
      <c r="Z8" s="7">
        <v>33429</v>
      </c>
      <c r="AA8" s="7">
        <v>17006</v>
      </c>
      <c r="AB8" s="7">
        <v>0</v>
      </c>
      <c r="AC8" s="7">
        <v>23520</v>
      </c>
    </row>
    <row r="9" spans="1:29" x14ac:dyDescent="0.55000000000000004">
      <c r="A9" s="2" t="s">
        <v>35</v>
      </c>
      <c r="B9" s="3" t="s">
        <v>0</v>
      </c>
      <c r="C9" s="7">
        <v>2177170</v>
      </c>
      <c r="D9" s="7">
        <v>0</v>
      </c>
      <c r="E9" s="7">
        <v>221688</v>
      </c>
      <c r="F9" s="7">
        <v>58912</v>
      </c>
      <c r="G9" s="7">
        <v>0</v>
      </c>
      <c r="H9" s="7">
        <v>21250</v>
      </c>
      <c r="I9" s="7">
        <v>0</v>
      </c>
      <c r="J9" s="7">
        <v>6330</v>
      </c>
      <c r="K9" s="7">
        <v>47874</v>
      </c>
      <c r="L9" s="7">
        <v>0</v>
      </c>
      <c r="M9" s="7">
        <v>62114</v>
      </c>
      <c r="N9" s="7">
        <v>59623</v>
      </c>
      <c r="O9" s="7">
        <v>23821</v>
      </c>
      <c r="P9" s="7">
        <v>100391</v>
      </c>
      <c r="Q9" s="7">
        <v>0</v>
      </c>
      <c r="R9" s="7">
        <v>77831</v>
      </c>
      <c r="S9" s="7">
        <v>24840</v>
      </c>
      <c r="T9" s="7">
        <v>172500</v>
      </c>
      <c r="U9" s="7">
        <v>96609</v>
      </c>
      <c r="V9" s="7">
        <v>0</v>
      </c>
      <c r="W9" s="7">
        <v>81000</v>
      </c>
      <c r="X9" s="7">
        <v>94244</v>
      </c>
      <c r="Y9" s="7">
        <v>719317</v>
      </c>
      <c r="Z9" s="7">
        <v>40862</v>
      </c>
      <c r="AA9" s="7">
        <v>62522</v>
      </c>
      <c r="AB9" s="7">
        <v>102057</v>
      </c>
      <c r="AC9" s="7">
        <v>103385</v>
      </c>
    </row>
    <row r="10" spans="1:29" x14ac:dyDescent="0.55000000000000004">
      <c r="A10" s="2" t="s">
        <v>36</v>
      </c>
      <c r="B10" s="3" t="s">
        <v>0</v>
      </c>
      <c r="C10" s="7">
        <v>39220</v>
      </c>
      <c r="D10" s="7">
        <v>0</v>
      </c>
      <c r="E10" s="7">
        <v>3000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7200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10000</v>
      </c>
      <c r="V10" s="7">
        <v>0</v>
      </c>
      <c r="W10" s="7">
        <v>7500</v>
      </c>
      <c r="X10" s="7">
        <v>0</v>
      </c>
      <c r="Y10" s="7">
        <v>0</v>
      </c>
      <c r="Z10" s="7">
        <v>0</v>
      </c>
      <c r="AA10" s="7">
        <v>0</v>
      </c>
      <c r="AB10" s="7">
        <v>11520</v>
      </c>
      <c r="AC10" s="7">
        <v>0</v>
      </c>
    </row>
    <row r="11" spans="1:29" x14ac:dyDescent="0.55000000000000004">
      <c r="A11" s="2"/>
      <c r="B11" s="3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8"/>
      <c r="Z11" s="8"/>
      <c r="AA11" s="8"/>
      <c r="AB11" s="8"/>
      <c r="AC11" s="8"/>
    </row>
    <row r="12" spans="1:29" x14ac:dyDescent="0.55000000000000004">
      <c r="A12" s="1" t="s">
        <v>39</v>
      </c>
      <c r="B12" s="2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</row>
    <row r="13" spans="1:29" x14ac:dyDescent="0.55000000000000004">
      <c r="A13" s="1" t="s">
        <v>28</v>
      </c>
      <c r="B13" s="1" t="s">
        <v>40</v>
      </c>
      <c r="C13" s="6" t="s">
        <v>1</v>
      </c>
      <c r="D13" s="6" t="s">
        <v>2</v>
      </c>
      <c r="E13" s="6" t="s">
        <v>3</v>
      </c>
      <c r="F13" s="6" t="s">
        <v>4</v>
      </c>
      <c r="G13" s="6" t="s">
        <v>5</v>
      </c>
      <c r="H13" s="6" t="s">
        <v>6</v>
      </c>
      <c r="I13" s="6" t="s">
        <v>7</v>
      </c>
      <c r="J13" s="6" t="s">
        <v>8</v>
      </c>
      <c r="K13" s="6" t="s">
        <v>9</v>
      </c>
      <c r="L13" s="6" t="s">
        <v>10</v>
      </c>
      <c r="M13" s="6" t="s">
        <v>11</v>
      </c>
      <c r="N13" s="6" t="s">
        <v>12</v>
      </c>
      <c r="O13" s="6" t="s">
        <v>13</v>
      </c>
      <c r="P13" s="6" t="s">
        <v>14</v>
      </c>
      <c r="Q13" s="6" t="s">
        <v>15</v>
      </c>
      <c r="R13" s="6" t="s">
        <v>16</v>
      </c>
      <c r="S13" s="6" t="s">
        <v>17</v>
      </c>
      <c r="T13" s="6" t="s">
        <v>18</v>
      </c>
      <c r="U13" s="6" t="s">
        <v>19</v>
      </c>
      <c r="V13" s="6" t="s">
        <v>20</v>
      </c>
      <c r="W13" s="6" t="s">
        <v>21</v>
      </c>
      <c r="X13" s="6" t="s">
        <v>22</v>
      </c>
      <c r="Y13" s="6" t="s">
        <v>23</v>
      </c>
      <c r="Z13" s="6" t="s">
        <v>24</v>
      </c>
      <c r="AA13" s="6" t="s">
        <v>25</v>
      </c>
      <c r="AB13" s="6" t="s">
        <v>26</v>
      </c>
      <c r="AC13" s="6" t="s">
        <v>27</v>
      </c>
    </row>
    <row r="14" spans="1:29" x14ac:dyDescent="0.55000000000000004">
      <c r="A14" s="2" t="s">
        <v>29</v>
      </c>
      <c r="B14" s="3" t="s">
        <v>0</v>
      </c>
      <c r="C14" s="7">
        <v>129000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18000</v>
      </c>
      <c r="N14" s="7">
        <v>3000</v>
      </c>
      <c r="O14" s="7">
        <v>0</v>
      </c>
      <c r="P14" s="7">
        <v>48000</v>
      </c>
      <c r="Q14" s="7">
        <v>0</v>
      </c>
      <c r="R14" s="7">
        <v>0</v>
      </c>
      <c r="S14" s="7">
        <v>0</v>
      </c>
      <c r="T14" s="7">
        <v>0</v>
      </c>
      <c r="U14" s="7">
        <v>60000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</row>
    <row r="15" spans="1:29" x14ac:dyDescent="0.55000000000000004">
      <c r="A15" s="2" t="s">
        <v>30</v>
      </c>
      <c r="B15" s="3" t="s">
        <v>0</v>
      </c>
      <c r="C15" s="7">
        <v>1586676</v>
      </c>
      <c r="D15" s="7">
        <v>0</v>
      </c>
      <c r="E15" s="7">
        <v>508845</v>
      </c>
      <c r="F15" s="7">
        <v>89060</v>
      </c>
      <c r="G15" s="7">
        <v>34000</v>
      </c>
      <c r="H15" s="7">
        <v>3965</v>
      </c>
      <c r="I15" s="7">
        <v>0</v>
      </c>
      <c r="J15" s="7">
        <v>11765</v>
      </c>
      <c r="K15" s="7">
        <v>10200</v>
      </c>
      <c r="L15" s="7">
        <v>0</v>
      </c>
      <c r="M15" s="7">
        <v>56708</v>
      </c>
      <c r="N15" s="7">
        <v>59354</v>
      </c>
      <c r="O15" s="7">
        <v>112130</v>
      </c>
      <c r="P15" s="7">
        <v>70340</v>
      </c>
      <c r="Q15" s="7">
        <v>33500</v>
      </c>
      <c r="R15" s="7">
        <v>10125</v>
      </c>
      <c r="S15" s="7">
        <v>0</v>
      </c>
      <c r="T15" s="7">
        <v>0</v>
      </c>
      <c r="U15" s="7">
        <v>202800</v>
      </c>
      <c r="V15" s="7">
        <v>0</v>
      </c>
      <c r="W15" s="7">
        <v>24000</v>
      </c>
      <c r="X15" s="7">
        <v>0</v>
      </c>
      <c r="Y15" s="7">
        <v>234090</v>
      </c>
      <c r="Z15" s="7">
        <v>35404</v>
      </c>
      <c r="AA15" s="7">
        <v>19840</v>
      </c>
      <c r="AB15" s="7">
        <v>0</v>
      </c>
      <c r="AC15" s="7">
        <v>70550</v>
      </c>
    </row>
    <row r="16" spans="1:29" x14ac:dyDescent="0.55000000000000004">
      <c r="A16" s="2" t="s">
        <v>31</v>
      </c>
      <c r="B16" s="3" t="s">
        <v>0</v>
      </c>
      <c r="C16" s="7">
        <v>198440</v>
      </c>
      <c r="D16" s="7">
        <v>0</v>
      </c>
      <c r="E16" s="7">
        <v>53800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40600</v>
      </c>
      <c r="N16" s="7">
        <v>0</v>
      </c>
      <c r="O16" s="7">
        <v>93510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10530</v>
      </c>
      <c r="Z16" s="7">
        <v>0</v>
      </c>
      <c r="AA16" s="7">
        <v>0</v>
      </c>
      <c r="AB16" s="7">
        <v>0</v>
      </c>
      <c r="AC16" s="7">
        <v>0</v>
      </c>
    </row>
    <row r="17" spans="1:29" x14ac:dyDescent="0.55000000000000004">
      <c r="A17" s="2" t="s">
        <v>32</v>
      </c>
      <c r="B17" s="3" t="s">
        <v>0</v>
      </c>
      <c r="C17" s="7">
        <v>3099116</v>
      </c>
      <c r="D17" s="7">
        <v>101893</v>
      </c>
      <c r="E17" s="7">
        <v>1002650</v>
      </c>
      <c r="F17" s="7">
        <v>224914</v>
      </c>
      <c r="G17" s="7">
        <v>42000</v>
      </c>
      <c r="H17" s="7">
        <v>22077</v>
      </c>
      <c r="I17" s="7">
        <v>12000</v>
      </c>
      <c r="J17" s="7">
        <v>56438</v>
      </c>
      <c r="K17" s="7">
        <v>4000</v>
      </c>
      <c r="L17" s="7">
        <v>0</v>
      </c>
      <c r="M17" s="7">
        <v>143848</v>
      </c>
      <c r="N17" s="7">
        <v>52719</v>
      </c>
      <c r="O17" s="7">
        <v>131088</v>
      </c>
      <c r="P17" s="7">
        <v>57187</v>
      </c>
      <c r="Q17" s="7">
        <v>9500</v>
      </c>
      <c r="R17" s="7">
        <v>0</v>
      </c>
      <c r="S17" s="7">
        <v>0</v>
      </c>
      <c r="T17" s="7">
        <v>43164</v>
      </c>
      <c r="U17" s="7">
        <v>150680</v>
      </c>
      <c r="V17" s="7">
        <v>0</v>
      </c>
      <c r="W17" s="7">
        <v>131377</v>
      </c>
      <c r="X17" s="7">
        <v>71422</v>
      </c>
      <c r="Y17" s="7">
        <v>107868</v>
      </c>
      <c r="Z17" s="7">
        <v>705506</v>
      </c>
      <c r="AA17" s="7">
        <v>0</v>
      </c>
      <c r="AB17" s="7">
        <v>25000</v>
      </c>
      <c r="AC17" s="7">
        <v>3785</v>
      </c>
    </row>
    <row r="18" spans="1:29" x14ac:dyDescent="0.55000000000000004">
      <c r="A18" s="2" t="s">
        <v>33</v>
      </c>
      <c r="B18" s="3" t="s">
        <v>0</v>
      </c>
      <c r="C18" s="7">
        <v>4434690</v>
      </c>
      <c r="D18" s="7">
        <v>317718</v>
      </c>
      <c r="E18" s="7">
        <v>538880</v>
      </c>
      <c r="F18" s="7">
        <v>1071946</v>
      </c>
      <c r="G18" s="7">
        <v>32000</v>
      </c>
      <c r="H18" s="7">
        <v>9885</v>
      </c>
      <c r="I18" s="7">
        <v>44460</v>
      </c>
      <c r="J18" s="7">
        <v>186563</v>
      </c>
      <c r="K18" s="7">
        <v>31825</v>
      </c>
      <c r="L18" s="7">
        <v>0</v>
      </c>
      <c r="M18" s="7">
        <v>254792</v>
      </c>
      <c r="N18" s="7">
        <v>126908</v>
      </c>
      <c r="O18" s="7">
        <v>76350</v>
      </c>
      <c r="P18" s="7">
        <v>39150</v>
      </c>
      <c r="Q18" s="7">
        <v>0</v>
      </c>
      <c r="R18" s="7">
        <v>34425</v>
      </c>
      <c r="S18" s="7">
        <v>17163</v>
      </c>
      <c r="T18" s="7">
        <v>309654</v>
      </c>
      <c r="U18" s="7">
        <v>610765</v>
      </c>
      <c r="V18" s="7">
        <v>0</v>
      </c>
      <c r="W18" s="7">
        <v>221225</v>
      </c>
      <c r="X18" s="7">
        <v>0</v>
      </c>
      <c r="Y18" s="7">
        <v>101670</v>
      </c>
      <c r="Z18" s="7">
        <v>396011</v>
      </c>
      <c r="AA18" s="7">
        <v>0</v>
      </c>
      <c r="AB18" s="7">
        <v>0</v>
      </c>
      <c r="AC18" s="7">
        <v>13300</v>
      </c>
    </row>
    <row r="19" spans="1:29" x14ac:dyDescent="0.55000000000000004">
      <c r="A19" s="2" t="s">
        <v>34</v>
      </c>
      <c r="B19" s="3" t="s">
        <v>0</v>
      </c>
      <c r="C19" s="7">
        <v>3442870</v>
      </c>
      <c r="D19" s="7">
        <v>6250</v>
      </c>
      <c r="E19" s="7">
        <v>982381</v>
      </c>
      <c r="F19" s="7">
        <v>0</v>
      </c>
      <c r="G19" s="7">
        <v>32000</v>
      </c>
      <c r="H19" s="7">
        <v>196924</v>
      </c>
      <c r="I19" s="7">
        <v>83350</v>
      </c>
      <c r="J19" s="7">
        <v>5000</v>
      </c>
      <c r="K19" s="7">
        <v>0</v>
      </c>
      <c r="L19" s="7">
        <v>0</v>
      </c>
      <c r="M19" s="7">
        <v>237619</v>
      </c>
      <c r="N19" s="7">
        <v>13937</v>
      </c>
      <c r="O19" s="7">
        <v>716027</v>
      </c>
      <c r="P19" s="7">
        <v>160943</v>
      </c>
      <c r="Q19" s="7">
        <v>172523</v>
      </c>
      <c r="R19" s="7">
        <v>30128</v>
      </c>
      <c r="S19" s="7">
        <v>0</v>
      </c>
      <c r="T19" s="7">
        <v>22500</v>
      </c>
      <c r="U19" s="7">
        <v>99340</v>
      </c>
      <c r="V19" s="7">
        <v>0</v>
      </c>
      <c r="W19" s="7">
        <v>230847</v>
      </c>
      <c r="X19" s="7">
        <v>27500</v>
      </c>
      <c r="Y19" s="7">
        <v>5446</v>
      </c>
      <c r="Z19" s="7">
        <v>342631</v>
      </c>
      <c r="AA19" s="7">
        <v>37312</v>
      </c>
      <c r="AB19" s="7">
        <v>12690</v>
      </c>
      <c r="AC19" s="7">
        <v>27522</v>
      </c>
    </row>
    <row r="20" spans="1:29" x14ac:dyDescent="0.55000000000000004">
      <c r="A20" s="2" t="s">
        <v>35</v>
      </c>
      <c r="B20" s="3" t="s">
        <v>0</v>
      </c>
      <c r="C20" s="7">
        <v>1377011.6</v>
      </c>
      <c r="D20" s="7">
        <v>0</v>
      </c>
      <c r="E20" s="7">
        <v>162300</v>
      </c>
      <c r="F20" s="7">
        <v>144848</v>
      </c>
      <c r="G20" s="7">
        <v>40600</v>
      </c>
      <c r="H20" s="7">
        <v>7792</v>
      </c>
      <c r="I20" s="7">
        <v>2860</v>
      </c>
      <c r="J20" s="7">
        <v>5134</v>
      </c>
      <c r="K20" s="7">
        <v>7180</v>
      </c>
      <c r="L20" s="7">
        <v>0</v>
      </c>
      <c r="M20" s="7">
        <v>48640</v>
      </c>
      <c r="N20" s="7">
        <v>25771</v>
      </c>
      <c r="O20" s="7">
        <v>74746</v>
      </c>
      <c r="P20" s="7">
        <v>102168</v>
      </c>
      <c r="Q20" s="7">
        <v>17892</v>
      </c>
      <c r="R20" s="7">
        <v>24180</v>
      </c>
      <c r="S20" s="7">
        <v>6200</v>
      </c>
      <c r="T20" s="7">
        <v>45500</v>
      </c>
      <c r="U20" s="7">
        <v>24568</v>
      </c>
      <c r="V20" s="7">
        <v>0</v>
      </c>
      <c r="W20" s="7">
        <v>23160</v>
      </c>
      <c r="X20" s="7">
        <v>49728</v>
      </c>
      <c r="Y20" s="7">
        <v>349912.6</v>
      </c>
      <c r="Z20" s="7">
        <v>14616</v>
      </c>
      <c r="AA20" s="7">
        <v>95048</v>
      </c>
      <c r="AB20" s="7">
        <v>95328</v>
      </c>
      <c r="AC20" s="7">
        <v>8840</v>
      </c>
    </row>
    <row r="21" spans="1:29" x14ac:dyDescent="0.55000000000000004">
      <c r="A21" s="2" t="s">
        <v>36</v>
      </c>
      <c r="B21" s="3" t="s">
        <v>0</v>
      </c>
      <c r="C21" s="7">
        <v>571380</v>
      </c>
      <c r="D21" s="7">
        <v>0</v>
      </c>
      <c r="E21" s="7">
        <v>508800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43200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19380</v>
      </c>
      <c r="AC21" s="7">
        <v>0</v>
      </c>
    </row>
    <row r="22" spans="1:29" x14ac:dyDescent="0.55000000000000004">
      <c r="A22" s="2"/>
      <c r="B22" s="3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8"/>
      <c r="Z22" s="8"/>
      <c r="AA22" s="8"/>
      <c r="AB22" s="8"/>
      <c r="AC22" s="8"/>
    </row>
    <row r="23" spans="1:29" x14ac:dyDescent="0.55000000000000004">
      <c r="A23" s="1" t="s">
        <v>38</v>
      </c>
      <c r="B23" s="2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</row>
    <row r="24" spans="1:29" x14ac:dyDescent="0.55000000000000004">
      <c r="A24" s="1" t="s">
        <v>28</v>
      </c>
      <c r="B24" s="1" t="s">
        <v>40</v>
      </c>
      <c r="C24" s="6" t="s">
        <v>1</v>
      </c>
      <c r="D24" s="6" t="s">
        <v>2</v>
      </c>
      <c r="E24" s="6" t="s">
        <v>3</v>
      </c>
      <c r="F24" s="6" t="s">
        <v>4</v>
      </c>
      <c r="G24" s="6" t="s">
        <v>5</v>
      </c>
      <c r="H24" s="6" t="s">
        <v>6</v>
      </c>
      <c r="I24" s="6" t="s">
        <v>7</v>
      </c>
      <c r="J24" s="6" t="s">
        <v>8</v>
      </c>
      <c r="K24" s="6" t="s">
        <v>9</v>
      </c>
      <c r="L24" s="6" t="s">
        <v>10</v>
      </c>
      <c r="M24" s="6" t="s">
        <v>11</v>
      </c>
      <c r="N24" s="6" t="s">
        <v>12</v>
      </c>
      <c r="O24" s="6" t="s">
        <v>13</v>
      </c>
      <c r="P24" s="6" t="s">
        <v>14</v>
      </c>
      <c r="Q24" s="6" t="s">
        <v>15</v>
      </c>
      <c r="R24" s="6" t="s">
        <v>16</v>
      </c>
      <c r="S24" s="6" t="s">
        <v>17</v>
      </c>
      <c r="T24" s="6" t="s">
        <v>18</v>
      </c>
      <c r="U24" s="6" t="s">
        <v>19</v>
      </c>
      <c r="V24" s="6" t="s">
        <v>20</v>
      </c>
      <c r="W24" s="6" t="s">
        <v>21</v>
      </c>
      <c r="X24" s="6" t="s">
        <v>22</v>
      </c>
      <c r="Y24" s="6" t="s">
        <v>23</v>
      </c>
      <c r="Z24" s="6" t="s">
        <v>24</v>
      </c>
      <c r="AA24" s="6" t="s">
        <v>25</v>
      </c>
      <c r="AB24" s="6" t="s">
        <v>26</v>
      </c>
      <c r="AC24" s="6" t="s">
        <v>27</v>
      </c>
    </row>
    <row r="25" spans="1:29" x14ac:dyDescent="0.55000000000000004">
      <c r="A25" s="2" t="s">
        <v>29</v>
      </c>
      <c r="B25" s="3" t="s">
        <v>0</v>
      </c>
      <c r="C25" s="7">
        <v>7000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3000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4000</v>
      </c>
      <c r="Z25" s="7">
        <v>0</v>
      </c>
      <c r="AA25" s="7">
        <v>0</v>
      </c>
      <c r="AB25" s="7">
        <v>0</v>
      </c>
      <c r="AC25" s="7">
        <v>0</v>
      </c>
    </row>
    <row r="26" spans="1:29" x14ac:dyDescent="0.55000000000000004">
      <c r="A26" s="2" t="s">
        <v>30</v>
      </c>
      <c r="B26" s="3" t="s">
        <v>0</v>
      </c>
      <c r="C26" s="7">
        <v>289677</v>
      </c>
      <c r="D26" s="7">
        <v>0</v>
      </c>
      <c r="E26" s="7">
        <v>120497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19375</v>
      </c>
      <c r="N26" s="7">
        <v>6000</v>
      </c>
      <c r="O26" s="7">
        <v>15600</v>
      </c>
      <c r="P26" s="7">
        <v>29325</v>
      </c>
      <c r="Q26" s="7">
        <v>0</v>
      </c>
      <c r="R26" s="7">
        <v>0</v>
      </c>
      <c r="S26" s="7">
        <v>0</v>
      </c>
      <c r="T26" s="7">
        <v>0</v>
      </c>
      <c r="U26" s="7">
        <v>32840</v>
      </c>
      <c r="V26" s="7">
        <v>0</v>
      </c>
      <c r="W26" s="7">
        <v>0</v>
      </c>
      <c r="X26" s="7">
        <v>0</v>
      </c>
      <c r="Y26" s="7">
        <v>0</v>
      </c>
      <c r="Z26" s="7">
        <v>18970</v>
      </c>
      <c r="AA26" s="7">
        <v>26150</v>
      </c>
      <c r="AB26" s="7">
        <v>0</v>
      </c>
      <c r="AC26" s="7">
        <v>20920</v>
      </c>
    </row>
    <row r="27" spans="1:29" x14ac:dyDescent="0.55000000000000004">
      <c r="A27" s="2" t="s">
        <v>31</v>
      </c>
      <c r="B27" s="3" t="s">
        <v>0</v>
      </c>
      <c r="C27" s="7">
        <v>504133</v>
      </c>
      <c r="D27" s="7">
        <v>0</v>
      </c>
      <c r="E27" s="7">
        <v>116460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51760</v>
      </c>
      <c r="N27" s="7">
        <v>64170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96580</v>
      </c>
      <c r="V27" s="7">
        <v>0</v>
      </c>
      <c r="W27" s="7">
        <v>0</v>
      </c>
      <c r="X27" s="7">
        <v>0</v>
      </c>
      <c r="Y27" s="7">
        <v>10163</v>
      </c>
      <c r="Z27" s="7">
        <v>165000</v>
      </c>
      <c r="AA27" s="7">
        <v>0</v>
      </c>
      <c r="AB27" s="7">
        <v>0</v>
      </c>
      <c r="AC27" s="7">
        <v>0</v>
      </c>
    </row>
    <row r="28" spans="1:29" x14ac:dyDescent="0.55000000000000004">
      <c r="A28" s="2" t="s">
        <v>32</v>
      </c>
      <c r="B28" s="3" t="s">
        <v>0</v>
      </c>
      <c r="C28" s="7">
        <v>350697</v>
      </c>
      <c r="D28" s="7">
        <v>5056</v>
      </c>
      <c r="E28" s="7">
        <v>89800</v>
      </c>
      <c r="F28" s="7">
        <v>19275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9976</v>
      </c>
      <c r="N28" s="7">
        <v>5860</v>
      </c>
      <c r="O28" s="7">
        <v>0</v>
      </c>
      <c r="P28" s="7">
        <v>4440</v>
      </c>
      <c r="Q28" s="7">
        <v>13800</v>
      </c>
      <c r="R28" s="7">
        <v>0</v>
      </c>
      <c r="S28" s="7">
        <v>4550</v>
      </c>
      <c r="T28" s="7">
        <v>10636</v>
      </c>
      <c r="U28" s="7">
        <v>61560</v>
      </c>
      <c r="V28" s="7">
        <v>0</v>
      </c>
      <c r="W28" s="7">
        <v>0</v>
      </c>
      <c r="X28" s="7">
        <v>10880</v>
      </c>
      <c r="Y28" s="7">
        <v>70790</v>
      </c>
      <c r="Z28" s="7">
        <v>11906</v>
      </c>
      <c r="AA28" s="7">
        <v>0</v>
      </c>
      <c r="AB28" s="7">
        <v>32168</v>
      </c>
      <c r="AC28" s="7">
        <v>0</v>
      </c>
    </row>
    <row r="29" spans="1:29" x14ac:dyDescent="0.55000000000000004">
      <c r="A29" s="2" t="s">
        <v>33</v>
      </c>
      <c r="B29" s="3" t="s">
        <v>0</v>
      </c>
      <c r="C29" s="7">
        <v>952953</v>
      </c>
      <c r="D29" s="7">
        <v>13886</v>
      </c>
      <c r="E29" s="7">
        <v>67720</v>
      </c>
      <c r="F29" s="7">
        <v>143725</v>
      </c>
      <c r="G29" s="7">
        <v>0</v>
      </c>
      <c r="H29" s="7">
        <v>0</v>
      </c>
      <c r="I29" s="7">
        <v>0</v>
      </c>
      <c r="J29" s="7">
        <v>20438</v>
      </c>
      <c r="K29" s="7">
        <v>32000</v>
      </c>
      <c r="L29" s="7">
        <v>0</v>
      </c>
      <c r="M29" s="7">
        <v>9740</v>
      </c>
      <c r="N29" s="7">
        <v>13515</v>
      </c>
      <c r="O29" s="7">
        <v>0</v>
      </c>
      <c r="P29" s="7">
        <v>0</v>
      </c>
      <c r="Q29" s="7">
        <v>0</v>
      </c>
      <c r="R29" s="7">
        <v>19950</v>
      </c>
      <c r="S29" s="7">
        <v>0</v>
      </c>
      <c r="T29" s="7">
        <v>39376</v>
      </c>
      <c r="U29" s="7">
        <v>36700</v>
      </c>
      <c r="V29" s="7">
        <v>0</v>
      </c>
      <c r="W29" s="7">
        <v>107325</v>
      </c>
      <c r="X29" s="7">
        <v>36828</v>
      </c>
      <c r="Y29" s="7">
        <v>319340</v>
      </c>
      <c r="Z29" s="7">
        <v>0</v>
      </c>
      <c r="AA29" s="7">
        <v>0</v>
      </c>
      <c r="AB29" s="7">
        <v>76800</v>
      </c>
      <c r="AC29" s="7">
        <v>15610</v>
      </c>
    </row>
    <row r="30" spans="1:29" x14ac:dyDescent="0.55000000000000004">
      <c r="A30" s="2" t="s">
        <v>34</v>
      </c>
      <c r="B30" s="3" t="s">
        <v>0</v>
      </c>
      <c r="C30" s="7">
        <v>1626933</v>
      </c>
      <c r="D30" s="7">
        <v>0</v>
      </c>
      <c r="E30" s="7">
        <v>361960</v>
      </c>
      <c r="F30" s="7">
        <v>0</v>
      </c>
      <c r="G30" s="7">
        <v>0</v>
      </c>
      <c r="H30" s="7">
        <v>19240</v>
      </c>
      <c r="I30" s="7">
        <v>10060</v>
      </c>
      <c r="J30" s="7">
        <v>0</v>
      </c>
      <c r="K30" s="7">
        <v>0</v>
      </c>
      <c r="L30" s="7">
        <v>0</v>
      </c>
      <c r="M30" s="7">
        <v>126277</v>
      </c>
      <c r="N30" s="7">
        <v>0</v>
      </c>
      <c r="O30" s="7">
        <v>191895</v>
      </c>
      <c r="P30" s="7">
        <v>59473</v>
      </c>
      <c r="Q30" s="7">
        <v>274207</v>
      </c>
      <c r="R30" s="7">
        <v>0</v>
      </c>
      <c r="S30" s="7">
        <v>0</v>
      </c>
      <c r="T30" s="7">
        <v>0</v>
      </c>
      <c r="U30" s="7">
        <v>67180</v>
      </c>
      <c r="V30" s="7">
        <v>0</v>
      </c>
      <c r="W30" s="7">
        <v>119119</v>
      </c>
      <c r="X30" s="7">
        <v>239500</v>
      </c>
      <c r="Y30" s="7">
        <v>0</v>
      </c>
      <c r="Z30" s="7">
        <v>139787</v>
      </c>
      <c r="AA30" s="7">
        <v>18235</v>
      </c>
      <c r="AB30" s="7">
        <v>0</v>
      </c>
      <c r="AC30" s="7">
        <v>0</v>
      </c>
    </row>
    <row r="31" spans="1:29" x14ac:dyDescent="0.55000000000000004">
      <c r="A31" s="2" t="s">
        <v>35</v>
      </c>
      <c r="B31" s="3" t="s">
        <v>0</v>
      </c>
      <c r="C31" s="7">
        <v>232799</v>
      </c>
      <c r="D31" s="7">
        <v>0</v>
      </c>
      <c r="E31" s="7">
        <v>115922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11389</v>
      </c>
      <c r="N31" s="7">
        <v>0</v>
      </c>
      <c r="O31" s="7">
        <v>0</v>
      </c>
      <c r="P31" s="7">
        <v>18877</v>
      </c>
      <c r="Q31" s="7">
        <v>0</v>
      </c>
      <c r="R31" s="7">
        <v>0</v>
      </c>
      <c r="S31" s="7">
        <v>0</v>
      </c>
      <c r="T31" s="7">
        <v>22000</v>
      </c>
      <c r="U31" s="7">
        <v>16325</v>
      </c>
      <c r="V31" s="7">
        <v>0</v>
      </c>
      <c r="W31" s="7">
        <v>13602</v>
      </c>
      <c r="X31" s="7">
        <v>6711</v>
      </c>
      <c r="Y31" s="7">
        <v>9079</v>
      </c>
      <c r="Z31" s="7">
        <v>8058</v>
      </c>
      <c r="AA31" s="7">
        <v>0</v>
      </c>
      <c r="AB31" s="7">
        <v>6000</v>
      </c>
      <c r="AC31" s="7">
        <v>4836</v>
      </c>
    </row>
    <row r="32" spans="1:29" x14ac:dyDescent="0.55000000000000004">
      <c r="A32" s="2" t="s">
        <v>36</v>
      </c>
      <c r="B32" s="3" t="s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</row>
    <row r="34" spans="1:29" x14ac:dyDescent="0.55000000000000004">
      <c r="A34" s="1" t="s">
        <v>37</v>
      </c>
      <c r="B34" s="1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spans="1:29" x14ac:dyDescent="0.55000000000000004">
      <c r="A35" s="1" t="s">
        <v>28</v>
      </c>
      <c r="B35" s="1" t="s">
        <v>41</v>
      </c>
      <c r="D35" s="4" t="s">
        <v>20</v>
      </c>
      <c r="E35" s="4" t="s">
        <v>17</v>
      </c>
      <c r="F35" s="4" t="s">
        <v>16</v>
      </c>
      <c r="G35" s="4" t="s">
        <v>3</v>
      </c>
      <c r="H35" s="4" t="s">
        <v>14</v>
      </c>
      <c r="I35" s="4" t="s">
        <v>13</v>
      </c>
      <c r="J35" s="4" t="s">
        <v>11</v>
      </c>
      <c r="K35" s="4" t="s">
        <v>26</v>
      </c>
      <c r="L35" s="4" t="s">
        <v>9</v>
      </c>
      <c r="M35" s="4" t="s">
        <v>19</v>
      </c>
      <c r="N35" s="4" t="s">
        <v>27</v>
      </c>
      <c r="O35" s="4" t="s">
        <v>4</v>
      </c>
      <c r="P35" s="4" t="s">
        <v>25</v>
      </c>
      <c r="Q35" s="4" t="s">
        <v>8</v>
      </c>
      <c r="R35" s="4" t="s">
        <v>7</v>
      </c>
      <c r="S35" s="4" t="s">
        <v>18</v>
      </c>
      <c r="T35" s="4" t="s">
        <v>15</v>
      </c>
      <c r="U35" s="4" t="s">
        <v>12</v>
      </c>
      <c r="V35" s="4" t="s">
        <v>6</v>
      </c>
      <c r="W35" s="4" t="s">
        <v>21</v>
      </c>
      <c r="X35" s="4" t="s">
        <v>22</v>
      </c>
      <c r="Y35" s="4" t="s">
        <v>5</v>
      </c>
      <c r="Z35" s="4" t="s">
        <v>23</v>
      </c>
      <c r="AA35" s="4" t="s">
        <v>24</v>
      </c>
      <c r="AB35" s="4" t="s">
        <v>10</v>
      </c>
      <c r="AC35" s="4" t="s">
        <v>2</v>
      </c>
    </row>
    <row r="36" spans="1:29" x14ac:dyDescent="0.55000000000000004">
      <c r="A36" s="2" t="s">
        <v>29</v>
      </c>
      <c r="B36">
        <v>2</v>
      </c>
      <c r="D36" s="7">
        <f>HLOOKUP(D$35,$D$2:$AC$10,$B36,FALSE)</f>
        <v>0</v>
      </c>
      <c r="E36" s="7">
        <f t="shared" ref="E36:AC43" si="0">HLOOKUP(E$35,$D$2:$AC$10,$B36,FALSE)</f>
        <v>0</v>
      </c>
      <c r="F36" s="7">
        <f t="shared" si="0"/>
        <v>8000</v>
      </c>
      <c r="G36" s="7">
        <f t="shared" si="0"/>
        <v>0</v>
      </c>
      <c r="H36" s="7">
        <f t="shared" si="0"/>
        <v>33000</v>
      </c>
      <c r="I36" s="7">
        <f t="shared" si="0"/>
        <v>0</v>
      </c>
      <c r="J36" s="7">
        <f t="shared" si="0"/>
        <v>47000</v>
      </c>
      <c r="K36" s="7">
        <f t="shared" si="0"/>
        <v>0</v>
      </c>
      <c r="L36" s="7">
        <f t="shared" si="0"/>
        <v>36750</v>
      </c>
      <c r="M36" s="7">
        <f t="shared" si="0"/>
        <v>60000</v>
      </c>
      <c r="N36" s="7">
        <f t="shared" si="0"/>
        <v>62000</v>
      </c>
      <c r="O36" s="7">
        <f t="shared" si="0"/>
        <v>0</v>
      </c>
      <c r="P36" s="7">
        <f t="shared" si="0"/>
        <v>0</v>
      </c>
      <c r="Q36" s="7">
        <f t="shared" si="0"/>
        <v>0</v>
      </c>
      <c r="R36" s="7">
        <f t="shared" si="0"/>
        <v>5000</v>
      </c>
      <c r="S36" s="7">
        <f t="shared" si="0"/>
        <v>13050</v>
      </c>
      <c r="T36" s="7">
        <f t="shared" si="0"/>
        <v>7000</v>
      </c>
      <c r="U36" s="7">
        <f t="shared" si="0"/>
        <v>14000</v>
      </c>
      <c r="V36" s="7">
        <f t="shared" si="0"/>
        <v>3000</v>
      </c>
      <c r="W36" s="7">
        <f t="shared" si="0"/>
        <v>50000</v>
      </c>
      <c r="X36" s="7">
        <f t="shared" si="0"/>
        <v>0</v>
      </c>
      <c r="Y36" s="7">
        <f t="shared" si="0"/>
        <v>14000</v>
      </c>
      <c r="Z36" s="7">
        <f t="shared" si="0"/>
        <v>82500</v>
      </c>
      <c r="AA36" s="7">
        <f t="shared" si="0"/>
        <v>0</v>
      </c>
      <c r="AB36" s="7">
        <f t="shared" si="0"/>
        <v>0</v>
      </c>
      <c r="AC36" s="7">
        <f t="shared" si="0"/>
        <v>0</v>
      </c>
    </row>
    <row r="37" spans="1:29" x14ac:dyDescent="0.55000000000000004">
      <c r="A37" s="2" t="s">
        <v>30</v>
      </c>
      <c r="B37">
        <v>3</v>
      </c>
      <c r="D37" s="7">
        <f t="shared" ref="D37:D42" si="1">HLOOKUP(D$35,$D$2:$AC$10,$B37,FALSE)</f>
        <v>0</v>
      </c>
      <c r="E37" s="7">
        <f t="shared" si="0"/>
        <v>5250</v>
      </c>
      <c r="F37" s="7">
        <f t="shared" si="0"/>
        <v>20125</v>
      </c>
      <c r="G37" s="7">
        <f t="shared" si="0"/>
        <v>1135329</v>
      </c>
      <c r="H37" s="7">
        <f t="shared" si="0"/>
        <v>136565</v>
      </c>
      <c r="I37" s="7">
        <f t="shared" si="0"/>
        <v>69210</v>
      </c>
      <c r="J37" s="7">
        <f t="shared" si="0"/>
        <v>97677</v>
      </c>
      <c r="K37" s="7">
        <f t="shared" si="0"/>
        <v>0</v>
      </c>
      <c r="L37" s="7">
        <f t="shared" si="0"/>
        <v>25870</v>
      </c>
      <c r="M37" s="7">
        <f t="shared" si="0"/>
        <v>40000</v>
      </c>
      <c r="N37" s="7">
        <f t="shared" si="0"/>
        <v>136685</v>
      </c>
      <c r="O37" s="7">
        <f t="shared" si="0"/>
        <v>36200</v>
      </c>
      <c r="P37" s="7">
        <f t="shared" si="0"/>
        <v>186875</v>
      </c>
      <c r="Q37" s="7">
        <f t="shared" si="0"/>
        <v>3515</v>
      </c>
      <c r="R37" s="7">
        <f t="shared" si="0"/>
        <v>0</v>
      </c>
      <c r="S37" s="7">
        <f t="shared" si="0"/>
        <v>0</v>
      </c>
      <c r="T37" s="7">
        <f t="shared" si="0"/>
        <v>76000</v>
      </c>
      <c r="U37" s="7">
        <f t="shared" si="0"/>
        <v>67531</v>
      </c>
      <c r="V37" s="7">
        <f t="shared" si="0"/>
        <v>0</v>
      </c>
      <c r="W37" s="7">
        <f t="shared" si="0"/>
        <v>81000</v>
      </c>
      <c r="X37" s="7">
        <f t="shared" si="0"/>
        <v>0</v>
      </c>
      <c r="Y37" s="7">
        <f t="shared" si="0"/>
        <v>44000</v>
      </c>
      <c r="Z37" s="7">
        <f t="shared" si="0"/>
        <v>910273</v>
      </c>
      <c r="AA37" s="7">
        <f t="shared" si="0"/>
        <v>0</v>
      </c>
      <c r="AB37" s="7">
        <f t="shared" si="0"/>
        <v>0</v>
      </c>
      <c r="AC37" s="7">
        <f t="shared" si="0"/>
        <v>0</v>
      </c>
    </row>
    <row r="38" spans="1:29" x14ac:dyDescent="0.55000000000000004">
      <c r="A38" s="2" t="s">
        <v>31</v>
      </c>
      <c r="B38">
        <v>4</v>
      </c>
      <c r="D38" s="7">
        <f t="shared" si="1"/>
        <v>0</v>
      </c>
      <c r="E38" s="7">
        <f t="shared" si="0"/>
        <v>0</v>
      </c>
      <c r="F38" s="7">
        <f t="shared" si="0"/>
        <v>0</v>
      </c>
      <c r="G38" s="7">
        <f t="shared" si="0"/>
        <v>0</v>
      </c>
      <c r="H38" s="7">
        <f t="shared" si="0"/>
        <v>0</v>
      </c>
      <c r="I38" s="7">
        <f t="shared" si="0"/>
        <v>0</v>
      </c>
      <c r="J38" s="7">
        <f t="shared" si="0"/>
        <v>0</v>
      </c>
      <c r="K38" s="7">
        <f t="shared" si="0"/>
        <v>0</v>
      </c>
      <c r="L38" s="7">
        <f t="shared" si="0"/>
        <v>0</v>
      </c>
      <c r="M38" s="7">
        <f t="shared" si="0"/>
        <v>0</v>
      </c>
      <c r="N38" s="7">
        <f t="shared" si="0"/>
        <v>0</v>
      </c>
      <c r="O38" s="7">
        <f t="shared" si="0"/>
        <v>0</v>
      </c>
      <c r="P38" s="7">
        <f t="shared" si="0"/>
        <v>0</v>
      </c>
      <c r="Q38" s="7">
        <f t="shared" si="0"/>
        <v>0</v>
      </c>
      <c r="R38" s="7">
        <f t="shared" si="0"/>
        <v>0</v>
      </c>
      <c r="S38" s="7">
        <f t="shared" si="0"/>
        <v>0</v>
      </c>
      <c r="T38" s="7">
        <f t="shared" si="0"/>
        <v>0</v>
      </c>
      <c r="U38" s="7">
        <f t="shared" si="0"/>
        <v>0</v>
      </c>
      <c r="V38" s="7">
        <f t="shared" si="0"/>
        <v>0</v>
      </c>
      <c r="W38" s="7">
        <f t="shared" si="0"/>
        <v>0</v>
      </c>
      <c r="X38" s="7">
        <f t="shared" si="0"/>
        <v>0</v>
      </c>
      <c r="Y38" s="7">
        <f t="shared" si="0"/>
        <v>0</v>
      </c>
      <c r="Z38" s="7">
        <f t="shared" si="0"/>
        <v>17042</v>
      </c>
      <c r="AA38" s="7">
        <f t="shared" si="0"/>
        <v>0</v>
      </c>
      <c r="AB38" s="7">
        <f t="shared" si="0"/>
        <v>0</v>
      </c>
      <c r="AC38" s="7">
        <f t="shared" si="0"/>
        <v>0</v>
      </c>
    </row>
    <row r="39" spans="1:29" x14ac:dyDescent="0.55000000000000004">
      <c r="A39" s="2" t="s">
        <v>32</v>
      </c>
      <c r="B39">
        <v>5</v>
      </c>
      <c r="D39" s="7">
        <f t="shared" si="1"/>
        <v>0</v>
      </c>
      <c r="E39" s="7">
        <f t="shared" si="0"/>
        <v>31967</v>
      </c>
      <c r="F39" s="7">
        <f t="shared" si="0"/>
        <v>48998</v>
      </c>
      <c r="G39" s="7">
        <f t="shared" si="0"/>
        <v>8595813</v>
      </c>
      <c r="H39" s="7">
        <f t="shared" si="0"/>
        <v>697312</v>
      </c>
      <c r="I39" s="7">
        <f t="shared" si="0"/>
        <v>655735</v>
      </c>
      <c r="J39" s="7">
        <f t="shared" si="0"/>
        <v>1582155.5</v>
      </c>
      <c r="K39" s="7">
        <f t="shared" si="0"/>
        <v>880433</v>
      </c>
      <c r="L39" s="7">
        <f t="shared" si="0"/>
        <v>226565</v>
      </c>
      <c r="M39" s="7">
        <f t="shared" si="0"/>
        <v>365032</v>
      </c>
      <c r="N39" s="7">
        <f t="shared" si="0"/>
        <v>143760</v>
      </c>
      <c r="O39" s="7">
        <f t="shared" si="0"/>
        <v>858848</v>
      </c>
      <c r="P39" s="7">
        <f t="shared" si="0"/>
        <v>489113</v>
      </c>
      <c r="Q39" s="7">
        <f t="shared" si="0"/>
        <v>80822</v>
      </c>
      <c r="R39" s="7">
        <f t="shared" si="0"/>
        <v>36000</v>
      </c>
      <c r="S39" s="7">
        <f t="shared" si="0"/>
        <v>1433960.6</v>
      </c>
      <c r="T39" s="7">
        <f t="shared" si="0"/>
        <v>203000</v>
      </c>
      <c r="U39" s="7">
        <f t="shared" si="0"/>
        <v>675529</v>
      </c>
      <c r="V39" s="7">
        <f t="shared" si="0"/>
        <v>83709</v>
      </c>
      <c r="W39" s="7">
        <f t="shared" si="0"/>
        <v>1005600</v>
      </c>
      <c r="X39" s="7">
        <f t="shared" si="0"/>
        <v>1284520</v>
      </c>
      <c r="Y39" s="7">
        <f t="shared" si="0"/>
        <v>45000</v>
      </c>
      <c r="Z39" s="7">
        <f t="shared" si="0"/>
        <v>1829163</v>
      </c>
      <c r="AA39" s="7">
        <f t="shared" si="0"/>
        <v>2496043</v>
      </c>
      <c r="AB39" s="7">
        <f t="shared" si="0"/>
        <v>0</v>
      </c>
      <c r="AC39" s="7">
        <f t="shared" si="0"/>
        <v>271874</v>
      </c>
    </row>
    <row r="40" spans="1:29" x14ac:dyDescent="0.55000000000000004">
      <c r="A40" s="2" t="s">
        <v>33</v>
      </c>
      <c r="B40">
        <v>6</v>
      </c>
      <c r="D40" s="7">
        <f t="shared" si="1"/>
        <v>0</v>
      </c>
      <c r="E40" s="7">
        <f t="shared" si="0"/>
        <v>27537</v>
      </c>
      <c r="F40" s="7">
        <f t="shared" si="0"/>
        <v>94260</v>
      </c>
      <c r="G40" s="7">
        <f t="shared" si="0"/>
        <v>1610500</v>
      </c>
      <c r="H40" s="7">
        <f t="shared" si="0"/>
        <v>110672</v>
      </c>
      <c r="I40" s="7">
        <f t="shared" si="0"/>
        <v>590727</v>
      </c>
      <c r="J40" s="7">
        <f t="shared" si="0"/>
        <v>871349</v>
      </c>
      <c r="K40" s="7">
        <f t="shared" si="0"/>
        <v>96296</v>
      </c>
      <c r="L40" s="7">
        <f t="shared" si="0"/>
        <v>7813</v>
      </c>
      <c r="M40" s="7">
        <f t="shared" si="0"/>
        <v>522600</v>
      </c>
      <c r="N40" s="7">
        <f t="shared" si="0"/>
        <v>30235</v>
      </c>
      <c r="O40" s="7">
        <f t="shared" si="0"/>
        <v>1323158</v>
      </c>
      <c r="P40" s="7">
        <f t="shared" si="0"/>
        <v>14375</v>
      </c>
      <c r="Q40" s="7">
        <f t="shared" si="0"/>
        <v>40556</v>
      </c>
      <c r="R40" s="7">
        <f t="shared" si="0"/>
        <v>12000</v>
      </c>
      <c r="S40" s="7">
        <f t="shared" si="0"/>
        <v>1543336</v>
      </c>
      <c r="T40" s="7">
        <f t="shared" si="0"/>
        <v>148000</v>
      </c>
      <c r="U40" s="7">
        <f t="shared" si="0"/>
        <v>157366</v>
      </c>
      <c r="V40" s="7">
        <f t="shared" si="0"/>
        <v>30281</v>
      </c>
      <c r="W40" s="7">
        <f t="shared" si="0"/>
        <v>834500</v>
      </c>
      <c r="X40" s="7">
        <f t="shared" si="0"/>
        <v>80663</v>
      </c>
      <c r="Y40" s="7">
        <f t="shared" si="0"/>
        <v>32000</v>
      </c>
      <c r="Z40" s="7">
        <f t="shared" si="0"/>
        <v>1270691</v>
      </c>
      <c r="AA40" s="7">
        <f t="shared" si="0"/>
        <v>136067</v>
      </c>
      <c r="AB40" s="7">
        <f t="shared" si="0"/>
        <v>0</v>
      </c>
      <c r="AC40" s="7">
        <f t="shared" si="0"/>
        <v>265962</v>
      </c>
    </row>
    <row r="41" spans="1:29" x14ac:dyDescent="0.55000000000000004">
      <c r="A41" s="2" t="s">
        <v>34</v>
      </c>
      <c r="B41">
        <v>7</v>
      </c>
      <c r="D41" s="7">
        <f t="shared" si="1"/>
        <v>0</v>
      </c>
      <c r="E41" s="7">
        <f t="shared" si="0"/>
        <v>0</v>
      </c>
      <c r="F41" s="7">
        <f t="shared" si="0"/>
        <v>17110</v>
      </c>
      <c r="G41" s="7">
        <f t="shared" si="0"/>
        <v>1460264</v>
      </c>
      <c r="H41" s="7">
        <f t="shared" si="0"/>
        <v>107081</v>
      </c>
      <c r="I41" s="7">
        <f t="shared" si="0"/>
        <v>230762</v>
      </c>
      <c r="J41" s="7">
        <f t="shared" si="0"/>
        <v>371740</v>
      </c>
      <c r="K41" s="7">
        <f t="shared" si="0"/>
        <v>0</v>
      </c>
      <c r="L41" s="7">
        <f t="shared" si="0"/>
        <v>24640</v>
      </c>
      <c r="M41" s="7">
        <f t="shared" si="0"/>
        <v>15000</v>
      </c>
      <c r="N41" s="7">
        <f t="shared" si="0"/>
        <v>23520</v>
      </c>
      <c r="O41" s="7">
        <f t="shared" si="0"/>
        <v>0</v>
      </c>
      <c r="P41" s="7">
        <f t="shared" si="0"/>
        <v>17006</v>
      </c>
      <c r="Q41" s="7">
        <f t="shared" si="0"/>
        <v>4128</v>
      </c>
      <c r="R41" s="7">
        <f t="shared" si="0"/>
        <v>45000</v>
      </c>
      <c r="S41" s="7">
        <f t="shared" si="0"/>
        <v>9260.65</v>
      </c>
      <c r="T41" s="7">
        <f t="shared" si="0"/>
        <v>84000</v>
      </c>
      <c r="U41" s="7">
        <f t="shared" si="0"/>
        <v>16787</v>
      </c>
      <c r="V41" s="7">
        <f t="shared" si="0"/>
        <v>265021</v>
      </c>
      <c r="W41" s="7">
        <f t="shared" si="0"/>
        <v>88500</v>
      </c>
      <c r="X41" s="7">
        <f t="shared" si="0"/>
        <v>23750</v>
      </c>
      <c r="Y41" s="7">
        <f t="shared" si="0"/>
        <v>8000</v>
      </c>
      <c r="Z41" s="7">
        <f t="shared" si="0"/>
        <v>0</v>
      </c>
      <c r="AA41" s="7">
        <f t="shared" si="0"/>
        <v>33429</v>
      </c>
      <c r="AB41" s="7">
        <f t="shared" si="0"/>
        <v>0</v>
      </c>
      <c r="AC41" s="7">
        <f t="shared" si="0"/>
        <v>12237</v>
      </c>
    </row>
    <row r="42" spans="1:29" x14ac:dyDescent="0.55000000000000004">
      <c r="A42" s="2" t="s">
        <v>35</v>
      </c>
      <c r="B42">
        <v>8</v>
      </c>
      <c r="D42" s="7">
        <f t="shared" si="1"/>
        <v>0</v>
      </c>
      <c r="E42" s="7">
        <f t="shared" si="0"/>
        <v>24840</v>
      </c>
      <c r="F42" s="7">
        <f t="shared" si="0"/>
        <v>77831</v>
      </c>
      <c r="G42" s="7">
        <f t="shared" si="0"/>
        <v>221688</v>
      </c>
      <c r="H42" s="7">
        <f t="shared" si="0"/>
        <v>100391</v>
      </c>
      <c r="I42" s="7">
        <f t="shared" si="0"/>
        <v>23821</v>
      </c>
      <c r="J42" s="7">
        <f t="shared" si="0"/>
        <v>62114</v>
      </c>
      <c r="K42" s="7">
        <f t="shared" si="0"/>
        <v>102057</v>
      </c>
      <c r="L42" s="7">
        <f t="shared" si="0"/>
        <v>47874</v>
      </c>
      <c r="M42" s="7">
        <f t="shared" si="0"/>
        <v>96609</v>
      </c>
      <c r="N42" s="7">
        <f t="shared" si="0"/>
        <v>103385</v>
      </c>
      <c r="O42" s="7">
        <f t="shared" si="0"/>
        <v>58912</v>
      </c>
      <c r="P42" s="7">
        <f t="shared" si="0"/>
        <v>62522</v>
      </c>
      <c r="Q42" s="7">
        <f t="shared" si="0"/>
        <v>6330</v>
      </c>
      <c r="R42" s="7">
        <f t="shared" si="0"/>
        <v>0</v>
      </c>
      <c r="S42" s="7">
        <f t="shared" si="0"/>
        <v>172500</v>
      </c>
      <c r="T42" s="7">
        <f t="shared" si="0"/>
        <v>0</v>
      </c>
      <c r="U42" s="7">
        <f t="shared" si="0"/>
        <v>59623</v>
      </c>
      <c r="V42" s="7">
        <f t="shared" si="0"/>
        <v>21250</v>
      </c>
      <c r="W42" s="7">
        <f t="shared" si="0"/>
        <v>81000</v>
      </c>
      <c r="X42" s="7">
        <f t="shared" si="0"/>
        <v>94244</v>
      </c>
      <c r="Y42" s="7">
        <f t="shared" si="0"/>
        <v>0</v>
      </c>
      <c r="Z42" s="7">
        <f t="shared" si="0"/>
        <v>719317</v>
      </c>
      <c r="AA42" s="7">
        <f t="shared" si="0"/>
        <v>40862</v>
      </c>
      <c r="AB42" s="7">
        <f t="shared" si="0"/>
        <v>0</v>
      </c>
      <c r="AC42" s="7">
        <f t="shared" si="0"/>
        <v>0</v>
      </c>
    </row>
    <row r="43" spans="1:29" x14ac:dyDescent="0.55000000000000004">
      <c r="A43" s="2" t="s">
        <v>36</v>
      </c>
      <c r="B43">
        <v>9</v>
      </c>
      <c r="D43" s="7">
        <f>HLOOKUP(D$35,$D$2:$AC$10,$B43,FALSE)</f>
        <v>0</v>
      </c>
      <c r="E43" s="7">
        <f t="shared" si="0"/>
        <v>0</v>
      </c>
      <c r="F43" s="7">
        <f t="shared" si="0"/>
        <v>0</v>
      </c>
      <c r="G43" s="7">
        <f t="shared" si="0"/>
        <v>3000</v>
      </c>
      <c r="H43" s="7">
        <f t="shared" si="0"/>
        <v>0</v>
      </c>
      <c r="I43" s="7">
        <f t="shared" si="0"/>
        <v>7200</v>
      </c>
      <c r="J43" s="7">
        <f t="shared" si="0"/>
        <v>0</v>
      </c>
      <c r="K43" s="7">
        <f t="shared" si="0"/>
        <v>11520</v>
      </c>
      <c r="L43" s="7">
        <f t="shared" si="0"/>
        <v>0</v>
      </c>
      <c r="M43" s="7">
        <f t="shared" si="0"/>
        <v>10000</v>
      </c>
      <c r="N43" s="7">
        <f t="shared" si="0"/>
        <v>0</v>
      </c>
      <c r="O43" s="7">
        <f t="shared" si="0"/>
        <v>0</v>
      </c>
      <c r="P43" s="7">
        <f t="shared" si="0"/>
        <v>0</v>
      </c>
      <c r="Q43" s="7">
        <f t="shared" si="0"/>
        <v>0</v>
      </c>
      <c r="R43" s="7">
        <f t="shared" si="0"/>
        <v>0</v>
      </c>
      <c r="S43" s="7">
        <f t="shared" si="0"/>
        <v>0</v>
      </c>
      <c r="T43" s="7">
        <f t="shared" si="0"/>
        <v>0</v>
      </c>
      <c r="U43" s="7">
        <f t="shared" si="0"/>
        <v>0</v>
      </c>
      <c r="V43" s="7">
        <f t="shared" si="0"/>
        <v>0</v>
      </c>
      <c r="W43" s="7">
        <f t="shared" si="0"/>
        <v>7500</v>
      </c>
      <c r="X43" s="7">
        <f t="shared" si="0"/>
        <v>0</v>
      </c>
      <c r="Y43" s="7">
        <f t="shared" si="0"/>
        <v>0</v>
      </c>
      <c r="Z43" s="7">
        <f t="shared" si="0"/>
        <v>0</v>
      </c>
      <c r="AA43" s="7">
        <f t="shared" si="0"/>
        <v>0</v>
      </c>
      <c r="AB43" s="7">
        <f t="shared" si="0"/>
        <v>0</v>
      </c>
      <c r="AC43" s="7">
        <f t="shared" si="0"/>
        <v>0</v>
      </c>
    </row>
    <row r="44" spans="1:29" x14ac:dyDescent="0.55000000000000004">
      <c r="A44" s="2"/>
    </row>
    <row r="45" spans="1:29" x14ac:dyDescent="0.55000000000000004">
      <c r="A45" s="1" t="s">
        <v>39</v>
      </c>
      <c r="B45" s="1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spans="1:29" x14ac:dyDescent="0.55000000000000004">
      <c r="A46" s="1" t="s">
        <v>28</v>
      </c>
      <c r="B46" s="1" t="s">
        <v>41</v>
      </c>
      <c r="D46" s="4" t="s">
        <v>20</v>
      </c>
      <c r="E46" s="4" t="s">
        <v>17</v>
      </c>
      <c r="F46" s="4" t="s">
        <v>16</v>
      </c>
      <c r="G46" s="4" t="s">
        <v>3</v>
      </c>
      <c r="H46" s="4" t="s">
        <v>14</v>
      </c>
      <c r="I46" s="4" t="s">
        <v>13</v>
      </c>
      <c r="J46" s="4" t="s">
        <v>11</v>
      </c>
      <c r="K46" s="4" t="s">
        <v>26</v>
      </c>
      <c r="L46" s="4" t="s">
        <v>9</v>
      </c>
      <c r="M46" s="4" t="s">
        <v>19</v>
      </c>
      <c r="N46" s="4" t="s">
        <v>27</v>
      </c>
      <c r="O46" s="4" t="s">
        <v>4</v>
      </c>
      <c r="P46" s="4" t="s">
        <v>25</v>
      </c>
      <c r="Q46" s="4" t="s">
        <v>8</v>
      </c>
      <c r="R46" s="4" t="s">
        <v>7</v>
      </c>
      <c r="S46" s="4" t="s">
        <v>18</v>
      </c>
      <c r="T46" s="4" t="s">
        <v>15</v>
      </c>
      <c r="U46" s="4" t="s">
        <v>12</v>
      </c>
      <c r="V46" s="4" t="s">
        <v>6</v>
      </c>
      <c r="W46" s="4" t="s">
        <v>21</v>
      </c>
      <c r="X46" s="4" t="s">
        <v>22</v>
      </c>
      <c r="Y46" s="4" t="s">
        <v>5</v>
      </c>
      <c r="Z46" s="4" t="s">
        <v>23</v>
      </c>
      <c r="AA46" s="4" t="s">
        <v>24</v>
      </c>
      <c r="AB46" s="4" t="s">
        <v>10</v>
      </c>
      <c r="AC46" s="4" t="s">
        <v>2</v>
      </c>
    </row>
    <row r="47" spans="1:29" x14ac:dyDescent="0.55000000000000004">
      <c r="A47" s="2" t="s">
        <v>29</v>
      </c>
      <c r="B47">
        <v>2</v>
      </c>
      <c r="D47" s="7">
        <f>HLOOKUP(D$46,$D$13:$AC$21,$B47,FALSE)</f>
        <v>0</v>
      </c>
      <c r="E47" s="7">
        <f t="shared" ref="E47:AC54" si="2">HLOOKUP(E$46,$D$13:$AC$21,$B47,FALSE)</f>
        <v>0</v>
      </c>
      <c r="F47" s="7">
        <f t="shared" si="2"/>
        <v>0</v>
      </c>
      <c r="G47" s="7">
        <f t="shared" si="2"/>
        <v>0</v>
      </c>
      <c r="H47" s="7">
        <f t="shared" si="2"/>
        <v>48000</v>
      </c>
      <c r="I47" s="7">
        <f t="shared" si="2"/>
        <v>0</v>
      </c>
      <c r="J47" s="7">
        <f t="shared" si="2"/>
        <v>18000</v>
      </c>
      <c r="K47" s="7">
        <f t="shared" si="2"/>
        <v>0</v>
      </c>
      <c r="L47" s="7">
        <f t="shared" si="2"/>
        <v>0</v>
      </c>
      <c r="M47" s="7">
        <f t="shared" si="2"/>
        <v>60000</v>
      </c>
      <c r="N47" s="7">
        <f t="shared" si="2"/>
        <v>0</v>
      </c>
      <c r="O47" s="7">
        <f t="shared" si="2"/>
        <v>0</v>
      </c>
      <c r="P47" s="7">
        <f t="shared" si="2"/>
        <v>0</v>
      </c>
      <c r="Q47" s="7">
        <f t="shared" si="2"/>
        <v>0</v>
      </c>
      <c r="R47" s="7">
        <f t="shared" si="2"/>
        <v>0</v>
      </c>
      <c r="S47" s="7">
        <f t="shared" si="2"/>
        <v>0</v>
      </c>
      <c r="T47" s="7">
        <f t="shared" si="2"/>
        <v>0</v>
      </c>
      <c r="U47" s="7">
        <f t="shared" si="2"/>
        <v>3000</v>
      </c>
      <c r="V47" s="7">
        <f t="shared" si="2"/>
        <v>0</v>
      </c>
      <c r="W47" s="7">
        <f t="shared" si="2"/>
        <v>0</v>
      </c>
      <c r="X47" s="7">
        <f t="shared" si="2"/>
        <v>0</v>
      </c>
      <c r="Y47" s="7">
        <f t="shared" si="2"/>
        <v>0</v>
      </c>
      <c r="Z47" s="7">
        <f t="shared" si="2"/>
        <v>0</v>
      </c>
      <c r="AA47" s="7">
        <f t="shared" si="2"/>
        <v>0</v>
      </c>
      <c r="AB47" s="7">
        <f t="shared" si="2"/>
        <v>0</v>
      </c>
      <c r="AC47" s="7">
        <f t="shared" si="2"/>
        <v>0</v>
      </c>
    </row>
    <row r="48" spans="1:29" x14ac:dyDescent="0.55000000000000004">
      <c r="A48" s="2" t="s">
        <v>30</v>
      </c>
      <c r="B48">
        <v>3</v>
      </c>
      <c r="D48" s="7">
        <f t="shared" ref="D48:S54" si="3">HLOOKUP(D$46,$D$13:$AC$21,$B48,FALSE)</f>
        <v>0</v>
      </c>
      <c r="E48" s="7">
        <f t="shared" si="3"/>
        <v>0</v>
      </c>
      <c r="F48" s="7">
        <f t="shared" si="3"/>
        <v>10125</v>
      </c>
      <c r="G48" s="7">
        <f t="shared" si="3"/>
        <v>508845</v>
      </c>
      <c r="H48" s="7">
        <f t="shared" si="3"/>
        <v>70340</v>
      </c>
      <c r="I48" s="7">
        <f t="shared" si="3"/>
        <v>112130</v>
      </c>
      <c r="J48" s="7">
        <f t="shared" si="3"/>
        <v>56708</v>
      </c>
      <c r="K48" s="7">
        <f t="shared" si="3"/>
        <v>0</v>
      </c>
      <c r="L48" s="7">
        <f t="shared" si="3"/>
        <v>10200</v>
      </c>
      <c r="M48" s="7">
        <f t="shared" si="3"/>
        <v>202800</v>
      </c>
      <c r="N48" s="7">
        <f t="shared" si="3"/>
        <v>70550</v>
      </c>
      <c r="O48" s="7">
        <f t="shared" si="3"/>
        <v>89060</v>
      </c>
      <c r="P48" s="7">
        <f t="shared" si="3"/>
        <v>19840</v>
      </c>
      <c r="Q48" s="7">
        <f t="shared" si="3"/>
        <v>11765</v>
      </c>
      <c r="R48" s="7">
        <f t="shared" si="3"/>
        <v>0</v>
      </c>
      <c r="S48" s="7">
        <f t="shared" si="3"/>
        <v>0</v>
      </c>
      <c r="T48" s="7">
        <f t="shared" si="2"/>
        <v>33500</v>
      </c>
      <c r="U48" s="7">
        <f t="shared" si="2"/>
        <v>59354</v>
      </c>
      <c r="V48" s="7">
        <f t="shared" si="2"/>
        <v>3965</v>
      </c>
      <c r="W48" s="7">
        <f t="shared" si="2"/>
        <v>24000</v>
      </c>
      <c r="X48" s="7">
        <f t="shared" si="2"/>
        <v>0</v>
      </c>
      <c r="Y48" s="7">
        <f t="shared" si="2"/>
        <v>34000</v>
      </c>
      <c r="Z48" s="7">
        <f t="shared" si="2"/>
        <v>234090</v>
      </c>
      <c r="AA48" s="7">
        <f t="shared" si="2"/>
        <v>35404</v>
      </c>
      <c r="AB48" s="7">
        <f t="shared" si="2"/>
        <v>0</v>
      </c>
      <c r="AC48" s="7">
        <f t="shared" si="2"/>
        <v>0</v>
      </c>
    </row>
    <row r="49" spans="1:58" x14ac:dyDescent="0.55000000000000004">
      <c r="A49" s="2" t="s">
        <v>31</v>
      </c>
      <c r="B49">
        <v>4</v>
      </c>
      <c r="D49" s="7">
        <f t="shared" si="3"/>
        <v>0</v>
      </c>
      <c r="E49" s="7">
        <f t="shared" si="2"/>
        <v>0</v>
      </c>
      <c r="F49" s="7">
        <f t="shared" si="2"/>
        <v>0</v>
      </c>
      <c r="G49" s="7">
        <f t="shared" si="2"/>
        <v>53800</v>
      </c>
      <c r="H49" s="7">
        <f t="shared" si="2"/>
        <v>0</v>
      </c>
      <c r="I49" s="7">
        <f t="shared" si="2"/>
        <v>93510</v>
      </c>
      <c r="J49" s="7">
        <f t="shared" si="2"/>
        <v>40600</v>
      </c>
      <c r="K49" s="7">
        <f t="shared" si="2"/>
        <v>0</v>
      </c>
      <c r="L49" s="7">
        <f t="shared" si="2"/>
        <v>0</v>
      </c>
      <c r="M49" s="7">
        <f t="shared" si="2"/>
        <v>0</v>
      </c>
      <c r="N49" s="7">
        <f t="shared" si="2"/>
        <v>0</v>
      </c>
      <c r="O49" s="7">
        <f t="shared" si="2"/>
        <v>0</v>
      </c>
      <c r="P49" s="7">
        <f t="shared" si="2"/>
        <v>0</v>
      </c>
      <c r="Q49" s="7">
        <f t="shared" si="2"/>
        <v>0</v>
      </c>
      <c r="R49" s="7">
        <f t="shared" si="2"/>
        <v>0</v>
      </c>
      <c r="S49" s="7">
        <f t="shared" si="2"/>
        <v>0</v>
      </c>
      <c r="T49" s="7">
        <f t="shared" si="2"/>
        <v>0</v>
      </c>
      <c r="U49" s="7">
        <f t="shared" si="2"/>
        <v>0</v>
      </c>
      <c r="V49" s="7">
        <f t="shared" si="2"/>
        <v>0</v>
      </c>
      <c r="W49" s="7">
        <f t="shared" si="2"/>
        <v>0</v>
      </c>
      <c r="X49" s="7">
        <f t="shared" si="2"/>
        <v>0</v>
      </c>
      <c r="Y49" s="7">
        <f t="shared" si="2"/>
        <v>0</v>
      </c>
      <c r="Z49" s="7">
        <f t="shared" si="2"/>
        <v>10530</v>
      </c>
      <c r="AA49" s="7">
        <f t="shared" si="2"/>
        <v>0</v>
      </c>
      <c r="AB49" s="7">
        <f t="shared" si="2"/>
        <v>0</v>
      </c>
      <c r="AC49" s="7">
        <f t="shared" si="2"/>
        <v>0</v>
      </c>
    </row>
    <row r="50" spans="1:58" x14ac:dyDescent="0.55000000000000004">
      <c r="A50" s="2" t="s">
        <v>32</v>
      </c>
      <c r="B50">
        <v>5</v>
      </c>
      <c r="D50" s="7">
        <f t="shared" si="3"/>
        <v>0</v>
      </c>
      <c r="E50" s="7">
        <f t="shared" si="2"/>
        <v>0</v>
      </c>
      <c r="F50" s="7">
        <f t="shared" si="2"/>
        <v>0</v>
      </c>
      <c r="G50" s="7">
        <f t="shared" si="2"/>
        <v>1002650</v>
      </c>
      <c r="H50" s="7">
        <f t="shared" si="2"/>
        <v>57187</v>
      </c>
      <c r="I50" s="7">
        <f t="shared" si="2"/>
        <v>131088</v>
      </c>
      <c r="J50" s="7">
        <f t="shared" si="2"/>
        <v>143848</v>
      </c>
      <c r="K50" s="7">
        <f t="shared" si="2"/>
        <v>25000</v>
      </c>
      <c r="L50" s="7">
        <f t="shared" si="2"/>
        <v>4000</v>
      </c>
      <c r="M50" s="7">
        <f t="shared" si="2"/>
        <v>150680</v>
      </c>
      <c r="N50" s="7">
        <f t="shared" si="2"/>
        <v>3785</v>
      </c>
      <c r="O50" s="7">
        <f t="shared" si="2"/>
        <v>224914</v>
      </c>
      <c r="P50" s="7">
        <f t="shared" si="2"/>
        <v>0</v>
      </c>
      <c r="Q50" s="7">
        <f t="shared" si="2"/>
        <v>56438</v>
      </c>
      <c r="R50" s="7">
        <f t="shared" si="2"/>
        <v>12000</v>
      </c>
      <c r="S50" s="7">
        <f t="shared" si="2"/>
        <v>43164</v>
      </c>
      <c r="T50" s="7">
        <f t="shared" si="2"/>
        <v>9500</v>
      </c>
      <c r="U50" s="7">
        <f t="shared" si="2"/>
        <v>52719</v>
      </c>
      <c r="V50" s="7">
        <f t="shared" si="2"/>
        <v>22077</v>
      </c>
      <c r="W50" s="7">
        <f t="shared" si="2"/>
        <v>131377</v>
      </c>
      <c r="X50" s="7">
        <f t="shared" si="2"/>
        <v>71422</v>
      </c>
      <c r="Y50" s="7">
        <f t="shared" si="2"/>
        <v>42000</v>
      </c>
      <c r="Z50" s="7">
        <f t="shared" si="2"/>
        <v>107868</v>
      </c>
      <c r="AA50" s="7">
        <f t="shared" si="2"/>
        <v>705506</v>
      </c>
      <c r="AB50" s="7">
        <f t="shared" si="2"/>
        <v>0</v>
      </c>
      <c r="AC50" s="7">
        <f t="shared" si="2"/>
        <v>101893</v>
      </c>
    </row>
    <row r="51" spans="1:58" x14ac:dyDescent="0.55000000000000004">
      <c r="A51" s="2" t="s">
        <v>33</v>
      </c>
      <c r="B51">
        <v>6</v>
      </c>
      <c r="D51" s="7">
        <f t="shared" si="3"/>
        <v>0</v>
      </c>
      <c r="E51" s="7">
        <f t="shared" si="2"/>
        <v>17163</v>
      </c>
      <c r="F51" s="7">
        <f t="shared" si="2"/>
        <v>34425</v>
      </c>
      <c r="G51" s="7">
        <f t="shared" si="2"/>
        <v>538880</v>
      </c>
      <c r="H51" s="7">
        <f t="shared" si="2"/>
        <v>39150</v>
      </c>
      <c r="I51" s="7">
        <f t="shared" si="2"/>
        <v>76350</v>
      </c>
      <c r="J51" s="7">
        <f t="shared" si="2"/>
        <v>254792</v>
      </c>
      <c r="K51" s="7">
        <f t="shared" si="2"/>
        <v>0</v>
      </c>
      <c r="L51" s="7">
        <f t="shared" si="2"/>
        <v>31825</v>
      </c>
      <c r="M51" s="7">
        <f t="shared" si="2"/>
        <v>610765</v>
      </c>
      <c r="N51" s="7">
        <f t="shared" si="2"/>
        <v>13300</v>
      </c>
      <c r="O51" s="7">
        <f t="shared" si="2"/>
        <v>1071946</v>
      </c>
      <c r="P51" s="7">
        <f t="shared" si="2"/>
        <v>0</v>
      </c>
      <c r="Q51" s="7">
        <f t="shared" si="2"/>
        <v>186563</v>
      </c>
      <c r="R51" s="7">
        <f t="shared" si="2"/>
        <v>44460</v>
      </c>
      <c r="S51" s="7">
        <f t="shared" si="2"/>
        <v>309654</v>
      </c>
      <c r="T51" s="7">
        <f t="shared" si="2"/>
        <v>0</v>
      </c>
      <c r="U51" s="7">
        <f t="shared" si="2"/>
        <v>126908</v>
      </c>
      <c r="V51" s="7">
        <f t="shared" si="2"/>
        <v>9885</v>
      </c>
      <c r="W51" s="7">
        <f t="shared" si="2"/>
        <v>221225</v>
      </c>
      <c r="X51" s="7">
        <f t="shared" si="2"/>
        <v>0</v>
      </c>
      <c r="Y51" s="7">
        <f t="shared" si="2"/>
        <v>32000</v>
      </c>
      <c r="Z51" s="7">
        <f t="shared" si="2"/>
        <v>101670</v>
      </c>
      <c r="AA51" s="7">
        <f t="shared" si="2"/>
        <v>396011</v>
      </c>
      <c r="AB51" s="7">
        <f t="shared" si="2"/>
        <v>0</v>
      </c>
      <c r="AC51" s="7">
        <f t="shared" si="2"/>
        <v>317718</v>
      </c>
    </row>
    <row r="52" spans="1:58" x14ac:dyDescent="0.55000000000000004">
      <c r="A52" s="2" t="s">
        <v>34</v>
      </c>
      <c r="B52">
        <v>7</v>
      </c>
      <c r="D52" s="7">
        <f t="shared" si="3"/>
        <v>0</v>
      </c>
      <c r="E52" s="7">
        <f t="shared" si="2"/>
        <v>0</v>
      </c>
      <c r="F52" s="7">
        <f t="shared" si="2"/>
        <v>30128</v>
      </c>
      <c r="G52" s="7">
        <f t="shared" si="2"/>
        <v>982381</v>
      </c>
      <c r="H52" s="7">
        <f t="shared" si="2"/>
        <v>160943</v>
      </c>
      <c r="I52" s="7">
        <f t="shared" si="2"/>
        <v>716027</v>
      </c>
      <c r="J52" s="7">
        <f t="shared" si="2"/>
        <v>237619</v>
      </c>
      <c r="K52" s="7">
        <f t="shared" si="2"/>
        <v>12690</v>
      </c>
      <c r="L52" s="7">
        <f t="shared" si="2"/>
        <v>0</v>
      </c>
      <c r="M52" s="7">
        <f t="shared" si="2"/>
        <v>99340</v>
      </c>
      <c r="N52" s="7">
        <f t="shared" si="2"/>
        <v>27522</v>
      </c>
      <c r="O52" s="7">
        <f t="shared" si="2"/>
        <v>0</v>
      </c>
      <c r="P52" s="7">
        <f t="shared" si="2"/>
        <v>37312</v>
      </c>
      <c r="Q52" s="7">
        <f t="shared" si="2"/>
        <v>5000</v>
      </c>
      <c r="R52" s="7">
        <f t="shared" si="2"/>
        <v>83350</v>
      </c>
      <c r="S52" s="7">
        <f t="shared" si="2"/>
        <v>22500</v>
      </c>
      <c r="T52" s="7">
        <f t="shared" si="2"/>
        <v>172523</v>
      </c>
      <c r="U52" s="7">
        <f t="shared" si="2"/>
        <v>13937</v>
      </c>
      <c r="V52" s="7">
        <f t="shared" si="2"/>
        <v>196924</v>
      </c>
      <c r="W52" s="7">
        <f t="shared" si="2"/>
        <v>230847</v>
      </c>
      <c r="X52" s="7">
        <f t="shared" si="2"/>
        <v>27500</v>
      </c>
      <c r="Y52" s="7">
        <f t="shared" si="2"/>
        <v>32000</v>
      </c>
      <c r="Z52" s="7">
        <f t="shared" si="2"/>
        <v>5446</v>
      </c>
      <c r="AA52" s="7">
        <f t="shared" si="2"/>
        <v>342631</v>
      </c>
      <c r="AB52" s="7">
        <f t="shared" si="2"/>
        <v>0</v>
      </c>
      <c r="AC52" s="7">
        <f t="shared" si="2"/>
        <v>6250</v>
      </c>
    </row>
    <row r="53" spans="1:58" x14ac:dyDescent="0.55000000000000004">
      <c r="A53" s="2" t="s">
        <v>35</v>
      </c>
      <c r="B53">
        <v>8</v>
      </c>
      <c r="D53" s="7">
        <f t="shared" si="3"/>
        <v>0</v>
      </c>
      <c r="E53" s="7">
        <f t="shared" si="2"/>
        <v>6200</v>
      </c>
      <c r="F53" s="7">
        <f t="shared" si="2"/>
        <v>24180</v>
      </c>
      <c r="G53" s="7">
        <f t="shared" si="2"/>
        <v>162300</v>
      </c>
      <c r="H53" s="7">
        <f t="shared" si="2"/>
        <v>102168</v>
      </c>
      <c r="I53" s="7">
        <f t="shared" si="2"/>
        <v>74746</v>
      </c>
      <c r="J53" s="7">
        <f t="shared" si="2"/>
        <v>48640</v>
      </c>
      <c r="K53" s="7">
        <f t="shared" si="2"/>
        <v>95328</v>
      </c>
      <c r="L53" s="7">
        <f t="shared" si="2"/>
        <v>7180</v>
      </c>
      <c r="M53" s="7">
        <f t="shared" si="2"/>
        <v>24568</v>
      </c>
      <c r="N53" s="7">
        <f t="shared" si="2"/>
        <v>8840</v>
      </c>
      <c r="O53" s="7">
        <f t="shared" si="2"/>
        <v>144848</v>
      </c>
      <c r="P53" s="7">
        <f t="shared" si="2"/>
        <v>95048</v>
      </c>
      <c r="Q53" s="7">
        <f t="shared" si="2"/>
        <v>5134</v>
      </c>
      <c r="R53" s="7">
        <f t="shared" si="2"/>
        <v>2860</v>
      </c>
      <c r="S53" s="7">
        <f t="shared" si="2"/>
        <v>45500</v>
      </c>
      <c r="T53" s="7">
        <f t="shared" si="2"/>
        <v>17892</v>
      </c>
      <c r="U53" s="7">
        <f t="shared" si="2"/>
        <v>25771</v>
      </c>
      <c r="V53" s="7">
        <f t="shared" si="2"/>
        <v>7792</v>
      </c>
      <c r="W53" s="7">
        <f t="shared" si="2"/>
        <v>23160</v>
      </c>
      <c r="X53" s="7">
        <f t="shared" si="2"/>
        <v>49728</v>
      </c>
      <c r="Y53" s="7">
        <f t="shared" si="2"/>
        <v>40600</v>
      </c>
      <c r="Z53" s="7">
        <f t="shared" si="2"/>
        <v>349912.6</v>
      </c>
      <c r="AA53" s="7">
        <f t="shared" si="2"/>
        <v>14616</v>
      </c>
      <c r="AB53" s="7">
        <f t="shared" si="2"/>
        <v>0</v>
      </c>
      <c r="AC53" s="7">
        <f t="shared" si="2"/>
        <v>0</v>
      </c>
    </row>
    <row r="54" spans="1:58" x14ac:dyDescent="0.55000000000000004">
      <c r="A54" s="2" t="s">
        <v>36</v>
      </c>
      <c r="B54">
        <v>9</v>
      </c>
      <c r="D54" s="7">
        <f t="shared" si="3"/>
        <v>0</v>
      </c>
      <c r="E54" s="7">
        <f t="shared" si="2"/>
        <v>0</v>
      </c>
      <c r="F54" s="7">
        <f t="shared" si="2"/>
        <v>0</v>
      </c>
      <c r="G54" s="7">
        <f t="shared" si="2"/>
        <v>508800</v>
      </c>
      <c r="H54" s="7">
        <f t="shared" si="2"/>
        <v>0</v>
      </c>
      <c r="I54" s="7">
        <f t="shared" si="2"/>
        <v>43200</v>
      </c>
      <c r="J54" s="7">
        <f t="shared" si="2"/>
        <v>0</v>
      </c>
      <c r="K54" s="7">
        <f t="shared" si="2"/>
        <v>19380</v>
      </c>
      <c r="L54" s="7">
        <f t="shared" si="2"/>
        <v>0</v>
      </c>
      <c r="M54" s="7">
        <f t="shared" si="2"/>
        <v>0</v>
      </c>
      <c r="N54" s="7">
        <f t="shared" si="2"/>
        <v>0</v>
      </c>
      <c r="O54" s="7">
        <f t="shared" si="2"/>
        <v>0</v>
      </c>
      <c r="P54" s="7">
        <f t="shared" si="2"/>
        <v>0</v>
      </c>
      <c r="Q54" s="7">
        <f t="shared" si="2"/>
        <v>0</v>
      </c>
      <c r="R54" s="7">
        <f t="shared" si="2"/>
        <v>0</v>
      </c>
      <c r="S54" s="7">
        <f t="shared" si="2"/>
        <v>0</v>
      </c>
      <c r="T54" s="7">
        <f t="shared" si="2"/>
        <v>0</v>
      </c>
      <c r="U54" s="7">
        <f t="shared" si="2"/>
        <v>0</v>
      </c>
      <c r="V54" s="7">
        <f t="shared" si="2"/>
        <v>0</v>
      </c>
      <c r="W54" s="7">
        <f t="shared" si="2"/>
        <v>0</v>
      </c>
      <c r="X54" s="7">
        <f t="shared" si="2"/>
        <v>0</v>
      </c>
      <c r="Y54" s="7">
        <f t="shared" si="2"/>
        <v>0</v>
      </c>
      <c r="Z54" s="7">
        <f t="shared" si="2"/>
        <v>0</v>
      </c>
      <c r="AA54" s="7">
        <f t="shared" si="2"/>
        <v>0</v>
      </c>
      <c r="AB54" s="7">
        <f t="shared" si="2"/>
        <v>0</v>
      </c>
      <c r="AC54" s="7">
        <f t="shared" si="2"/>
        <v>0</v>
      </c>
    </row>
    <row r="55" spans="1:58" x14ac:dyDescent="0.55000000000000004">
      <c r="A55" s="2"/>
    </row>
    <row r="56" spans="1:58" x14ac:dyDescent="0.55000000000000004">
      <c r="A56" s="1" t="s">
        <v>38</v>
      </c>
      <c r="B56" s="1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spans="1:58" x14ac:dyDescent="0.55000000000000004">
      <c r="A57" s="1" t="s">
        <v>28</v>
      </c>
      <c r="B57" s="1" t="s">
        <v>41</v>
      </c>
      <c r="D57" s="4" t="s">
        <v>20</v>
      </c>
      <c r="E57" s="4" t="s">
        <v>17</v>
      </c>
      <c r="F57" s="4" t="s">
        <v>16</v>
      </c>
      <c r="G57" s="4" t="s">
        <v>3</v>
      </c>
      <c r="H57" s="4" t="s">
        <v>14</v>
      </c>
      <c r="I57" s="4" t="s">
        <v>13</v>
      </c>
      <c r="J57" s="4" t="s">
        <v>11</v>
      </c>
      <c r="K57" s="4" t="s">
        <v>26</v>
      </c>
      <c r="L57" s="4" t="s">
        <v>9</v>
      </c>
      <c r="M57" s="4" t="s">
        <v>19</v>
      </c>
      <c r="N57" s="4" t="s">
        <v>27</v>
      </c>
      <c r="O57" s="4" t="s">
        <v>4</v>
      </c>
      <c r="P57" s="4" t="s">
        <v>25</v>
      </c>
      <c r="Q57" s="4" t="s">
        <v>8</v>
      </c>
      <c r="R57" s="4" t="s">
        <v>7</v>
      </c>
      <c r="S57" s="4" t="s">
        <v>18</v>
      </c>
      <c r="T57" s="4" t="s">
        <v>15</v>
      </c>
      <c r="U57" s="4" t="s">
        <v>12</v>
      </c>
      <c r="V57" s="4" t="s">
        <v>6</v>
      </c>
      <c r="W57" s="4" t="s">
        <v>21</v>
      </c>
      <c r="X57" s="4" t="s">
        <v>22</v>
      </c>
      <c r="Y57" s="4" t="s">
        <v>5</v>
      </c>
      <c r="Z57" s="4" t="s">
        <v>23</v>
      </c>
      <c r="AA57" s="4" t="s">
        <v>24</v>
      </c>
      <c r="AB57" s="4" t="s">
        <v>10</v>
      </c>
      <c r="AC57" s="4" t="s">
        <v>2</v>
      </c>
    </row>
    <row r="58" spans="1:58" x14ac:dyDescent="0.55000000000000004">
      <c r="A58" s="2" t="s">
        <v>29</v>
      </c>
      <c r="B58">
        <v>2</v>
      </c>
      <c r="D58" s="7">
        <f>HLOOKUP(D$57,$D$24:$AC$32,$B58,FALSE)</f>
        <v>0</v>
      </c>
      <c r="E58" s="7">
        <f t="shared" ref="E58:AC65" si="4">HLOOKUP(E$57,$D$24:$AC$32,$B58,FALSE)</f>
        <v>0</v>
      </c>
      <c r="F58" s="7">
        <f t="shared" si="4"/>
        <v>0</v>
      </c>
      <c r="G58" s="7">
        <f t="shared" si="4"/>
        <v>0</v>
      </c>
      <c r="H58" s="7">
        <f t="shared" si="4"/>
        <v>3000</v>
      </c>
      <c r="I58" s="7">
        <f t="shared" si="4"/>
        <v>0</v>
      </c>
      <c r="J58" s="7">
        <f t="shared" si="4"/>
        <v>0</v>
      </c>
      <c r="K58" s="7">
        <f t="shared" si="4"/>
        <v>0</v>
      </c>
      <c r="L58" s="7">
        <f t="shared" si="4"/>
        <v>0</v>
      </c>
      <c r="M58" s="7">
        <f t="shared" si="4"/>
        <v>0</v>
      </c>
      <c r="N58" s="7">
        <f t="shared" si="4"/>
        <v>0</v>
      </c>
      <c r="O58" s="7">
        <f t="shared" si="4"/>
        <v>0</v>
      </c>
      <c r="P58" s="7">
        <f t="shared" si="4"/>
        <v>0</v>
      </c>
      <c r="Q58" s="7">
        <f t="shared" si="4"/>
        <v>0</v>
      </c>
      <c r="R58" s="7">
        <f t="shared" si="4"/>
        <v>0</v>
      </c>
      <c r="S58" s="7">
        <f t="shared" si="4"/>
        <v>0</v>
      </c>
      <c r="T58" s="7">
        <f t="shared" si="4"/>
        <v>0</v>
      </c>
      <c r="U58" s="7">
        <f t="shared" si="4"/>
        <v>0</v>
      </c>
      <c r="V58" s="7">
        <f t="shared" si="4"/>
        <v>0</v>
      </c>
      <c r="W58" s="7">
        <f t="shared" si="4"/>
        <v>0</v>
      </c>
      <c r="X58" s="7">
        <f t="shared" si="4"/>
        <v>0</v>
      </c>
      <c r="Y58" s="7">
        <f t="shared" si="4"/>
        <v>0</v>
      </c>
      <c r="Z58" s="7">
        <f t="shared" si="4"/>
        <v>4000</v>
      </c>
      <c r="AA58" s="7">
        <f t="shared" si="4"/>
        <v>0</v>
      </c>
      <c r="AB58" s="7">
        <f t="shared" si="4"/>
        <v>0</v>
      </c>
      <c r="AC58" s="7">
        <f t="shared" si="4"/>
        <v>0</v>
      </c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</row>
    <row r="59" spans="1:58" x14ac:dyDescent="0.55000000000000004">
      <c r="A59" s="2" t="s">
        <v>30</v>
      </c>
      <c r="B59">
        <v>3</v>
      </c>
      <c r="D59" s="7">
        <f t="shared" ref="D59:D65" si="5">HLOOKUP(D$57,$D$24:$AC$32,$B59,FALSE)</f>
        <v>0</v>
      </c>
      <c r="E59" s="7">
        <f t="shared" si="4"/>
        <v>0</v>
      </c>
      <c r="F59" s="7">
        <f t="shared" si="4"/>
        <v>0</v>
      </c>
      <c r="G59" s="7">
        <f t="shared" si="4"/>
        <v>120497</v>
      </c>
      <c r="H59" s="7">
        <f t="shared" si="4"/>
        <v>29325</v>
      </c>
      <c r="I59" s="7">
        <f t="shared" si="4"/>
        <v>15600</v>
      </c>
      <c r="J59" s="7">
        <f t="shared" si="4"/>
        <v>19375</v>
      </c>
      <c r="K59" s="7">
        <f t="shared" si="4"/>
        <v>0</v>
      </c>
      <c r="L59" s="7">
        <f t="shared" si="4"/>
        <v>0</v>
      </c>
      <c r="M59" s="7">
        <f t="shared" si="4"/>
        <v>32840</v>
      </c>
      <c r="N59" s="7">
        <f t="shared" si="4"/>
        <v>20920</v>
      </c>
      <c r="O59" s="7">
        <f t="shared" si="4"/>
        <v>0</v>
      </c>
      <c r="P59" s="7">
        <f t="shared" si="4"/>
        <v>26150</v>
      </c>
      <c r="Q59" s="7">
        <f t="shared" si="4"/>
        <v>0</v>
      </c>
      <c r="R59" s="7">
        <f t="shared" si="4"/>
        <v>0</v>
      </c>
      <c r="S59" s="7">
        <f t="shared" si="4"/>
        <v>0</v>
      </c>
      <c r="T59" s="7">
        <f t="shared" si="4"/>
        <v>0</v>
      </c>
      <c r="U59" s="7">
        <f t="shared" si="4"/>
        <v>6000</v>
      </c>
      <c r="V59" s="7">
        <f t="shared" si="4"/>
        <v>0</v>
      </c>
      <c r="W59" s="7">
        <f t="shared" si="4"/>
        <v>0</v>
      </c>
      <c r="X59" s="7">
        <f t="shared" si="4"/>
        <v>0</v>
      </c>
      <c r="Y59" s="7">
        <f t="shared" si="4"/>
        <v>0</v>
      </c>
      <c r="Z59" s="7">
        <f t="shared" si="4"/>
        <v>0</v>
      </c>
      <c r="AA59" s="7">
        <f t="shared" si="4"/>
        <v>18970</v>
      </c>
      <c r="AB59" s="7">
        <f t="shared" si="4"/>
        <v>0</v>
      </c>
      <c r="AC59" s="7">
        <f t="shared" si="4"/>
        <v>0</v>
      </c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</row>
    <row r="60" spans="1:58" x14ac:dyDescent="0.55000000000000004">
      <c r="A60" s="2" t="s">
        <v>31</v>
      </c>
      <c r="B60">
        <v>4</v>
      </c>
      <c r="D60" s="7">
        <f t="shared" si="5"/>
        <v>0</v>
      </c>
      <c r="E60" s="7">
        <f t="shared" si="4"/>
        <v>0</v>
      </c>
      <c r="F60" s="7">
        <f t="shared" si="4"/>
        <v>0</v>
      </c>
      <c r="G60" s="7">
        <f t="shared" si="4"/>
        <v>116460</v>
      </c>
      <c r="H60" s="7">
        <f t="shared" si="4"/>
        <v>0</v>
      </c>
      <c r="I60" s="7">
        <f t="shared" si="4"/>
        <v>0</v>
      </c>
      <c r="J60" s="7">
        <f t="shared" si="4"/>
        <v>51760</v>
      </c>
      <c r="K60" s="7">
        <f t="shared" si="4"/>
        <v>0</v>
      </c>
      <c r="L60" s="7">
        <f t="shared" si="4"/>
        <v>0</v>
      </c>
      <c r="M60" s="7">
        <f t="shared" si="4"/>
        <v>96580</v>
      </c>
      <c r="N60" s="7">
        <f t="shared" si="4"/>
        <v>0</v>
      </c>
      <c r="O60" s="7">
        <f t="shared" si="4"/>
        <v>0</v>
      </c>
      <c r="P60" s="7">
        <f t="shared" si="4"/>
        <v>0</v>
      </c>
      <c r="Q60" s="7">
        <f t="shared" si="4"/>
        <v>0</v>
      </c>
      <c r="R60" s="7">
        <f t="shared" si="4"/>
        <v>0</v>
      </c>
      <c r="S60" s="7">
        <f t="shared" si="4"/>
        <v>0</v>
      </c>
      <c r="T60" s="7">
        <f t="shared" si="4"/>
        <v>0</v>
      </c>
      <c r="U60" s="7">
        <f t="shared" si="4"/>
        <v>64170</v>
      </c>
      <c r="V60" s="7">
        <f t="shared" si="4"/>
        <v>0</v>
      </c>
      <c r="W60" s="7">
        <f t="shared" si="4"/>
        <v>0</v>
      </c>
      <c r="X60" s="7">
        <f t="shared" si="4"/>
        <v>0</v>
      </c>
      <c r="Y60" s="7">
        <f t="shared" si="4"/>
        <v>0</v>
      </c>
      <c r="Z60" s="7">
        <f t="shared" si="4"/>
        <v>10163</v>
      </c>
      <c r="AA60" s="7">
        <f t="shared" si="4"/>
        <v>165000</v>
      </c>
      <c r="AB60" s="7">
        <f t="shared" si="4"/>
        <v>0</v>
      </c>
      <c r="AC60" s="7">
        <f t="shared" si="4"/>
        <v>0</v>
      </c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</row>
    <row r="61" spans="1:58" x14ac:dyDescent="0.55000000000000004">
      <c r="A61" s="2" t="s">
        <v>32</v>
      </c>
      <c r="B61">
        <v>5</v>
      </c>
      <c r="D61" s="7">
        <f t="shared" si="5"/>
        <v>0</v>
      </c>
      <c r="E61" s="7">
        <f t="shared" si="4"/>
        <v>4550</v>
      </c>
      <c r="F61" s="7">
        <f t="shared" si="4"/>
        <v>0</v>
      </c>
      <c r="G61" s="7">
        <f t="shared" si="4"/>
        <v>89800</v>
      </c>
      <c r="H61" s="7">
        <f t="shared" si="4"/>
        <v>4440</v>
      </c>
      <c r="I61" s="7">
        <f t="shared" si="4"/>
        <v>0</v>
      </c>
      <c r="J61" s="7">
        <f t="shared" si="4"/>
        <v>9976</v>
      </c>
      <c r="K61" s="7">
        <f t="shared" si="4"/>
        <v>32168</v>
      </c>
      <c r="L61" s="7">
        <f t="shared" si="4"/>
        <v>0</v>
      </c>
      <c r="M61" s="7">
        <f t="shared" si="4"/>
        <v>61560</v>
      </c>
      <c r="N61" s="7">
        <f t="shared" si="4"/>
        <v>0</v>
      </c>
      <c r="O61" s="7">
        <f t="shared" si="4"/>
        <v>19275</v>
      </c>
      <c r="P61" s="7">
        <f t="shared" si="4"/>
        <v>0</v>
      </c>
      <c r="Q61" s="7">
        <f t="shared" si="4"/>
        <v>0</v>
      </c>
      <c r="R61" s="7">
        <f t="shared" si="4"/>
        <v>0</v>
      </c>
      <c r="S61" s="7">
        <f t="shared" si="4"/>
        <v>10636</v>
      </c>
      <c r="T61" s="7">
        <f t="shared" si="4"/>
        <v>13800</v>
      </c>
      <c r="U61" s="7">
        <f t="shared" si="4"/>
        <v>5860</v>
      </c>
      <c r="V61" s="7">
        <f t="shared" si="4"/>
        <v>0</v>
      </c>
      <c r="W61" s="7">
        <f t="shared" si="4"/>
        <v>0</v>
      </c>
      <c r="X61" s="7">
        <f t="shared" si="4"/>
        <v>10880</v>
      </c>
      <c r="Y61" s="7">
        <f t="shared" si="4"/>
        <v>0</v>
      </c>
      <c r="Z61" s="7">
        <f t="shared" si="4"/>
        <v>70790</v>
      </c>
      <c r="AA61" s="7">
        <f t="shared" si="4"/>
        <v>11906</v>
      </c>
      <c r="AB61" s="7">
        <f t="shared" si="4"/>
        <v>0</v>
      </c>
      <c r="AC61" s="7">
        <f t="shared" si="4"/>
        <v>5056</v>
      </c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</row>
    <row r="62" spans="1:58" x14ac:dyDescent="0.55000000000000004">
      <c r="A62" s="2" t="s">
        <v>33</v>
      </c>
      <c r="B62">
        <v>6</v>
      </c>
      <c r="D62" s="7">
        <f t="shared" si="5"/>
        <v>0</v>
      </c>
      <c r="E62" s="7">
        <f t="shared" si="4"/>
        <v>0</v>
      </c>
      <c r="F62" s="7">
        <f t="shared" si="4"/>
        <v>19950</v>
      </c>
      <c r="G62" s="7">
        <f t="shared" si="4"/>
        <v>67720</v>
      </c>
      <c r="H62" s="7">
        <f t="shared" si="4"/>
        <v>0</v>
      </c>
      <c r="I62" s="7">
        <f t="shared" si="4"/>
        <v>0</v>
      </c>
      <c r="J62" s="7">
        <f t="shared" si="4"/>
        <v>9740</v>
      </c>
      <c r="K62" s="7">
        <f t="shared" si="4"/>
        <v>76800</v>
      </c>
      <c r="L62" s="7">
        <f t="shared" si="4"/>
        <v>32000</v>
      </c>
      <c r="M62" s="7">
        <f t="shared" si="4"/>
        <v>36700</v>
      </c>
      <c r="N62" s="7">
        <f t="shared" si="4"/>
        <v>15610</v>
      </c>
      <c r="O62" s="7">
        <f t="shared" si="4"/>
        <v>143725</v>
      </c>
      <c r="P62" s="7">
        <f t="shared" si="4"/>
        <v>0</v>
      </c>
      <c r="Q62" s="7">
        <f t="shared" si="4"/>
        <v>20438</v>
      </c>
      <c r="R62" s="7">
        <f t="shared" si="4"/>
        <v>0</v>
      </c>
      <c r="S62" s="7">
        <f t="shared" si="4"/>
        <v>39376</v>
      </c>
      <c r="T62" s="7">
        <f t="shared" si="4"/>
        <v>0</v>
      </c>
      <c r="U62" s="7">
        <f t="shared" si="4"/>
        <v>13515</v>
      </c>
      <c r="V62" s="7">
        <f t="shared" si="4"/>
        <v>0</v>
      </c>
      <c r="W62" s="7">
        <f t="shared" si="4"/>
        <v>107325</v>
      </c>
      <c r="X62" s="7">
        <f t="shared" si="4"/>
        <v>36828</v>
      </c>
      <c r="Y62" s="7">
        <f t="shared" si="4"/>
        <v>0</v>
      </c>
      <c r="Z62" s="7">
        <f t="shared" si="4"/>
        <v>319340</v>
      </c>
      <c r="AA62" s="7">
        <f t="shared" si="4"/>
        <v>0</v>
      </c>
      <c r="AB62" s="7">
        <f t="shared" si="4"/>
        <v>0</v>
      </c>
      <c r="AC62" s="7">
        <f t="shared" si="4"/>
        <v>13886</v>
      </c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</row>
    <row r="63" spans="1:58" x14ac:dyDescent="0.55000000000000004">
      <c r="A63" s="2" t="s">
        <v>34</v>
      </c>
      <c r="B63">
        <v>7</v>
      </c>
      <c r="D63" s="7">
        <f t="shared" si="5"/>
        <v>0</v>
      </c>
      <c r="E63" s="7">
        <f t="shared" si="4"/>
        <v>0</v>
      </c>
      <c r="F63" s="7">
        <f t="shared" si="4"/>
        <v>0</v>
      </c>
      <c r="G63" s="7">
        <f t="shared" si="4"/>
        <v>361960</v>
      </c>
      <c r="H63" s="7">
        <f t="shared" si="4"/>
        <v>59473</v>
      </c>
      <c r="I63" s="7">
        <f t="shared" si="4"/>
        <v>191895</v>
      </c>
      <c r="J63" s="7">
        <f t="shared" si="4"/>
        <v>126277</v>
      </c>
      <c r="K63" s="7">
        <f t="shared" si="4"/>
        <v>0</v>
      </c>
      <c r="L63" s="7">
        <f t="shared" si="4"/>
        <v>0</v>
      </c>
      <c r="M63" s="7">
        <f t="shared" si="4"/>
        <v>67180</v>
      </c>
      <c r="N63" s="7">
        <f t="shared" si="4"/>
        <v>0</v>
      </c>
      <c r="O63" s="7">
        <f t="shared" si="4"/>
        <v>0</v>
      </c>
      <c r="P63" s="7">
        <f t="shared" si="4"/>
        <v>18235</v>
      </c>
      <c r="Q63" s="7">
        <f t="shared" si="4"/>
        <v>0</v>
      </c>
      <c r="R63" s="7">
        <f t="shared" si="4"/>
        <v>10060</v>
      </c>
      <c r="S63" s="7">
        <f t="shared" si="4"/>
        <v>0</v>
      </c>
      <c r="T63" s="7">
        <f t="shared" si="4"/>
        <v>274207</v>
      </c>
      <c r="U63" s="7">
        <f t="shared" si="4"/>
        <v>0</v>
      </c>
      <c r="V63" s="7">
        <f t="shared" si="4"/>
        <v>19240</v>
      </c>
      <c r="W63" s="7">
        <f t="shared" si="4"/>
        <v>119119</v>
      </c>
      <c r="X63" s="7">
        <f t="shared" si="4"/>
        <v>239500</v>
      </c>
      <c r="Y63" s="7">
        <f t="shared" si="4"/>
        <v>0</v>
      </c>
      <c r="Z63" s="7">
        <f t="shared" si="4"/>
        <v>0</v>
      </c>
      <c r="AA63" s="7">
        <f t="shared" si="4"/>
        <v>139787</v>
      </c>
      <c r="AB63" s="7">
        <f t="shared" si="4"/>
        <v>0</v>
      </c>
      <c r="AC63" s="7">
        <f t="shared" si="4"/>
        <v>0</v>
      </c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</row>
    <row r="64" spans="1:58" x14ac:dyDescent="0.55000000000000004">
      <c r="A64" s="2" t="s">
        <v>35</v>
      </c>
      <c r="B64">
        <v>8</v>
      </c>
      <c r="D64" s="7">
        <f t="shared" si="5"/>
        <v>0</v>
      </c>
      <c r="E64" s="7">
        <f t="shared" si="4"/>
        <v>0</v>
      </c>
      <c r="F64" s="7">
        <f t="shared" si="4"/>
        <v>0</v>
      </c>
      <c r="G64" s="7">
        <f t="shared" si="4"/>
        <v>115922</v>
      </c>
      <c r="H64" s="7">
        <f t="shared" si="4"/>
        <v>18877</v>
      </c>
      <c r="I64" s="7">
        <f t="shared" si="4"/>
        <v>0</v>
      </c>
      <c r="J64" s="7">
        <f t="shared" si="4"/>
        <v>11389</v>
      </c>
      <c r="K64" s="7">
        <f t="shared" si="4"/>
        <v>6000</v>
      </c>
      <c r="L64" s="7">
        <f t="shared" si="4"/>
        <v>0</v>
      </c>
      <c r="M64" s="7">
        <f t="shared" si="4"/>
        <v>16325</v>
      </c>
      <c r="N64" s="7">
        <f t="shared" si="4"/>
        <v>4836</v>
      </c>
      <c r="O64" s="7">
        <f t="shared" si="4"/>
        <v>0</v>
      </c>
      <c r="P64" s="7">
        <f t="shared" si="4"/>
        <v>0</v>
      </c>
      <c r="Q64" s="7">
        <f t="shared" si="4"/>
        <v>0</v>
      </c>
      <c r="R64" s="7">
        <f t="shared" si="4"/>
        <v>0</v>
      </c>
      <c r="S64" s="7">
        <f t="shared" si="4"/>
        <v>22000</v>
      </c>
      <c r="T64" s="7">
        <f t="shared" si="4"/>
        <v>0</v>
      </c>
      <c r="U64" s="7">
        <f t="shared" si="4"/>
        <v>0</v>
      </c>
      <c r="V64" s="7">
        <f t="shared" si="4"/>
        <v>0</v>
      </c>
      <c r="W64" s="7">
        <f t="shared" si="4"/>
        <v>13602</v>
      </c>
      <c r="X64" s="7">
        <f t="shared" si="4"/>
        <v>6711</v>
      </c>
      <c r="Y64" s="7">
        <f t="shared" si="4"/>
        <v>0</v>
      </c>
      <c r="Z64" s="7">
        <f t="shared" si="4"/>
        <v>9079</v>
      </c>
      <c r="AA64" s="7">
        <f t="shared" si="4"/>
        <v>8058</v>
      </c>
      <c r="AB64" s="7">
        <f t="shared" si="4"/>
        <v>0</v>
      </c>
      <c r="AC64" s="7">
        <f t="shared" si="4"/>
        <v>0</v>
      </c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</row>
    <row r="65" spans="1:58" x14ac:dyDescent="0.55000000000000004">
      <c r="A65" s="2" t="s">
        <v>36</v>
      </c>
      <c r="B65">
        <v>9</v>
      </c>
      <c r="D65" s="7">
        <f t="shared" si="5"/>
        <v>0</v>
      </c>
      <c r="E65" s="7">
        <f t="shared" si="4"/>
        <v>0</v>
      </c>
      <c r="F65" s="7">
        <f t="shared" si="4"/>
        <v>0</v>
      </c>
      <c r="G65" s="7">
        <f t="shared" si="4"/>
        <v>0</v>
      </c>
      <c r="H65" s="7">
        <f t="shared" si="4"/>
        <v>0</v>
      </c>
      <c r="I65" s="7">
        <f t="shared" si="4"/>
        <v>0</v>
      </c>
      <c r="J65" s="7">
        <f t="shared" si="4"/>
        <v>0</v>
      </c>
      <c r="K65" s="7">
        <f t="shared" si="4"/>
        <v>0</v>
      </c>
      <c r="L65" s="7">
        <f t="shared" si="4"/>
        <v>0</v>
      </c>
      <c r="M65" s="7">
        <f t="shared" si="4"/>
        <v>0</v>
      </c>
      <c r="N65" s="7">
        <f t="shared" si="4"/>
        <v>0</v>
      </c>
      <c r="O65" s="7">
        <f t="shared" si="4"/>
        <v>0</v>
      </c>
      <c r="P65" s="7">
        <f t="shared" si="4"/>
        <v>0</v>
      </c>
      <c r="Q65" s="7">
        <f t="shared" si="4"/>
        <v>0</v>
      </c>
      <c r="R65" s="7">
        <f t="shared" si="4"/>
        <v>0</v>
      </c>
      <c r="S65" s="7">
        <f t="shared" si="4"/>
        <v>0</v>
      </c>
      <c r="T65" s="7">
        <f t="shared" si="4"/>
        <v>0</v>
      </c>
      <c r="U65" s="7">
        <f t="shared" si="4"/>
        <v>0</v>
      </c>
      <c r="V65" s="7">
        <f t="shared" si="4"/>
        <v>0</v>
      </c>
      <c r="W65" s="7">
        <f t="shared" si="4"/>
        <v>0</v>
      </c>
      <c r="X65" s="7">
        <f t="shared" si="4"/>
        <v>0</v>
      </c>
      <c r="Y65" s="7">
        <f t="shared" si="4"/>
        <v>0</v>
      </c>
      <c r="Z65" s="7">
        <f t="shared" si="4"/>
        <v>0</v>
      </c>
      <c r="AA65" s="7">
        <f t="shared" si="4"/>
        <v>0</v>
      </c>
      <c r="AB65" s="7">
        <f t="shared" si="4"/>
        <v>0</v>
      </c>
      <c r="AC65" s="7">
        <f t="shared" si="4"/>
        <v>0</v>
      </c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</row>
    <row r="66" spans="1:58" x14ac:dyDescent="0.55000000000000004"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</row>
    <row r="67" spans="1:58" x14ac:dyDescent="0.55000000000000004">
      <c r="C67" t="s">
        <v>42</v>
      </c>
      <c r="D67" s="5">
        <f>SUM(D39:D40,D50:D51,D61:D62)/1000</f>
        <v>0</v>
      </c>
      <c r="E67" s="5">
        <f t="shared" ref="E67:AC67" si="6">SUM(E39:E40,E50:E51,E61:E62)/1000</f>
        <v>81.216999999999999</v>
      </c>
      <c r="F67" s="5">
        <f t="shared" si="6"/>
        <v>197.63300000000001</v>
      </c>
      <c r="G67" s="5">
        <f t="shared" si="6"/>
        <v>11905.362999999999</v>
      </c>
      <c r="H67" s="5">
        <f t="shared" si="6"/>
        <v>908.76099999999997</v>
      </c>
      <c r="I67" s="5">
        <f t="shared" si="6"/>
        <v>1453.9</v>
      </c>
      <c r="J67" s="5">
        <f t="shared" si="6"/>
        <v>2871.8604999999998</v>
      </c>
      <c r="K67" s="5">
        <f t="shared" si="6"/>
        <v>1110.6969999999999</v>
      </c>
      <c r="L67" s="5">
        <f t="shared" si="6"/>
        <v>302.20299999999997</v>
      </c>
      <c r="M67" s="5">
        <f t="shared" si="6"/>
        <v>1747.337</v>
      </c>
      <c r="N67" s="5">
        <f t="shared" si="6"/>
        <v>206.69</v>
      </c>
      <c r="O67" s="5">
        <f t="shared" si="6"/>
        <v>3641.866</v>
      </c>
      <c r="P67" s="5">
        <f t="shared" si="6"/>
        <v>503.488</v>
      </c>
      <c r="Q67" s="5">
        <f t="shared" si="6"/>
        <v>384.81700000000001</v>
      </c>
      <c r="R67" s="5">
        <f t="shared" si="6"/>
        <v>104.46</v>
      </c>
      <c r="S67" s="5">
        <f t="shared" si="6"/>
        <v>3380.1266000000001</v>
      </c>
      <c r="T67" s="5">
        <f t="shared" si="6"/>
        <v>374.3</v>
      </c>
      <c r="U67" s="5">
        <f t="shared" si="6"/>
        <v>1031.8969999999999</v>
      </c>
      <c r="V67" s="5">
        <f t="shared" si="6"/>
        <v>145.952</v>
      </c>
      <c r="W67" s="5">
        <f t="shared" si="6"/>
        <v>2300.027</v>
      </c>
      <c r="X67" s="5">
        <f t="shared" si="6"/>
        <v>1484.3130000000001</v>
      </c>
      <c r="Y67" s="5">
        <f t="shared" si="6"/>
        <v>151</v>
      </c>
      <c r="Z67" s="5">
        <f t="shared" si="6"/>
        <v>3699.5219999999999</v>
      </c>
      <c r="AA67" s="5">
        <f t="shared" si="6"/>
        <v>3745.5329999999999</v>
      </c>
      <c r="AB67" s="5">
        <f t="shared" si="6"/>
        <v>0</v>
      </c>
      <c r="AC67" s="5">
        <f t="shared" si="6"/>
        <v>976.38900000000001</v>
      </c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</row>
    <row r="68" spans="1:58" x14ac:dyDescent="0.55000000000000004">
      <c r="C68" t="s">
        <v>45</v>
      </c>
      <c r="D68" s="5">
        <f>SUM(D36:D37,D47:D48,D58:D59)/1000</f>
        <v>0</v>
      </c>
      <c r="E68" s="5">
        <f t="shared" ref="E68:AC68" si="7">SUM(E36:E37,E47:E48,E58:E59)/1000</f>
        <v>5.25</v>
      </c>
      <c r="F68" s="5">
        <f t="shared" si="7"/>
        <v>38.25</v>
      </c>
      <c r="G68" s="5">
        <f t="shared" si="7"/>
        <v>1764.671</v>
      </c>
      <c r="H68" s="5">
        <f t="shared" si="7"/>
        <v>320.23</v>
      </c>
      <c r="I68" s="5">
        <f t="shared" si="7"/>
        <v>196.94</v>
      </c>
      <c r="J68" s="5">
        <f t="shared" si="7"/>
        <v>238.76</v>
      </c>
      <c r="K68" s="5">
        <f t="shared" si="7"/>
        <v>0</v>
      </c>
      <c r="L68" s="5">
        <f t="shared" si="7"/>
        <v>72.819999999999993</v>
      </c>
      <c r="M68" s="5">
        <f t="shared" si="7"/>
        <v>395.64</v>
      </c>
      <c r="N68" s="5">
        <f t="shared" si="7"/>
        <v>290.15499999999997</v>
      </c>
      <c r="O68" s="5">
        <f t="shared" si="7"/>
        <v>125.26</v>
      </c>
      <c r="P68" s="5">
        <f t="shared" si="7"/>
        <v>232.86500000000001</v>
      </c>
      <c r="Q68" s="5">
        <f t="shared" si="7"/>
        <v>15.28</v>
      </c>
      <c r="R68" s="5">
        <f t="shared" si="7"/>
        <v>5</v>
      </c>
      <c r="S68" s="5">
        <f t="shared" si="7"/>
        <v>13.05</v>
      </c>
      <c r="T68" s="5">
        <f t="shared" si="7"/>
        <v>116.5</v>
      </c>
      <c r="U68" s="5">
        <f t="shared" si="7"/>
        <v>149.88499999999999</v>
      </c>
      <c r="V68" s="5">
        <f t="shared" si="7"/>
        <v>6.9649999999999999</v>
      </c>
      <c r="W68" s="5">
        <f t="shared" si="7"/>
        <v>155</v>
      </c>
      <c r="X68" s="5">
        <f t="shared" si="7"/>
        <v>0</v>
      </c>
      <c r="Y68" s="5">
        <f t="shared" si="7"/>
        <v>92</v>
      </c>
      <c r="Z68" s="5">
        <f t="shared" si="7"/>
        <v>1230.8630000000001</v>
      </c>
      <c r="AA68" s="5">
        <f t="shared" si="7"/>
        <v>54.374000000000002</v>
      </c>
      <c r="AB68" s="5">
        <f t="shared" si="7"/>
        <v>0</v>
      </c>
      <c r="AC68" s="5">
        <f t="shared" si="7"/>
        <v>0</v>
      </c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</row>
    <row r="69" spans="1:58" x14ac:dyDescent="0.55000000000000004">
      <c r="C69" t="s">
        <v>35</v>
      </c>
      <c r="D69" s="5">
        <f>SUM(D42,D53,D64)/1000</f>
        <v>0</v>
      </c>
      <c r="E69" s="5">
        <f t="shared" ref="E69:AC69" si="8">SUM(E42,E53,E64)/1000</f>
        <v>31.04</v>
      </c>
      <c r="F69" s="5">
        <f t="shared" si="8"/>
        <v>102.011</v>
      </c>
      <c r="G69" s="5">
        <f t="shared" si="8"/>
        <v>499.91</v>
      </c>
      <c r="H69" s="5">
        <f t="shared" si="8"/>
        <v>221.43600000000001</v>
      </c>
      <c r="I69" s="5">
        <f t="shared" si="8"/>
        <v>98.566999999999993</v>
      </c>
      <c r="J69" s="5">
        <f t="shared" si="8"/>
        <v>122.143</v>
      </c>
      <c r="K69" s="5">
        <f t="shared" si="8"/>
        <v>203.38499999999999</v>
      </c>
      <c r="L69" s="5">
        <f t="shared" si="8"/>
        <v>55.054000000000002</v>
      </c>
      <c r="M69" s="5">
        <f t="shared" si="8"/>
        <v>137.50200000000001</v>
      </c>
      <c r="N69" s="5">
        <f t="shared" si="8"/>
        <v>117.06100000000001</v>
      </c>
      <c r="O69" s="5">
        <f t="shared" si="8"/>
        <v>203.76</v>
      </c>
      <c r="P69" s="5">
        <f t="shared" si="8"/>
        <v>157.57</v>
      </c>
      <c r="Q69" s="5">
        <f t="shared" si="8"/>
        <v>11.464</v>
      </c>
      <c r="R69" s="5">
        <f t="shared" si="8"/>
        <v>2.86</v>
      </c>
      <c r="S69" s="5">
        <f t="shared" si="8"/>
        <v>240</v>
      </c>
      <c r="T69" s="5">
        <f t="shared" si="8"/>
        <v>17.891999999999999</v>
      </c>
      <c r="U69" s="5">
        <f t="shared" si="8"/>
        <v>85.394000000000005</v>
      </c>
      <c r="V69" s="5">
        <f t="shared" si="8"/>
        <v>29.042000000000002</v>
      </c>
      <c r="W69" s="5">
        <f t="shared" si="8"/>
        <v>117.762</v>
      </c>
      <c r="X69" s="5">
        <f t="shared" si="8"/>
        <v>150.68299999999999</v>
      </c>
      <c r="Y69" s="5">
        <f t="shared" si="8"/>
        <v>40.6</v>
      </c>
      <c r="Z69" s="5">
        <f t="shared" si="8"/>
        <v>1078.3086000000001</v>
      </c>
      <c r="AA69" s="5">
        <f t="shared" si="8"/>
        <v>63.536000000000001</v>
      </c>
      <c r="AB69" s="5">
        <f t="shared" si="8"/>
        <v>0</v>
      </c>
      <c r="AC69" s="5">
        <f t="shared" si="8"/>
        <v>0</v>
      </c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</row>
    <row r="70" spans="1:58" x14ac:dyDescent="0.55000000000000004"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</row>
    <row r="71" spans="1:58" x14ac:dyDescent="0.55000000000000004">
      <c r="B71">
        <v>15</v>
      </c>
      <c r="C71" t="s">
        <v>56</v>
      </c>
      <c r="D71" s="5">
        <f>SUM(D39:D40)/1000</f>
        <v>0</v>
      </c>
      <c r="E71" s="5">
        <f t="shared" ref="E71:AC71" si="9">SUM(E39:E40)/1000</f>
        <v>59.503999999999998</v>
      </c>
      <c r="F71" s="5">
        <f t="shared" si="9"/>
        <v>143.25800000000001</v>
      </c>
      <c r="G71" s="5">
        <f t="shared" si="9"/>
        <v>10206.313</v>
      </c>
      <c r="H71" s="5">
        <f t="shared" si="9"/>
        <v>807.98400000000004</v>
      </c>
      <c r="I71" s="5">
        <f t="shared" si="9"/>
        <v>1246.462</v>
      </c>
      <c r="J71" s="5">
        <f t="shared" si="9"/>
        <v>2453.5045</v>
      </c>
      <c r="K71" s="5">
        <f t="shared" si="9"/>
        <v>976.72900000000004</v>
      </c>
      <c r="L71" s="5">
        <f t="shared" si="9"/>
        <v>234.37799999999999</v>
      </c>
      <c r="M71" s="5">
        <f t="shared" si="9"/>
        <v>887.63199999999995</v>
      </c>
      <c r="N71" s="5">
        <f t="shared" si="9"/>
        <v>173.995</v>
      </c>
      <c r="O71" s="5">
        <f t="shared" si="9"/>
        <v>2182.0059999999999</v>
      </c>
      <c r="P71" s="5">
        <f t="shared" si="9"/>
        <v>503.488</v>
      </c>
      <c r="Q71" s="5">
        <f t="shared" si="9"/>
        <v>121.378</v>
      </c>
      <c r="R71" s="5">
        <f t="shared" si="9"/>
        <v>48</v>
      </c>
      <c r="S71" s="5">
        <f t="shared" si="9"/>
        <v>2977.2966000000001</v>
      </c>
      <c r="T71" s="5">
        <f t="shared" si="9"/>
        <v>351</v>
      </c>
      <c r="U71" s="5">
        <f t="shared" si="9"/>
        <v>832.89499999999998</v>
      </c>
      <c r="V71" s="5">
        <f t="shared" si="9"/>
        <v>113.99</v>
      </c>
      <c r="W71" s="5">
        <f t="shared" si="9"/>
        <v>1840.1</v>
      </c>
      <c r="X71" s="5">
        <f t="shared" si="9"/>
        <v>1365.183</v>
      </c>
      <c r="Y71" s="5">
        <f t="shared" si="9"/>
        <v>77</v>
      </c>
      <c r="Z71" s="5">
        <f t="shared" si="9"/>
        <v>3099.8539999999998</v>
      </c>
      <c r="AA71" s="5">
        <f t="shared" si="9"/>
        <v>2632.11</v>
      </c>
      <c r="AB71" s="5">
        <f t="shared" si="9"/>
        <v>0</v>
      </c>
      <c r="AC71" s="5">
        <f t="shared" si="9"/>
        <v>537.83600000000001</v>
      </c>
    </row>
    <row r="72" spans="1:58" x14ac:dyDescent="0.55000000000000004">
      <c r="B72">
        <v>16</v>
      </c>
      <c r="C72" t="s">
        <v>58</v>
      </c>
      <c r="D72" s="5">
        <f>SUM(D50:D51)/1000</f>
        <v>0</v>
      </c>
      <c r="E72" s="5">
        <f t="shared" ref="E72:AC72" si="10">SUM(E50:E51)/1000</f>
        <v>17.163</v>
      </c>
      <c r="F72" s="5">
        <f t="shared" si="10"/>
        <v>34.424999999999997</v>
      </c>
      <c r="G72" s="5">
        <f t="shared" si="10"/>
        <v>1541.53</v>
      </c>
      <c r="H72" s="5">
        <f t="shared" si="10"/>
        <v>96.337000000000003</v>
      </c>
      <c r="I72" s="5">
        <f t="shared" si="10"/>
        <v>207.43799999999999</v>
      </c>
      <c r="J72" s="5">
        <f t="shared" si="10"/>
        <v>398.64</v>
      </c>
      <c r="K72" s="5">
        <f t="shared" si="10"/>
        <v>25</v>
      </c>
      <c r="L72" s="5">
        <f t="shared" si="10"/>
        <v>35.825000000000003</v>
      </c>
      <c r="M72" s="5">
        <f t="shared" si="10"/>
        <v>761.44500000000005</v>
      </c>
      <c r="N72" s="5">
        <f t="shared" si="10"/>
        <v>17.085000000000001</v>
      </c>
      <c r="O72" s="5">
        <f t="shared" si="10"/>
        <v>1296.8599999999999</v>
      </c>
      <c r="P72" s="5">
        <f t="shared" si="10"/>
        <v>0</v>
      </c>
      <c r="Q72" s="5">
        <f t="shared" si="10"/>
        <v>243.001</v>
      </c>
      <c r="R72" s="5">
        <f t="shared" si="10"/>
        <v>56.46</v>
      </c>
      <c r="S72" s="5">
        <f t="shared" si="10"/>
        <v>352.81799999999998</v>
      </c>
      <c r="T72" s="5">
        <f t="shared" si="10"/>
        <v>9.5</v>
      </c>
      <c r="U72" s="5">
        <f t="shared" si="10"/>
        <v>179.62700000000001</v>
      </c>
      <c r="V72" s="5">
        <f t="shared" si="10"/>
        <v>31.962</v>
      </c>
      <c r="W72" s="5">
        <f t="shared" si="10"/>
        <v>352.60199999999998</v>
      </c>
      <c r="X72" s="5">
        <f t="shared" si="10"/>
        <v>71.421999999999997</v>
      </c>
      <c r="Y72" s="5">
        <f t="shared" si="10"/>
        <v>74</v>
      </c>
      <c r="Z72" s="5">
        <f t="shared" si="10"/>
        <v>209.53800000000001</v>
      </c>
      <c r="AA72" s="5">
        <f t="shared" si="10"/>
        <v>1101.5170000000001</v>
      </c>
      <c r="AB72" s="5">
        <f t="shared" si="10"/>
        <v>0</v>
      </c>
      <c r="AC72" s="5">
        <f t="shared" si="10"/>
        <v>419.61099999999999</v>
      </c>
    </row>
    <row r="73" spans="1:58" x14ac:dyDescent="0.55000000000000004">
      <c r="B73">
        <v>17</v>
      </c>
      <c r="C73" t="s">
        <v>57</v>
      </c>
      <c r="D73" s="5">
        <f>SUM(D61:D62)/1000</f>
        <v>0</v>
      </c>
      <c r="E73" s="5">
        <f t="shared" ref="E73:AC73" si="11">SUM(E61:E62)/1000</f>
        <v>4.55</v>
      </c>
      <c r="F73" s="5">
        <f t="shared" si="11"/>
        <v>19.95</v>
      </c>
      <c r="G73" s="5">
        <f t="shared" si="11"/>
        <v>157.52000000000001</v>
      </c>
      <c r="H73" s="5">
        <f t="shared" si="11"/>
        <v>4.4400000000000004</v>
      </c>
      <c r="I73" s="5">
        <f t="shared" si="11"/>
        <v>0</v>
      </c>
      <c r="J73" s="5">
        <f t="shared" si="11"/>
        <v>19.716000000000001</v>
      </c>
      <c r="K73" s="5">
        <f t="shared" si="11"/>
        <v>108.968</v>
      </c>
      <c r="L73" s="5">
        <f t="shared" si="11"/>
        <v>32</v>
      </c>
      <c r="M73" s="5">
        <f t="shared" si="11"/>
        <v>98.26</v>
      </c>
      <c r="N73" s="5">
        <f t="shared" si="11"/>
        <v>15.61</v>
      </c>
      <c r="O73" s="5">
        <f t="shared" si="11"/>
        <v>163</v>
      </c>
      <c r="P73" s="5">
        <f t="shared" si="11"/>
        <v>0</v>
      </c>
      <c r="Q73" s="5">
        <f t="shared" si="11"/>
        <v>20.437999999999999</v>
      </c>
      <c r="R73" s="5">
        <f t="shared" si="11"/>
        <v>0</v>
      </c>
      <c r="S73" s="5">
        <f t="shared" si="11"/>
        <v>50.012</v>
      </c>
      <c r="T73" s="5">
        <f t="shared" si="11"/>
        <v>13.8</v>
      </c>
      <c r="U73" s="5">
        <f t="shared" si="11"/>
        <v>19.375</v>
      </c>
      <c r="V73" s="5">
        <f t="shared" si="11"/>
        <v>0</v>
      </c>
      <c r="W73" s="5">
        <f t="shared" si="11"/>
        <v>107.325</v>
      </c>
      <c r="X73" s="5">
        <f t="shared" si="11"/>
        <v>47.707999999999998</v>
      </c>
      <c r="Y73" s="5">
        <f t="shared" si="11"/>
        <v>0</v>
      </c>
      <c r="Z73" s="5">
        <f t="shared" si="11"/>
        <v>390.13</v>
      </c>
      <c r="AA73" s="5">
        <f t="shared" si="11"/>
        <v>11.906000000000001</v>
      </c>
      <c r="AB73" s="5">
        <f t="shared" si="11"/>
        <v>0</v>
      </c>
      <c r="AC73" s="5">
        <f t="shared" si="11"/>
        <v>18.942</v>
      </c>
    </row>
    <row r="74" spans="1:58" x14ac:dyDescent="0.55000000000000004"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 spans="1:58" x14ac:dyDescent="0.55000000000000004">
      <c r="C75" t="s">
        <v>43</v>
      </c>
      <c r="D75" s="7">
        <f>SUM(D36:D43,D47:D54,D58:D65)/1000</f>
        <v>0</v>
      </c>
      <c r="E75" s="7">
        <f t="shared" ref="E75:AC75" si="12">SUM(E36:E43,E47:E54,E58:E65)/1000</f>
        <v>117.50700000000001</v>
      </c>
      <c r="F75" s="7">
        <f t="shared" si="12"/>
        <v>385.13200000000001</v>
      </c>
      <c r="G75" s="7">
        <f t="shared" si="12"/>
        <v>17656.609</v>
      </c>
      <c r="H75" s="7">
        <f t="shared" si="12"/>
        <v>1777.924</v>
      </c>
      <c r="I75" s="7">
        <f t="shared" si="12"/>
        <v>3032.0010000000002</v>
      </c>
      <c r="J75" s="7">
        <f t="shared" si="12"/>
        <v>4060.7595000000001</v>
      </c>
      <c r="K75" s="7">
        <f t="shared" si="12"/>
        <v>1357.672</v>
      </c>
      <c r="L75" s="7">
        <f t="shared" si="12"/>
        <v>454.71699999999998</v>
      </c>
      <c r="M75" s="7">
        <f t="shared" si="12"/>
        <v>2568.5790000000002</v>
      </c>
      <c r="N75" s="7">
        <f t="shared" si="12"/>
        <v>664.94799999999998</v>
      </c>
      <c r="O75" s="7">
        <f t="shared" si="12"/>
        <v>3970.886</v>
      </c>
      <c r="P75" s="7">
        <f t="shared" si="12"/>
        <v>966.476</v>
      </c>
      <c r="Q75" s="7">
        <f t="shared" si="12"/>
        <v>420.68900000000002</v>
      </c>
      <c r="R75" s="7">
        <f t="shared" si="12"/>
        <v>250.73</v>
      </c>
      <c r="S75" s="7">
        <f t="shared" si="12"/>
        <v>3664.9372499999999</v>
      </c>
      <c r="T75" s="7">
        <f t="shared" si="12"/>
        <v>1039.422</v>
      </c>
      <c r="U75" s="7">
        <f t="shared" si="12"/>
        <v>1362.07</v>
      </c>
      <c r="V75" s="7">
        <f t="shared" si="12"/>
        <v>663.14400000000001</v>
      </c>
      <c r="W75" s="7">
        <f t="shared" si="12"/>
        <v>3018.7550000000001</v>
      </c>
      <c r="X75" s="7">
        <f t="shared" si="12"/>
        <v>1925.7460000000001</v>
      </c>
      <c r="Y75" s="7">
        <f t="shared" si="12"/>
        <v>323.60000000000002</v>
      </c>
      <c r="Z75" s="7">
        <f t="shared" si="12"/>
        <v>6051.8745999999992</v>
      </c>
      <c r="AA75" s="7">
        <f t="shared" si="12"/>
        <v>4544.29</v>
      </c>
      <c r="AB75" s="7">
        <f t="shared" si="12"/>
        <v>0</v>
      </c>
      <c r="AC75" s="7">
        <f t="shared" si="12"/>
        <v>994.87599999999998</v>
      </c>
    </row>
    <row r="77" spans="1:58" x14ac:dyDescent="0.55000000000000004">
      <c r="A77" s="9" t="s">
        <v>46</v>
      </c>
      <c r="B77" s="9" t="s">
        <v>47</v>
      </c>
      <c r="C77" s="6" t="s">
        <v>1</v>
      </c>
      <c r="D77" s="6" t="s">
        <v>2</v>
      </c>
      <c r="E77" s="6" t="s">
        <v>3</v>
      </c>
      <c r="F77" s="6" t="s">
        <v>4</v>
      </c>
      <c r="G77" s="6" t="s">
        <v>5</v>
      </c>
      <c r="H77" s="6" t="s">
        <v>6</v>
      </c>
      <c r="I77" s="6" t="s">
        <v>7</v>
      </c>
      <c r="J77" s="6" t="s">
        <v>8</v>
      </c>
      <c r="K77" s="6" t="s">
        <v>9</v>
      </c>
      <c r="L77" s="6" t="s">
        <v>10</v>
      </c>
      <c r="M77" s="6" t="s">
        <v>11</v>
      </c>
      <c r="N77" s="6" t="s">
        <v>12</v>
      </c>
      <c r="O77" s="6" t="s">
        <v>13</v>
      </c>
      <c r="P77" s="6" t="s">
        <v>14</v>
      </c>
      <c r="Q77" s="6" t="s">
        <v>15</v>
      </c>
      <c r="R77" s="6" t="s">
        <v>16</v>
      </c>
      <c r="S77" s="6" t="s">
        <v>17</v>
      </c>
      <c r="T77" s="6" t="s">
        <v>18</v>
      </c>
      <c r="U77" s="6" t="s">
        <v>19</v>
      </c>
      <c r="V77" s="6" t="s">
        <v>20</v>
      </c>
      <c r="W77" s="6" t="s">
        <v>21</v>
      </c>
      <c r="X77" s="6" t="s">
        <v>22</v>
      </c>
      <c r="Y77" s="6" t="s">
        <v>23</v>
      </c>
      <c r="Z77" s="6" t="s">
        <v>24</v>
      </c>
      <c r="AA77" s="6" t="s">
        <v>25</v>
      </c>
      <c r="AB77" s="6" t="s">
        <v>26</v>
      </c>
      <c r="AC77" s="6" t="s">
        <v>27</v>
      </c>
    </row>
    <row r="78" spans="1:58" x14ac:dyDescent="0.55000000000000004">
      <c r="A78" s="2" t="s">
        <v>48</v>
      </c>
      <c r="B78" s="10" t="s">
        <v>0</v>
      </c>
      <c r="C78" s="7">
        <v>19000</v>
      </c>
      <c r="D78" s="7">
        <v>0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19000</v>
      </c>
    </row>
    <row r="79" spans="1:58" x14ac:dyDescent="0.55000000000000004">
      <c r="A79" s="2" t="s">
        <v>49</v>
      </c>
      <c r="B79" s="10" t="s">
        <v>0</v>
      </c>
      <c r="C79" s="7">
        <v>0</v>
      </c>
      <c r="D79" s="7">
        <v>0</v>
      </c>
      <c r="E79" s="7">
        <v>0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</row>
    <row r="80" spans="1:58" x14ac:dyDescent="0.55000000000000004">
      <c r="A80" s="2" t="s">
        <v>50</v>
      </c>
      <c r="B80" s="10" t="s">
        <v>0</v>
      </c>
      <c r="C80" s="7">
        <v>0</v>
      </c>
      <c r="D80" s="7">
        <v>0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</row>
    <row r="81" spans="1:29" x14ac:dyDescent="0.55000000000000004">
      <c r="A81" s="2" t="s">
        <v>51</v>
      </c>
      <c r="B81" s="10" t="s">
        <v>0</v>
      </c>
      <c r="C81" s="7">
        <v>0</v>
      </c>
      <c r="D81" s="7">
        <v>0</v>
      </c>
      <c r="E81" s="7">
        <v>0</v>
      </c>
      <c r="F81" s="7">
        <v>0</v>
      </c>
      <c r="G81" s="7">
        <v>0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</row>
    <row r="82" spans="1:29" x14ac:dyDescent="0.55000000000000004">
      <c r="A82" s="2" t="s">
        <v>52</v>
      </c>
      <c r="B82" s="10" t="s">
        <v>0</v>
      </c>
      <c r="C82" s="7">
        <v>607806</v>
      </c>
      <c r="D82" s="7">
        <v>0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178955</v>
      </c>
      <c r="N82" s="7">
        <v>0</v>
      </c>
      <c r="O82" s="7">
        <v>0</v>
      </c>
      <c r="P82" s="7">
        <v>95825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186320</v>
      </c>
      <c r="W82" s="7">
        <v>0</v>
      </c>
      <c r="X82" s="7">
        <v>0</v>
      </c>
      <c r="Y82" s="7">
        <v>121706</v>
      </c>
      <c r="Z82" s="7">
        <v>0</v>
      </c>
      <c r="AA82" s="7">
        <v>0</v>
      </c>
      <c r="AB82" s="7">
        <v>0</v>
      </c>
      <c r="AC82" s="7">
        <v>25000</v>
      </c>
    </row>
    <row r="83" spans="1:29" x14ac:dyDescent="0.55000000000000004">
      <c r="A83" s="2" t="s">
        <v>53</v>
      </c>
      <c r="B83" s="10" t="s">
        <v>0</v>
      </c>
      <c r="C83" s="7">
        <v>129939</v>
      </c>
      <c r="D83" s="7">
        <v>0</v>
      </c>
      <c r="E83" s="7">
        <v>0</v>
      </c>
      <c r="F83" s="7">
        <v>77610</v>
      </c>
      <c r="G83" s="7">
        <v>0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5382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46947</v>
      </c>
      <c r="AA83" s="7">
        <v>0</v>
      </c>
      <c r="AB83" s="7">
        <v>0</v>
      </c>
      <c r="AC83" s="7">
        <v>0</v>
      </c>
    </row>
    <row r="84" spans="1:29" x14ac:dyDescent="0.55000000000000004">
      <c r="A84" s="2" t="s">
        <v>32</v>
      </c>
      <c r="B84" s="10" t="s">
        <v>0</v>
      </c>
      <c r="C84" s="7">
        <v>59624</v>
      </c>
      <c r="D84" s="7">
        <v>0</v>
      </c>
      <c r="E84" s="7">
        <v>4000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3000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35624</v>
      </c>
      <c r="AA84" s="7">
        <v>0</v>
      </c>
      <c r="AB84" s="7">
        <v>0</v>
      </c>
      <c r="AC84" s="7">
        <v>17000</v>
      </c>
    </row>
    <row r="85" spans="1:29" x14ac:dyDescent="0.55000000000000004">
      <c r="A85" s="2" t="s">
        <v>33</v>
      </c>
      <c r="B85" s="10" t="s">
        <v>0</v>
      </c>
      <c r="C85" s="7">
        <v>39730</v>
      </c>
      <c r="D85" s="7">
        <v>0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6250</v>
      </c>
      <c r="L85" s="7">
        <v>0</v>
      </c>
      <c r="M85" s="7">
        <v>0</v>
      </c>
      <c r="N85" s="7">
        <v>0</v>
      </c>
      <c r="O85" s="7">
        <v>0</v>
      </c>
      <c r="P85" s="7">
        <v>30000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3480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</row>
    <row r="86" spans="1:29" x14ac:dyDescent="0.55000000000000004">
      <c r="A86" s="8" t="s">
        <v>35</v>
      </c>
      <c r="B86" s="10" t="s">
        <v>0</v>
      </c>
      <c r="C86" s="7">
        <v>3143</v>
      </c>
      <c r="D86" s="7">
        <v>0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3143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</row>
    <row r="87" spans="1:29" x14ac:dyDescent="0.55000000000000004">
      <c r="A87" s="8" t="s">
        <v>35</v>
      </c>
      <c r="B87" s="10" t="s">
        <v>0</v>
      </c>
      <c r="C87" s="7">
        <v>32710</v>
      </c>
      <c r="D87" s="7">
        <v>0</v>
      </c>
      <c r="E87" s="7">
        <v>0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2000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3240</v>
      </c>
      <c r="Z87" s="7">
        <v>4570</v>
      </c>
      <c r="AA87" s="7">
        <v>0</v>
      </c>
      <c r="AB87" s="7">
        <v>18900</v>
      </c>
      <c r="AC87" s="7">
        <v>4000</v>
      </c>
    </row>
    <row r="88" spans="1:29" x14ac:dyDescent="0.55000000000000004">
      <c r="A88" s="8" t="s">
        <v>35</v>
      </c>
      <c r="B88" s="10" t="s">
        <v>0</v>
      </c>
      <c r="C88" s="7">
        <v>0</v>
      </c>
      <c r="D88" s="7">
        <v>0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</row>
    <row r="89" spans="1:29" x14ac:dyDescent="0.55000000000000004">
      <c r="A89" s="2" t="s">
        <v>36</v>
      </c>
      <c r="B89" s="10" t="s">
        <v>0</v>
      </c>
      <c r="C89" s="7">
        <v>0</v>
      </c>
      <c r="D89" s="7">
        <v>0</v>
      </c>
      <c r="E89" s="7">
        <v>0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</row>
    <row r="90" spans="1:29" x14ac:dyDescent="0.55000000000000004">
      <c r="A90" s="8" t="s">
        <v>54</v>
      </c>
      <c r="B90" s="10" t="s">
        <v>0</v>
      </c>
      <c r="C90" s="7">
        <v>150347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19867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130480</v>
      </c>
      <c r="AA90" s="7">
        <v>0</v>
      </c>
      <c r="AB90" s="7">
        <v>0</v>
      </c>
      <c r="AC90" s="7">
        <v>0</v>
      </c>
    </row>
    <row r="93" spans="1:29" x14ac:dyDescent="0.55000000000000004">
      <c r="A93" s="1" t="s">
        <v>28</v>
      </c>
      <c r="B93" s="1" t="s">
        <v>41</v>
      </c>
      <c r="D93" s="4" t="s">
        <v>20</v>
      </c>
      <c r="E93" s="4" t="s">
        <v>17</v>
      </c>
      <c r="F93" s="4" t="s">
        <v>16</v>
      </c>
      <c r="G93" s="4" t="s">
        <v>3</v>
      </c>
      <c r="H93" s="4" t="s">
        <v>14</v>
      </c>
      <c r="I93" s="4" t="s">
        <v>13</v>
      </c>
      <c r="J93" s="4" t="s">
        <v>11</v>
      </c>
      <c r="K93" s="4" t="s">
        <v>26</v>
      </c>
      <c r="L93" s="4" t="s">
        <v>9</v>
      </c>
      <c r="M93" s="4" t="s">
        <v>19</v>
      </c>
      <c r="N93" s="4" t="s">
        <v>27</v>
      </c>
      <c r="O93" s="4" t="s">
        <v>4</v>
      </c>
      <c r="P93" s="4" t="s">
        <v>25</v>
      </c>
      <c r="Q93" s="4" t="s">
        <v>8</v>
      </c>
      <c r="R93" s="4" t="s">
        <v>7</v>
      </c>
      <c r="S93" s="4" t="s">
        <v>18</v>
      </c>
      <c r="T93" s="4" t="s">
        <v>15</v>
      </c>
      <c r="U93" s="4" t="s">
        <v>12</v>
      </c>
      <c r="V93" s="4" t="s">
        <v>6</v>
      </c>
      <c r="W93" s="4" t="s">
        <v>21</v>
      </c>
      <c r="X93" s="4" t="s">
        <v>22</v>
      </c>
      <c r="Y93" s="4" t="s">
        <v>5</v>
      </c>
      <c r="Z93" s="4" t="s">
        <v>23</v>
      </c>
      <c r="AA93" s="4" t="s">
        <v>24</v>
      </c>
      <c r="AB93" s="4" t="s">
        <v>10</v>
      </c>
      <c r="AC93" s="4" t="s">
        <v>2</v>
      </c>
    </row>
    <row r="94" spans="1:29" x14ac:dyDescent="0.55000000000000004">
      <c r="A94" s="2" t="s">
        <v>48</v>
      </c>
      <c r="B94">
        <v>2</v>
      </c>
      <c r="D94" s="7">
        <f>HLOOKUP(D$93,$D$77:$AC$90,$B94,FALSE)</f>
        <v>0</v>
      </c>
      <c r="E94" s="7">
        <f t="shared" ref="E94:AC104" si="13">HLOOKUP(E$93,$D$77:$AC$90,$B94,FALSE)</f>
        <v>0</v>
      </c>
      <c r="F94" s="7">
        <f t="shared" si="13"/>
        <v>0</v>
      </c>
      <c r="G94" s="7">
        <f t="shared" si="13"/>
        <v>0</v>
      </c>
      <c r="H94" s="7">
        <f t="shared" si="13"/>
        <v>0</v>
      </c>
      <c r="I94" s="7">
        <f t="shared" si="13"/>
        <v>0</v>
      </c>
      <c r="J94" s="7">
        <f t="shared" si="13"/>
        <v>0</v>
      </c>
      <c r="K94" s="7">
        <f t="shared" si="13"/>
        <v>0</v>
      </c>
      <c r="L94" s="7">
        <f t="shared" si="13"/>
        <v>0</v>
      </c>
      <c r="M94" s="7">
        <f t="shared" si="13"/>
        <v>0</v>
      </c>
      <c r="N94" s="7">
        <f t="shared" si="13"/>
        <v>19000</v>
      </c>
      <c r="O94" s="7">
        <f t="shared" si="13"/>
        <v>0</v>
      </c>
      <c r="P94" s="7">
        <f t="shared" si="13"/>
        <v>0</v>
      </c>
      <c r="Q94" s="7">
        <f t="shared" si="13"/>
        <v>0</v>
      </c>
      <c r="R94" s="7">
        <f t="shared" si="13"/>
        <v>0</v>
      </c>
      <c r="S94" s="7">
        <f t="shared" si="13"/>
        <v>0</v>
      </c>
      <c r="T94" s="7">
        <f t="shared" si="13"/>
        <v>0</v>
      </c>
      <c r="U94" s="7">
        <f t="shared" si="13"/>
        <v>0</v>
      </c>
      <c r="V94" s="7">
        <f t="shared" si="13"/>
        <v>0</v>
      </c>
      <c r="W94" s="7">
        <f t="shared" si="13"/>
        <v>0</v>
      </c>
      <c r="X94" s="7">
        <f t="shared" si="13"/>
        <v>0</v>
      </c>
      <c r="Y94" s="7">
        <f t="shared" si="13"/>
        <v>0</v>
      </c>
      <c r="Z94" s="7">
        <f t="shared" si="13"/>
        <v>0</v>
      </c>
      <c r="AA94" s="7">
        <f t="shared" si="13"/>
        <v>0</v>
      </c>
      <c r="AB94" s="7">
        <f t="shared" si="13"/>
        <v>0</v>
      </c>
      <c r="AC94" s="7">
        <f t="shared" si="13"/>
        <v>0</v>
      </c>
    </row>
    <row r="95" spans="1:29" x14ac:dyDescent="0.55000000000000004">
      <c r="A95" s="2" t="s">
        <v>49</v>
      </c>
      <c r="B95">
        <v>3</v>
      </c>
      <c r="D95" s="7">
        <f t="shared" ref="D95:S106" si="14">HLOOKUP(D$93,$D$77:$AC$90,$B95,FALSE)</f>
        <v>0</v>
      </c>
      <c r="E95" s="7">
        <f t="shared" si="14"/>
        <v>0</v>
      </c>
      <c r="F95" s="7">
        <f t="shared" si="14"/>
        <v>0</v>
      </c>
      <c r="G95" s="7">
        <f t="shared" si="14"/>
        <v>0</v>
      </c>
      <c r="H95" s="7">
        <f t="shared" si="14"/>
        <v>0</v>
      </c>
      <c r="I95" s="7">
        <f t="shared" si="14"/>
        <v>0</v>
      </c>
      <c r="J95" s="7">
        <f t="shared" si="14"/>
        <v>0</v>
      </c>
      <c r="K95" s="7">
        <f t="shared" si="14"/>
        <v>0</v>
      </c>
      <c r="L95" s="7">
        <f t="shared" si="14"/>
        <v>0</v>
      </c>
      <c r="M95" s="7">
        <f t="shared" si="14"/>
        <v>0</v>
      </c>
      <c r="N95" s="7">
        <f t="shared" si="14"/>
        <v>0</v>
      </c>
      <c r="O95" s="7">
        <f t="shared" si="14"/>
        <v>0</v>
      </c>
      <c r="P95" s="7">
        <f t="shared" si="14"/>
        <v>0</v>
      </c>
      <c r="Q95" s="7">
        <f t="shared" si="14"/>
        <v>0</v>
      </c>
      <c r="R95" s="7">
        <f t="shared" si="14"/>
        <v>0</v>
      </c>
      <c r="S95" s="7">
        <f t="shared" si="14"/>
        <v>0</v>
      </c>
      <c r="T95" s="7">
        <f t="shared" si="13"/>
        <v>0</v>
      </c>
      <c r="U95" s="7">
        <f t="shared" si="13"/>
        <v>0</v>
      </c>
      <c r="V95" s="7">
        <f t="shared" si="13"/>
        <v>0</v>
      </c>
      <c r="W95" s="7">
        <f t="shared" si="13"/>
        <v>0</v>
      </c>
      <c r="X95" s="7">
        <f t="shared" si="13"/>
        <v>0</v>
      </c>
      <c r="Y95" s="7">
        <f t="shared" si="13"/>
        <v>0</v>
      </c>
      <c r="Z95" s="7">
        <f t="shared" si="13"/>
        <v>0</v>
      </c>
      <c r="AA95" s="7">
        <f t="shared" si="13"/>
        <v>0</v>
      </c>
      <c r="AB95" s="7">
        <f t="shared" si="13"/>
        <v>0</v>
      </c>
      <c r="AC95" s="7">
        <f t="shared" si="13"/>
        <v>0</v>
      </c>
    </row>
    <row r="96" spans="1:29" x14ac:dyDescent="0.55000000000000004">
      <c r="A96" s="2" t="s">
        <v>50</v>
      </c>
      <c r="B96">
        <v>4</v>
      </c>
      <c r="D96" s="7">
        <f t="shared" si="14"/>
        <v>0</v>
      </c>
      <c r="E96" s="7">
        <f t="shared" si="13"/>
        <v>0</v>
      </c>
      <c r="F96" s="7">
        <f t="shared" si="13"/>
        <v>0</v>
      </c>
      <c r="G96" s="7">
        <f t="shared" si="13"/>
        <v>0</v>
      </c>
      <c r="H96" s="7">
        <f t="shared" si="13"/>
        <v>0</v>
      </c>
      <c r="I96" s="7">
        <f t="shared" si="13"/>
        <v>0</v>
      </c>
      <c r="J96" s="7">
        <f t="shared" si="13"/>
        <v>0</v>
      </c>
      <c r="K96" s="7">
        <f t="shared" si="13"/>
        <v>0</v>
      </c>
      <c r="L96" s="7">
        <f t="shared" si="13"/>
        <v>0</v>
      </c>
      <c r="M96" s="7">
        <f t="shared" si="13"/>
        <v>0</v>
      </c>
      <c r="N96" s="7">
        <f t="shared" si="13"/>
        <v>0</v>
      </c>
      <c r="O96" s="7">
        <f t="shared" si="13"/>
        <v>0</v>
      </c>
      <c r="P96" s="7">
        <f t="shared" si="13"/>
        <v>0</v>
      </c>
      <c r="Q96" s="7">
        <f t="shared" si="13"/>
        <v>0</v>
      </c>
      <c r="R96" s="7">
        <f t="shared" si="13"/>
        <v>0</v>
      </c>
      <c r="S96" s="7">
        <f t="shared" si="13"/>
        <v>0</v>
      </c>
      <c r="T96" s="7">
        <f t="shared" si="13"/>
        <v>0</v>
      </c>
      <c r="U96" s="7">
        <f t="shared" si="13"/>
        <v>0</v>
      </c>
      <c r="V96" s="7">
        <f t="shared" si="13"/>
        <v>0</v>
      </c>
      <c r="W96" s="7">
        <f t="shared" si="13"/>
        <v>0</v>
      </c>
      <c r="X96" s="7">
        <f t="shared" si="13"/>
        <v>0</v>
      </c>
      <c r="Y96" s="7">
        <f t="shared" si="13"/>
        <v>0</v>
      </c>
      <c r="Z96" s="7">
        <f t="shared" si="13"/>
        <v>0</v>
      </c>
      <c r="AA96" s="7">
        <f t="shared" si="13"/>
        <v>0</v>
      </c>
      <c r="AB96" s="7">
        <f t="shared" si="13"/>
        <v>0</v>
      </c>
      <c r="AC96" s="7">
        <f t="shared" si="13"/>
        <v>0</v>
      </c>
    </row>
    <row r="97" spans="1:29" x14ac:dyDescent="0.55000000000000004">
      <c r="A97" s="2" t="s">
        <v>51</v>
      </c>
      <c r="B97">
        <v>5</v>
      </c>
      <c r="D97" s="7">
        <f t="shared" si="14"/>
        <v>0</v>
      </c>
      <c r="E97" s="7">
        <f t="shared" si="13"/>
        <v>0</v>
      </c>
      <c r="F97" s="7">
        <f t="shared" si="13"/>
        <v>0</v>
      </c>
      <c r="G97" s="7">
        <f t="shared" si="13"/>
        <v>0</v>
      </c>
      <c r="H97" s="7">
        <f t="shared" si="13"/>
        <v>0</v>
      </c>
      <c r="I97" s="7">
        <f t="shared" si="13"/>
        <v>0</v>
      </c>
      <c r="J97" s="7">
        <f t="shared" si="13"/>
        <v>0</v>
      </c>
      <c r="K97" s="7">
        <f t="shared" si="13"/>
        <v>0</v>
      </c>
      <c r="L97" s="7">
        <f t="shared" si="13"/>
        <v>0</v>
      </c>
      <c r="M97" s="7">
        <f t="shared" si="13"/>
        <v>0</v>
      </c>
      <c r="N97" s="7">
        <f t="shared" si="13"/>
        <v>0</v>
      </c>
      <c r="O97" s="7">
        <f t="shared" si="13"/>
        <v>0</v>
      </c>
      <c r="P97" s="7">
        <f t="shared" si="13"/>
        <v>0</v>
      </c>
      <c r="Q97" s="7">
        <f t="shared" si="13"/>
        <v>0</v>
      </c>
      <c r="R97" s="7">
        <f t="shared" si="13"/>
        <v>0</v>
      </c>
      <c r="S97" s="7">
        <f t="shared" si="13"/>
        <v>0</v>
      </c>
      <c r="T97" s="7">
        <f t="shared" si="13"/>
        <v>0</v>
      </c>
      <c r="U97" s="7">
        <f t="shared" si="13"/>
        <v>0</v>
      </c>
      <c r="V97" s="7">
        <f t="shared" si="13"/>
        <v>0</v>
      </c>
      <c r="W97" s="7">
        <f t="shared" si="13"/>
        <v>0</v>
      </c>
      <c r="X97" s="7">
        <f t="shared" si="13"/>
        <v>0</v>
      </c>
      <c r="Y97" s="7">
        <f t="shared" si="13"/>
        <v>0</v>
      </c>
      <c r="Z97" s="7">
        <f t="shared" si="13"/>
        <v>0</v>
      </c>
      <c r="AA97" s="7">
        <f t="shared" si="13"/>
        <v>0</v>
      </c>
      <c r="AB97" s="7">
        <f t="shared" si="13"/>
        <v>0</v>
      </c>
      <c r="AC97" s="7">
        <f t="shared" si="13"/>
        <v>0</v>
      </c>
    </row>
    <row r="98" spans="1:29" x14ac:dyDescent="0.55000000000000004">
      <c r="A98" s="2" t="s">
        <v>52</v>
      </c>
      <c r="B98">
        <v>6</v>
      </c>
      <c r="D98" s="7">
        <f t="shared" si="14"/>
        <v>186320</v>
      </c>
      <c r="E98" s="7">
        <f t="shared" si="13"/>
        <v>0</v>
      </c>
      <c r="F98" s="7">
        <f t="shared" si="13"/>
        <v>0</v>
      </c>
      <c r="G98" s="7">
        <f t="shared" si="13"/>
        <v>0</v>
      </c>
      <c r="H98" s="7">
        <f t="shared" si="13"/>
        <v>95825</v>
      </c>
      <c r="I98" s="7">
        <f t="shared" si="13"/>
        <v>0</v>
      </c>
      <c r="J98" s="7">
        <f t="shared" si="13"/>
        <v>178955</v>
      </c>
      <c r="K98" s="7">
        <f t="shared" si="13"/>
        <v>0</v>
      </c>
      <c r="L98" s="7">
        <f t="shared" si="13"/>
        <v>0</v>
      </c>
      <c r="M98" s="7">
        <f t="shared" si="13"/>
        <v>0</v>
      </c>
      <c r="N98" s="7">
        <f t="shared" si="13"/>
        <v>25000</v>
      </c>
      <c r="O98" s="7">
        <f t="shared" si="13"/>
        <v>0</v>
      </c>
      <c r="P98" s="7">
        <f t="shared" si="13"/>
        <v>0</v>
      </c>
      <c r="Q98" s="7">
        <f t="shared" si="13"/>
        <v>0</v>
      </c>
      <c r="R98" s="7">
        <f t="shared" si="13"/>
        <v>0</v>
      </c>
      <c r="S98" s="7">
        <f t="shared" si="13"/>
        <v>0</v>
      </c>
      <c r="T98" s="7">
        <f t="shared" si="13"/>
        <v>0</v>
      </c>
      <c r="U98" s="7">
        <f t="shared" si="13"/>
        <v>0</v>
      </c>
      <c r="V98" s="7">
        <f t="shared" si="13"/>
        <v>0</v>
      </c>
      <c r="W98" s="7">
        <f t="shared" si="13"/>
        <v>0</v>
      </c>
      <c r="X98" s="7">
        <f t="shared" si="13"/>
        <v>0</v>
      </c>
      <c r="Y98" s="7">
        <f t="shared" si="13"/>
        <v>0</v>
      </c>
      <c r="Z98" s="7">
        <f t="shared" si="13"/>
        <v>121706</v>
      </c>
      <c r="AA98" s="7">
        <f t="shared" si="13"/>
        <v>0</v>
      </c>
      <c r="AB98" s="7">
        <f t="shared" si="13"/>
        <v>0</v>
      </c>
      <c r="AC98" s="7">
        <f t="shared" si="13"/>
        <v>0</v>
      </c>
    </row>
    <row r="99" spans="1:29" x14ac:dyDescent="0.55000000000000004">
      <c r="A99" s="2" t="s">
        <v>53</v>
      </c>
      <c r="B99">
        <v>7</v>
      </c>
      <c r="D99" s="7">
        <f t="shared" si="14"/>
        <v>0</v>
      </c>
      <c r="E99" s="7">
        <f t="shared" si="13"/>
        <v>0</v>
      </c>
      <c r="F99" s="7">
        <f t="shared" si="13"/>
        <v>0</v>
      </c>
      <c r="G99" s="7">
        <f t="shared" si="13"/>
        <v>0</v>
      </c>
      <c r="H99" s="7">
        <f t="shared" si="13"/>
        <v>0</v>
      </c>
      <c r="I99" s="7">
        <f t="shared" si="13"/>
        <v>0</v>
      </c>
      <c r="J99" s="7">
        <f t="shared" si="13"/>
        <v>0</v>
      </c>
      <c r="K99" s="7">
        <f t="shared" si="13"/>
        <v>0</v>
      </c>
      <c r="L99" s="7">
        <f t="shared" si="13"/>
        <v>0</v>
      </c>
      <c r="M99" s="7">
        <f t="shared" si="13"/>
        <v>0</v>
      </c>
      <c r="N99" s="7">
        <f t="shared" si="13"/>
        <v>0</v>
      </c>
      <c r="O99" s="7">
        <f t="shared" si="13"/>
        <v>77610</v>
      </c>
      <c r="P99" s="7">
        <f t="shared" si="13"/>
        <v>0</v>
      </c>
      <c r="Q99" s="7">
        <f t="shared" si="13"/>
        <v>0</v>
      </c>
      <c r="R99" s="7">
        <f t="shared" si="13"/>
        <v>0</v>
      </c>
      <c r="S99" s="7">
        <f t="shared" si="13"/>
        <v>5382</v>
      </c>
      <c r="T99" s="7">
        <f t="shared" si="13"/>
        <v>0</v>
      </c>
      <c r="U99" s="7">
        <f t="shared" si="13"/>
        <v>0</v>
      </c>
      <c r="V99" s="7">
        <f t="shared" si="13"/>
        <v>0</v>
      </c>
      <c r="W99" s="7">
        <f t="shared" si="13"/>
        <v>0</v>
      </c>
      <c r="X99" s="7">
        <f t="shared" si="13"/>
        <v>0</v>
      </c>
      <c r="Y99" s="7">
        <f t="shared" si="13"/>
        <v>0</v>
      </c>
      <c r="Z99" s="7">
        <f t="shared" si="13"/>
        <v>0</v>
      </c>
      <c r="AA99" s="7">
        <f t="shared" si="13"/>
        <v>46947</v>
      </c>
      <c r="AB99" s="7">
        <f t="shared" si="13"/>
        <v>0</v>
      </c>
      <c r="AC99" s="7">
        <f t="shared" si="13"/>
        <v>0</v>
      </c>
    </row>
    <row r="100" spans="1:29" x14ac:dyDescent="0.55000000000000004">
      <c r="A100" s="2" t="s">
        <v>32</v>
      </c>
      <c r="B100">
        <v>8</v>
      </c>
      <c r="D100" s="7">
        <f t="shared" si="14"/>
        <v>0</v>
      </c>
      <c r="E100" s="7">
        <f t="shared" si="13"/>
        <v>0</v>
      </c>
      <c r="F100" s="7">
        <f t="shared" si="13"/>
        <v>0</v>
      </c>
      <c r="G100" s="7">
        <f t="shared" si="13"/>
        <v>4000</v>
      </c>
      <c r="H100" s="7">
        <f t="shared" si="13"/>
        <v>3000</v>
      </c>
      <c r="I100" s="7">
        <f t="shared" si="13"/>
        <v>0</v>
      </c>
      <c r="J100" s="7">
        <f t="shared" si="13"/>
        <v>0</v>
      </c>
      <c r="K100" s="7">
        <f t="shared" si="13"/>
        <v>0</v>
      </c>
      <c r="L100" s="7">
        <f t="shared" si="13"/>
        <v>0</v>
      </c>
      <c r="M100" s="7">
        <f t="shared" si="13"/>
        <v>0</v>
      </c>
      <c r="N100" s="7">
        <f t="shared" si="13"/>
        <v>17000</v>
      </c>
      <c r="O100" s="7">
        <f t="shared" si="13"/>
        <v>0</v>
      </c>
      <c r="P100" s="7">
        <f t="shared" si="13"/>
        <v>0</v>
      </c>
      <c r="Q100" s="7">
        <f t="shared" si="13"/>
        <v>0</v>
      </c>
      <c r="R100" s="7">
        <f t="shared" si="13"/>
        <v>0</v>
      </c>
      <c r="S100" s="7">
        <f t="shared" si="13"/>
        <v>0</v>
      </c>
      <c r="T100" s="7">
        <f t="shared" si="13"/>
        <v>0</v>
      </c>
      <c r="U100" s="7">
        <f t="shared" si="13"/>
        <v>0</v>
      </c>
      <c r="V100" s="7">
        <f t="shared" si="13"/>
        <v>0</v>
      </c>
      <c r="W100" s="7">
        <f t="shared" si="13"/>
        <v>0</v>
      </c>
      <c r="X100" s="7">
        <f t="shared" si="13"/>
        <v>0</v>
      </c>
      <c r="Y100" s="7">
        <f t="shared" si="13"/>
        <v>0</v>
      </c>
      <c r="Z100" s="7">
        <f t="shared" si="13"/>
        <v>0</v>
      </c>
      <c r="AA100" s="7">
        <f t="shared" si="13"/>
        <v>35624</v>
      </c>
      <c r="AB100" s="7">
        <f t="shared" si="13"/>
        <v>0</v>
      </c>
      <c r="AC100" s="7">
        <f t="shared" si="13"/>
        <v>0</v>
      </c>
    </row>
    <row r="101" spans="1:29" x14ac:dyDescent="0.55000000000000004">
      <c r="A101" s="2" t="s">
        <v>33</v>
      </c>
      <c r="B101">
        <v>9</v>
      </c>
      <c r="D101" s="7">
        <f t="shared" si="14"/>
        <v>3480</v>
      </c>
      <c r="E101" s="7">
        <f t="shared" si="13"/>
        <v>0</v>
      </c>
      <c r="F101" s="7">
        <f t="shared" si="13"/>
        <v>0</v>
      </c>
      <c r="G101" s="7">
        <f t="shared" si="13"/>
        <v>0</v>
      </c>
      <c r="H101" s="7">
        <f t="shared" si="13"/>
        <v>30000</v>
      </c>
      <c r="I101" s="7">
        <f t="shared" si="13"/>
        <v>0</v>
      </c>
      <c r="J101" s="7">
        <f t="shared" si="13"/>
        <v>0</v>
      </c>
      <c r="K101" s="7">
        <f t="shared" si="13"/>
        <v>0</v>
      </c>
      <c r="L101" s="7">
        <f t="shared" si="13"/>
        <v>6250</v>
      </c>
      <c r="M101" s="7">
        <f t="shared" si="13"/>
        <v>0</v>
      </c>
      <c r="N101" s="7">
        <f t="shared" si="13"/>
        <v>0</v>
      </c>
      <c r="O101" s="7">
        <f t="shared" si="13"/>
        <v>0</v>
      </c>
      <c r="P101" s="7">
        <f t="shared" si="13"/>
        <v>0</v>
      </c>
      <c r="Q101" s="7">
        <f t="shared" si="13"/>
        <v>0</v>
      </c>
      <c r="R101" s="7">
        <f t="shared" si="13"/>
        <v>0</v>
      </c>
      <c r="S101" s="7">
        <f t="shared" si="13"/>
        <v>0</v>
      </c>
      <c r="T101" s="7">
        <f t="shared" si="13"/>
        <v>0</v>
      </c>
      <c r="U101" s="7">
        <f t="shared" si="13"/>
        <v>0</v>
      </c>
      <c r="V101" s="7">
        <f t="shared" si="13"/>
        <v>0</v>
      </c>
      <c r="W101" s="7">
        <f t="shared" si="13"/>
        <v>0</v>
      </c>
      <c r="X101" s="7">
        <f t="shared" si="13"/>
        <v>0</v>
      </c>
      <c r="Y101" s="7">
        <f t="shared" si="13"/>
        <v>0</v>
      </c>
      <c r="Z101" s="7">
        <f t="shared" si="13"/>
        <v>0</v>
      </c>
      <c r="AA101" s="7">
        <f t="shared" si="13"/>
        <v>0</v>
      </c>
      <c r="AB101" s="7">
        <f t="shared" si="13"/>
        <v>0</v>
      </c>
      <c r="AC101" s="7">
        <f t="shared" si="13"/>
        <v>0</v>
      </c>
    </row>
    <row r="102" spans="1:29" x14ac:dyDescent="0.55000000000000004">
      <c r="A102" s="8" t="s">
        <v>35</v>
      </c>
      <c r="B102">
        <v>10</v>
      </c>
      <c r="D102" s="7">
        <f t="shared" si="14"/>
        <v>0</v>
      </c>
      <c r="E102" s="7">
        <f t="shared" si="13"/>
        <v>0</v>
      </c>
      <c r="F102" s="7">
        <f t="shared" si="13"/>
        <v>0</v>
      </c>
      <c r="G102" s="7">
        <f t="shared" si="13"/>
        <v>0</v>
      </c>
      <c r="H102" s="7">
        <f t="shared" si="13"/>
        <v>3143</v>
      </c>
      <c r="I102" s="7">
        <f t="shared" si="13"/>
        <v>0</v>
      </c>
      <c r="J102" s="7">
        <f t="shared" si="13"/>
        <v>0</v>
      </c>
      <c r="K102" s="7">
        <f t="shared" si="13"/>
        <v>0</v>
      </c>
      <c r="L102" s="7">
        <f t="shared" si="13"/>
        <v>0</v>
      </c>
      <c r="M102" s="7">
        <f t="shared" si="13"/>
        <v>0</v>
      </c>
      <c r="N102" s="7">
        <f t="shared" si="13"/>
        <v>0</v>
      </c>
      <c r="O102" s="7">
        <f t="shared" si="13"/>
        <v>0</v>
      </c>
      <c r="P102" s="7">
        <f t="shared" si="13"/>
        <v>0</v>
      </c>
      <c r="Q102" s="7">
        <f t="shared" si="13"/>
        <v>0</v>
      </c>
      <c r="R102" s="7">
        <f t="shared" si="13"/>
        <v>0</v>
      </c>
      <c r="S102" s="7">
        <f t="shared" si="13"/>
        <v>0</v>
      </c>
      <c r="T102" s="7">
        <f t="shared" si="13"/>
        <v>0</v>
      </c>
      <c r="U102" s="7">
        <f t="shared" si="13"/>
        <v>0</v>
      </c>
      <c r="V102" s="7">
        <f t="shared" si="13"/>
        <v>0</v>
      </c>
      <c r="W102" s="7">
        <f t="shared" si="13"/>
        <v>0</v>
      </c>
      <c r="X102" s="7">
        <f t="shared" si="13"/>
        <v>0</v>
      </c>
      <c r="Y102" s="7">
        <f t="shared" si="13"/>
        <v>0</v>
      </c>
      <c r="Z102" s="7">
        <f t="shared" si="13"/>
        <v>0</v>
      </c>
      <c r="AA102" s="7">
        <f t="shared" si="13"/>
        <v>0</v>
      </c>
      <c r="AB102" s="7">
        <f t="shared" si="13"/>
        <v>0</v>
      </c>
      <c r="AC102" s="7">
        <f t="shared" si="13"/>
        <v>0</v>
      </c>
    </row>
    <row r="103" spans="1:29" x14ac:dyDescent="0.55000000000000004">
      <c r="A103" s="8" t="s">
        <v>35</v>
      </c>
      <c r="B103">
        <v>11</v>
      </c>
      <c r="D103" s="7">
        <f t="shared" si="14"/>
        <v>0</v>
      </c>
      <c r="E103" s="7">
        <f t="shared" si="13"/>
        <v>0</v>
      </c>
      <c r="F103" s="7">
        <f t="shared" si="13"/>
        <v>0</v>
      </c>
      <c r="G103" s="7">
        <f t="shared" si="13"/>
        <v>0</v>
      </c>
      <c r="H103" s="7">
        <f t="shared" si="13"/>
        <v>2000</v>
      </c>
      <c r="I103" s="7">
        <f t="shared" si="13"/>
        <v>0</v>
      </c>
      <c r="J103" s="7">
        <f t="shared" si="13"/>
        <v>0</v>
      </c>
      <c r="K103" s="7">
        <f t="shared" si="13"/>
        <v>18900</v>
      </c>
      <c r="L103" s="7">
        <f t="shared" si="13"/>
        <v>0</v>
      </c>
      <c r="M103" s="7">
        <f t="shared" si="13"/>
        <v>0</v>
      </c>
      <c r="N103" s="7">
        <f t="shared" si="13"/>
        <v>4000</v>
      </c>
      <c r="O103" s="7">
        <f t="shared" si="13"/>
        <v>0</v>
      </c>
      <c r="P103" s="7">
        <f t="shared" si="13"/>
        <v>0</v>
      </c>
      <c r="Q103" s="7">
        <f t="shared" si="13"/>
        <v>0</v>
      </c>
      <c r="R103" s="7">
        <f t="shared" si="13"/>
        <v>0</v>
      </c>
      <c r="S103" s="7">
        <f t="shared" si="13"/>
        <v>0</v>
      </c>
      <c r="T103" s="7">
        <f t="shared" si="13"/>
        <v>0</v>
      </c>
      <c r="U103" s="7">
        <f t="shared" si="13"/>
        <v>0</v>
      </c>
      <c r="V103" s="7">
        <f t="shared" si="13"/>
        <v>0</v>
      </c>
      <c r="W103" s="7">
        <f t="shared" si="13"/>
        <v>0</v>
      </c>
      <c r="X103" s="7">
        <f t="shared" si="13"/>
        <v>0</v>
      </c>
      <c r="Y103" s="7">
        <f t="shared" si="13"/>
        <v>0</v>
      </c>
      <c r="Z103" s="7">
        <f t="shared" si="13"/>
        <v>3240</v>
      </c>
      <c r="AA103" s="7">
        <f t="shared" si="13"/>
        <v>4570</v>
      </c>
      <c r="AB103" s="7">
        <f t="shared" si="13"/>
        <v>0</v>
      </c>
      <c r="AC103" s="7">
        <f t="shared" si="13"/>
        <v>0</v>
      </c>
    </row>
    <row r="104" spans="1:29" x14ac:dyDescent="0.55000000000000004">
      <c r="A104" s="8" t="s">
        <v>35</v>
      </c>
      <c r="B104">
        <v>12</v>
      </c>
      <c r="D104" s="7">
        <f t="shared" si="14"/>
        <v>0</v>
      </c>
      <c r="E104" s="7">
        <f t="shared" si="13"/>
        <v>0</v>
      </c>
      <c r="F104" s="7">
        <f t="shared" si="13"/>
        <v>0</v>
      </c>
      <c r="G104" s="7">
        <f t="shared" si="13"/>
        <v>0</v>
      </c>
      <c r="H104" s="7">
        <f t="shared" si="13"/>
        <v>0</v>
      </c>
      <c r="I104" s="7">
        <f t="shared" si="13"/>
        <v>0</v>
      </c>
      <c r="J104" s="7">
        <f t="shared" si="13"/>
        <v>0</v>
      </c>
      <c r="K104" s="7">
        <f t="shared" si="13"/>
        <v>0</v>
      </c>
      <c r="L104" s="7">
        <f t="shared" si="13"/>
        <v>0</v>
      </c>
      <c r="M104" s="7">
        <f t="shared" si="13"/>
        <v>0</v>
      </c>
      <c r="N104" s="7">
        <f t="shared" si="13"/>
        <v>0</v>
      </c>
      <c r="O104" s="7">
        <f t="shared" si="13"/>
        <v>0</v>
      </c>
      <c r="P104" s="7">
        <f t="shared" si="13"/>
        <v>0</v>
      </c>
      <c r="Q104" s="7">
        <f t="shared" si="13"/>
        <v>0</v>
      </c>
      <c r="R104" s="7">
        <f t="shared" si="13"/>
        <v>0</v>
      </c>
      <c r="S104" s="7">
        <f t="shared" si="13"/>
        <v>0</v>
      </c>
      <c r="T104" s="7">
        <f t="shared" si="13"/>
        <v>0</v>
      </c>
      <c r="U104" s="7">
        <f t="shared" si="13"/>
        <v>0</v>
      </c>
      <c r="V104" s="7">
        <f t="shared" si="13"/>
        <v>0</v>
      </c>
      <c r="W104" s="7">
        <f t="shared" si="13"/>
        <v>0</v>
      </c>
      <c r="X104" s="7">
        <f t="shared" si="13"/>
        <v>0</v>
      </c>
      <c r="Y104" s="7">
        <f t="shared" ref="Y104:AC104" si="15">HLOOKUP(Y$93,$D$77:$AC$90,$B104,FALSE)</f>
        <v>0</v>
      </c>
      <c r="Z104" s="7">
        <f t="shared" si="15"/>
        <v>0</v>
      </c>
      <c r="AA104" s="7">
        <f t="shared" si="15"/>
        <v>0</v>
      </c>
      <c r="AB104" s="7">
        <f t="shared" si="15"/>
        <v>0</v>
      </c>
      <c r="AC104" s="7">
        <f t="shared" si="15"/>
        <v>0</v>
      </c>
    </row>
    <row r="105" spans="1:29" x14ac:dyDescent="0.55000000000000004">
      <c r="A105" s="2" t="s">
        <v>36</v>
      </c>
      <c r="B105">
        <v>13</v>
      </c>
      <c r="D105" s="7">
        <f t="shared" si="14"/>
        <v>0</v>
      </c>
      <c r="E105" s="7">
        <f t="shared" si="14"/>
        <v>0</v>
      </c>
      <c r="F105" s="7">
        <f t="shared" si="14"/>
        <v>0</v>
      </c>
      <c r="G105" s="7">
        <f t="shared" si="14"/>
        <v>0</v>
      </c>
      <c r="H105" s="7">
        <f t="shared" si="14"/>
        <v>0</v>
      </c>
      <c r="I105" s="7">
        <f t="shared" si="14"/>
        <v>0</v>
      </c>
      <c r="J105" s="7">
        <f t="shared" si="14"/>
        <v>0</v>
      </c>
      <c r="K105" s="7">
        <f t="shared" si="14"/>
        <v>0</v>
      </c>
      <c r="L105" s="7">
        <f t="shared" si="14"/>
        <v>0</v>
      </c>
      <c r="M105" s="7">
        <f t="shared" si="14"/>
        <v>0</v>
      </c>
      <c r="N105" s="7">
        <f t="shared" si="14"/>
        <v>0</v>
      </c>
      <c r="O105" s="7">
        <f t="shared" si="14"/>
        <v>0</v>
      </c>
      <c r="P105" s="7">
        <f t="shared" si="14"/>
        <v>0</v>
      </c>
      <c r="Q105" s="7">
        <f t="shared" si="14"/>
        <v>0</v>
      </c>
      <c r="R105" s="7">
        <f t="shared" si="14"/>
        <v>0</v>
      </c>
      <c r="S105" s="7">
        <f t="shared" si="14"/>
        <v>0</v>
      </c>
      <c r="T105" s="7">
        <f t="shared" ref="T105:AC106" si="16">HLOOKUP(T$93,$D$77:$AC$90,$B105,FALSE)</f>
        <v>0</v>
      </c>
      <c r="U105" s="7">
        <f t="shared" si="16"/>
        <v>0</v>
      </c>
      <c r="V105" s="7">
        <f t="shared" si="16"/>
        <v>0</v>
      </c>
      <c r="W105" s="7">
        <f t="shared" si="16"/>
        <v>0</v>
      </c>
      <c r="X105" s="7">
        <f t="shared" si="16"/>
        <v>0</v>
      </c>
      <c r="Y105" s="7">
        <f t="shared" si="16"/>
        <v>0</v>
      </c>
      <c r="Z105" s="7">
        <f t="shared" si="16"/>
        <v>0</v>
      </c>
      <c r="AA105" s="7">
        <f t="shared" si="16"/>
        <v>0</v>
      </c>
      <c r="AB105" s="7">
        <f t="shared" si="16"/>
        <v>0</v>
      </c>
      <c r="AC105" s="7">
        <f t="shared" si="16"/>
        <v>0</v>
      </c>
    </row>
    <row r="106" spans="1:29" x14ac:dyDescent="0.55000000000000004">
      <c r="A106" s="8" t="s">
        <v>54</v>
      </c>
      <c r="B106">
        <v>14</v>
      </c>
      <c r="D106" s="7">
        <f t="shared" si="14"/>
        <v>0</v>
      </c>
      <c r="E106" s="7">
        <f t="shared" si="14"/>
        <v>0</v>
      </c>
      <c r="F106" s="7">
        <f t="shared" si="14"/>
        <v>0</v>
      </c>
      <c r="G106" s="7">
        <f t="shared" si="14"/>
        <v>0</v>
      </c>
      <c r="H106" s="7">
        <f t="shared" si="14"/>
        <v>0</v>
      </c>
      <c r="I106" s="7">
        <f t="shared" si="14"/>
        <v>0</v>
      </c>
      <c r="J106" s="7">
        <f t="shared" si="14"/>
        <v>0</v>
      </c>
      <c r="K106" s="7">
        <f t="shared" si="14"/>
        <v>0</v>
      </c>
      <c r="L106" s="7">
        <f t="shared" si="14"/>
        <v>19867</v>
      </c>
      <c r="M106" s="7">
        <f t="shared" si="14"/>
        <v>0</v>
      </c>
      <c r="N106" s="7">
        <f t="shared" si="14"/>
        <v>0</v>
      </c>
      <c r="O106" s="7">
        <f t="shared" si="14"/>
        <v>0</v>
      </c>
      <c r="P106" s="7">
        <f t="shared" si="14"/>
        <v>0</v>
      </c>
      <c r="Q106" s="7">
        <f t="shared" si="14"/>
        <v>0</v>
      </c>
      <c r="R106" s="7">
        <f t="shared" si="14"/>
        <v>0</v>
      </c>
      <c r="S106" s="7">
        <f t="shared" si="14"/>
        <v>0</v>
      </c>
      <c r="T106" s="7">
        <f t="shared" si="16"/>
        <v>0</v>
      </c>
      <c r="U106" s="7">
        <f t="shared" si="16"/>
        <v>0</v>
      </c>
      <c r="V106" s="7">
        <f t="shared" si="16"/>
        <v>0</v>
      </c>
      <c r="W106" s="7">
        <f t="shared" si="16"/>
        <v>0</v>
      </c>
      <c r="X106" s="7">
        <f t="shared" si="16"/>
        <v>0</v>
      </c>
      <c r="Y106" s="7">
        <f t="shared" si="16"/>
        <v>0</v>
      </c>
      <c r="Z106" s="7">
        <f t="shared" si="16"/>
        <v>0</v>
      </c>
      <c r="AA106" s="7">
        <f t="shared" si="16"/>
        <v>130480</v>
      </c>
      <c r="AB106" s="7">
        <f t="shared" si="16"/>
        <v>0</v>
      </c>
      <c r="AC106" s="7">
        <f t="shared" si="16"/>
        <v>0</v>
      </c>
    </row>
    <row r="108" spans="1:29" x14ac:dyDescent="0.55000000000000004">
      <c r="C108" t="s">
        <v>42</v>
      </c>
      <c r="D108" s="7">
        <f>SUM(D100:D101)/1000</f>
        <v>3.48</v>
      </c>
      <c r="E108" s="7">
        <f t="shared" ref="E108:AC108" si="17">SUM(E100:E101)/1000</f>
        <v>0</v>
      </c>
      <c r="F108" s="7">
        <f t="shared" si="17"/>
        <v>0</v>
      </c>
      <c r="G108" s="7">
        <f t="shared" si="17"/>
        <v>4</v>
      </c>
      <c r="H108" s="7">
        <f t="shared" si="17"/>
        <v>33</v>
      </c>
      <c r="I108" s="7">
        <f t="shared" si="17"/>
        <v>0</v>
      </c>
      <c r="J108" s="7">
        <f t="shared" si="17"/>
        <v>0</v>
      </c>
      <c r="K108" s="7">
        <f t="shared" si="17"/>
        <v>0</v>
      </c>
      <c r="L108" s="7">
        <f t="shared" si="17"/>
        <v>6.25</v>
      </c>
      <c r="M108" s="7">
        <f t="shared" si="17"/>
        <v>0</v>
      </c>
      <c r="N108" s="7">
        <f t="shared" si="17"/>
        <v>17</v>
      </c>
      <c r="O108" s="7">
        <f t="shared" si="17"/>
        <v>0</v>
      </c>
      <c r="P108" s="7">
        <f t="shared" si="17"/>
        <v>0</v>
      </c>
      <c r="Q108" s="7">
        <f t="shared" si="17"/>
        <v>0</v>
      </c>
      <c r="R108" s="7">
        <f t="shared" si="17"/>
        <v>0</v>
      </c>
      <c r="S108" s="7">
        <f t="shared" si="17"/>
        <v>0</v>
      </c>
      <c r="T108" s="7">
        <f t="shared" si="17"/>
        <v>0</v>
      </c>
      <c r="U108" s="7">
        <f t="shared" si="17"/>
        <v>0</v>
      </c>
      <c r="V108" s="7">
        <f t="shared" si="17"/>
        <v>0</v>
      </c>
      <c r="W108" s="7">
        <f t="shared" si="17"/>
        <v>0</v>
      </c>
      <c r="X108" s="7">
        <f t="shared" si="17"/>
        <v>0</v>
      </c>
      <c r="Y108" s="7">
        <f t="shared" si="17"/>
        <v>0</v>
      </c>
      <c r="Z108" s="7">
        <f t="shared" si="17"/>
        <v>0</v>
      </c>
      <c r="AA108" s="7">
        <f t="shared" si="17"/>
        <v>35.624000000000002</v>
      </c>
      <c r="AB108" s="7">
        <f t="shared" si="17"/>
        <v>0</v>
      </c>
      <c r="AC108" s="7">
        <f t="shared" si="17"/>
        <v>0</v>
      </c>
    </row>
    <row r="109" spans="1:29" x14ac:dyDescent="0.55000000000000004">
      <c r="C109" t="s">
        <v>45</v>
      </c>
      <c r="D109" s="7">
        <f>SUM(D94:D97)/1000</f>
        <v>0</v>
      </c>
      <c r="E109" s="7">
        <f t="shared" ref="E109:AC109" si="18">SUM(E94:E97)/1000</f>
        <v>0</v>
      </c>
      <c r="F109" s="7">
        <f t="shared" si="18"/>
        <v>0</v>
      </c>
      <c r="G109" s="7">
        <f t="shared" si="18"/>
        <v>0</v>
      </c>
      <c r="H109" s="7">
        <f t="shared" si="18"/>
        <v>0</v>
      </c>
      <c r="I109" s="7">
        <f t="shared" si="18"/>
        <v>0</v>
      </c>
      <c r="J109" s="7">
        <f t="shared" si="18"/>
        <v>0</v>
      </c>
      <c r="K109" s="7">
        <f t="shared" si="18"/>
        <v>0</v>
      </c>
      <c r="L109" s="7">
        <f t="shared" si="18"/>
        <v>0</v>
      </c>
      <c r="M109" s="7">
        <f t="shared" si="18"/>
        <v>0</v>
      </c>
      <c r="N109" s="7">
        <f t="shared" si="18"/>
        <v>19</v>
      </c>
      <c r="O109" s="7">
        <f t="shared" si="18"/>
        <v>0</v>
      </c>
      <c r="P109" s="7">
        <f t="shared" si="18"/>
        <v>0</v>
      </c>
      <c r="Q109" s="7">
        <f t="shared" si="18"/>
        <v>0</v>
      </c>
      <c r="R109" s="7">
        <f t="shared" si="18"/>
        <v>0</v>
      </c>
      <c r="S109" s="7">
        <f t="shared" si="18"/>
        <v>0</v>
      </c>
      <c r="T109" s="7">
        <f t="shared" si="18"/>
        <v>0</v>
      </c>
      <c r="U109" s="7">
        <f t="shared" si="18"/>
        <v>0</v>
      </c>
      <c r="V109" s="7">
        <f t="shared" si="18"/>
        <v>0</v>
      </c>
      <c r="W109" s="7">
        <f t="shared" si="18"/>
        <v>0</v>
      </c>
      <c r="X109" s="7">
        <f t="shared" si="18"/>
        <v>0</v>
      </c>
      <c r="Y109" s="7">
        <f t="shared" si="18"/>
        <v>0</v>
      </c>
      <c r="Z109" s="7">
        <f t="shared" si="18"/>
        <v>0</v>
      </c>
      <c r="AA109" s="7">
        <f t="shared" si="18"/>
        <v>0</v>
      </c>
      <c r="AB109" s="7">
        <f t="shared" si="18"/>
        <v>0</v>
      </c>
      <c r="AC109" s="7">
        <f t="shared" si="18"/>
        <v>0</v>
      </c>
    </row>
    <row r="110" spans="1:29" x14ac:dyDescent="0.55000000000000004">
      <c r="C110" t="s">
        <v>35</v>
      </c>
      <c r="D110" s="7">
        <f>SUM(D102:D104)/1000</f>
        <v>0</v>
      </c>
      <c r="E110" s="7">
        <f t="shared" ref="E110:AC110" si="19">SUM(E102:E104)/1000</f>
        <v>0</v>
      </c>
      <c r="F110" s="7">
        <f t="shared" si="19"/>
        <v>0</v>
      </c>
      <c r="G110" s="7">
        <f t="shared" si="19"/>
        <v>0</v>
      </c>
      <c r="H110" s="7">
        <f t="shared" si="19"/>
        <v>5.1429999999999998</v>
      </c>
      <c r="I110" s="7">
        <f t="shared" si="19"/>
        <v>0</v>
      </c>
      <c r="J110" s="7">
        <f t="shared" si="19"/>
        <v>0</v>
      </c>
      <c r="K110" s="7">
        <f t="shared" si="19"/>
        <v>18.899999999999999</v>
      </c>
      <c r="L110" s="7">
        <f t="shared" si="19"/>
        <v>0</v>
      </c>
      <c r="M110" s="7">
        <f t="shared" si="19"/>
        <v>0</v>
      </c>
      <c r="N110" s="7">
        <f t="shared" si="19"/>
        <v>4</v>
      </c>
      <c r="O110" s="7">
        <f t="shared" si="19"/>
        <v>0</v>
      </c>
      <c r="P110" s="7">
        <f t="shared" si="19"/>
        <v>0</v>
      </c>
      <c r="Q110" s="7">
        <f t="shared" si="19"/>
        <v>0</v>
      </c>
      <c r="R110" s="7">
        <f t="shared" si="19"/>
        <v>0</v>
      </c>
      <c r="S110" s="7">
        <f t="shared" si="19"/>
        <v>0</v>
      </c>
      <c r="T110" s="7">
        <f t="shared" si="19"/>
        <v>0</v>
      </c>
      <c r="U110" s="7">
        <f t="shared" si="19"/>
        <v>0</v>
      </c>
      <c r="V110" s="7">
        <f t="shared" si="19"/>
        <v>0</v>
      </c>
      <c r="W110" s="7">
        <f t="shared" si="19"/>
        <v>0</v>
      </c>
      <c r="X110" s="7">
        <f t="shared" si="19"/>
        <v>0</v>
      </c>
      <c r="Y110" s="7">
        <f t="shared" si="19"/>
        <v>0</v>
      </c>
      <c r="Z110" s="7">
        <f t="shared" si="19"/>
        <v>3.24</v>
      </c>
      <c r="AA110" s="7">
        <f t="shared" si="19"/>
        <v>4.57</v>
      </c>
      <c r="AB110" s="7">
        <f t="shared" si="19"/>
        <v>0</v>
      </c>
      <c r="AC110" s="7">
        <f t="shared" si="19"/>
        <v>0</v>
      </c>
    </row>
    <row r="111" spans="1:29" x14ac:dyDescent="0.55000000000000004"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 spans="1:29" x14ac:dyDescent="0.55000000000000004">
      <c r="C112" t="s">
        <v>43</v>
      </c>
      <c r="D112" s="7">
        <f>SUM(D94:D106)/1000</f>
        <v>189.8</v>
      </c>
      <c r="E112" s="7">
        <f t="shared" ref="E112:AC112" si="20">SUM(E94:E106)/1000</f>
        <v>0</v>
      </c>
      <c r="F112" s="7">
        <f t="shared" si="20"/>
        <v>0</v>
      </c>
      <c r="G112" s="7">
        <f t="shared" si="20"/>
        <v>4</v>
      </c>
      <c r="H112" s="7">
        <f t="shared" si="20"/>
        <v>133.96799999999999</v>
      </c>
      <c r="I112" s="7">
        <f t="shared" si="20"/>
        <v>0</v>
      </c>
      <c r="J112" s="7">
        <f t="shared" si="20"/>
        <v>178.95500000000001</v>
      </c>
      <c r="K112" s="7">
        <f t="shared" si="20"/>
        <v>18.899999999999999</v>
      </c>
      <c r="L112" s="7">
        <f t="shared" si="20"/>
        <v>26.117000000000001</v>
      </c>
      <c r="M112" s="7">
        <f t="shared" si="20"/>
        <v>0</v>
      </c>
      <c r="N112" s="7">
        <f t="shared" si="20"/>
        <v>65</v>
      </c>
      <c r="O112" s="7">
        <f t="shared" si="20"/>
        <v>77.61</v>
      </c>
      <c r="P112" s="7">
        <f t="shared" si="20"/>
        <v>0</v>
      </c>
      <c r="Q112" s="7">
        <f t="shared" si="20"/>
        <v>0</v>
      </c>
      <c r="R112" s="7">
        <f t="shared" si="20"/>
        <v>0</v>
      </c>
      <c r="S112" s="7">
        <f t="shared" si="20"/>
        <v>5.3819999999999997</v>
      </c>
      <c r="T112" s="7">
        <f t="shared" si="20"/>
        <v>0</v>
      </c>
      <c r="U112" s="7">
        <f t="shared" si="20"/>
        <v>0</v>
      </c>
      <c r="V112" s="7">
        <f t="shared" si="20"/>
        <v>0</v>
      </c>
      <c r="W112" s="7">
        <f t="shared" si="20"/>
        <v>0</v>
      </c>
      <c r="X112" s="7">
        <f t="shared" si="20"/>
        <v>0</v>
      </c>
      <c r="Y112" s="7">
        <f t="shared" si="20"/>
        <v>0</v>
      </c>
      <c r="Z112" s="7">
        <f t="shared" si="20"/>
        <v>124.946</v>
      </c>
      <c r="AA112" s="7">
        <f t="shared" si="20"/>
        <v>217.62100000000001</v>
      </c>
      <c r="AB112" s="7">
        <f t="shared" si="20"/>
        <v>0</v>
      </c>
      <c r="AC112" s="7">
        <f t="shared" si="20"/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99AF4-67CD-4CEA-98FC-429E4253DD65}">
  <dimension ref="A1:AD71"/>
  <sheetViews>
    <sheetView topLeftCell="A40" workbookViewId="0">
      <selection activeCell="C67" sqref="C67:AC69"/>
    </sheetView>
  </sheetViews>
  <sheetFormatPr defaultRowHeight="14.4" x14ac:dyDescent="0.55000000000000004"/>
  <cols>
    <col min="1" max="1" width="34.41796875" bestFit="1" customWidth="1"/>
    <col min="2" max="2" width="3.89453125" bestFit="1" customWidth="1"/>
  </cols>
  <sheetData>
    <row r="1" spans="1:29" x14ac:dyDescent="0.55000000000000004">
      <c r="A1" s="1" t="s">
        <v>37</v>
      </c>
      <c r="B1" s="2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x14ac:dyDescent="0.55000000000000004">
      <c r="A2" s="1" t="s">
        <v>28</v>
      </c>
      <c r="B2" s="1" t="s">
        <v>40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  <c r="L2" s="6" t="s">
        <v>10</v>
      </c>
      <c r="M2" s="6" t="s">
        <v>11</v>
      </c>
      <c r="N2" s="6" t="s">
        <v>12</v>
      </c>
      <c r="O2" s="6" t="s">
        <v>13</v>
      </c>
      <c r="P2" s="6" t="s">
        <v>14</v>
      </c>
      <c r="Q2" s="6" t="s">
        <v>15</v>
      </c>
      <c r="R2" s="6" t="s">
        <v>16</v>
      </c>
      <c r="S2" s="6" t="s">
        <v>17</v>
      </c>
      <c r="T2" s="6" t="s">
        <v>18</v>
      </c>
      <c r="U2" s="6" t="s">
        <v>19</v>
      </c>
      <c r="V2" s="6" t="s">
        <v>20</v>
      </c>
      <c r="W2" s="6" t="s">
        <v>21</v>
      </c>
      <c r="X2" s="6" t="s">
        <v>22</v>
      </c>
      <c r="Y2" s="6" t="s">
        <v>23</v>
      </c>
      <c r="Z2" s="6" t="s">
        <v>24</v>
      </c>
      <c r="AA2" s="6" t="s">
        <v>25</v>
      </c>
      <c r="AB2" s="6" t="s">
        <v>26</v>
      </c>
      <c r="AC2" s="6" t="s">
        <v>27</v>
      </c>
    </row>
    <row r="3" spans="1:29" x14ac:dyDescent="0.55000000000000004">
      <c r="A3" s="2" t="s">
        <v>29</v>
      </c>
      <c r="B3" s="3" t="s">
        <v>55</v>
      </c>
      <c r="C3" s="7">
        <v>63</v>
      </c>
      <c r="D3" s="7">
        <v>0</v>
      </c>
      <c r="E3" s="7">
        <v>0</v>
      </c>
      <c r="F3" s="7">
        <v>0</v>
      </c>
      <c r="G3" s="7">
        <v>4</v>
      </c>
      <c r="H3" s="7">
        <v>1</v>
      </c>
      <c r="I3" s="7">
        <v>1</v>
      </c>
      <c r="J3" s="7">
        <v>0</v>
      </c>
      <c r="K3" s="7">
        <v>8</v>
      </c>
      <c r="L3" s="7">
        <v>0</v>
      </c>
      <c r="M3" s="7">
        <v>5</v>
      </c>
      <c r="N3" s="7">
        <v>6</v>
      </c>
      <c r="O3" s="7">
        <v>0</v>
      </c>
      <c r="P3" s="7">
        <v>5</v>
      </c>
      <c r="Q3" s="7">
        <v>0</v>
      </c>
      <c r="R3" s="7">
        <v>6</v>
      </c>
      <c r="S3" s="7">
        <v>2</v>
      </c>
      <c r="T3" s="7">
        <v>1</v>
      </c>
      <c r="U3" s="7">
        <v>7</v>
      </c>
      <c r="V3" s="7">
        <v>0</v>
      </c>
      <c r="W3" s="7">
        <v>0</v>
      </c>
      <c r="X3" s="7">
        <v>0</v>
      </c>
      <c r="Y3" s="7">
        <v>12</v>
      </c>
      <c r="Z3" s="7">
        <v>0</v>
      </c>
      <c r="AA3" s="7">
        <v>0</v>
      </c>
      <c r="AB3" s="7">
        <v>0</v>
      </c>
      <c r="AC3" s="7">
        <v>5</v>
      </c>
    </row>
    <row r="4" spans="1:29" x14ac:dyDescent="0.55000000000000004">
      <c r="A4" s="2" t="s">
        <v>30</v>
      </c>
      <c r="B4" s="3" t="s">
        <v>55</v>
      </c>
      <c r="C4" s="7">
        <v>238</v>
      </c>
      <c r="D4" s="7">
        <v>0</v>
      </c>
      <c r="E4" s="7">
        <v>59</v>
      </c>
      <c r="F4" s="7">
        <v>0</v>
      </c>
      <c r="G4" s="7">
        <v>1</v>
      </c>
      <c r="H4" s="7">
        <v>1</v>
      </c>
      <c r="I4" s="7">
        <v>1</v>
      </c>
      <c r="J4" s="7">
        <v>1</v>
      </c>
      <c r="K4" s="7">
        <v>1</v>
      </c>
      <c r="L4" s="7">
        <v>0</v>
      </c>
      <c r="M4" s="7">
        <v>12</v>
      </c>
      <c r="N4" s="7">
        <v>15</v>
      </c>
      <c r="O4" s="7">
        <v>10</v>
      </c>
      <c r="P4" s="7">
        <v>8</v>
      </c>
      <c r="Q4" s="7">
        <v>12</v>
      </c>
      <c r="R4" s="7">
        <v>2</v>
      </c>
      <c r="S4" s="7">
        <v>0</v>
      </c>
      <c r="T4" s="7">
        <v>0</v>
      </c>
      <c r="U4" s="7">
        <v>7</v>
      </c>
      <c r="V4" s="7">
        <v>0</v>
      </c>
      <c r="W4" s="7">
        <v>17</v>
      </c>
      <c r="X4" s="7">
        <v>0</v>
      </c>
      <c r="Y4" s="7">
        <v>60</v>
      </c>
      <c r="Z4" s="7">
        <v>0</v>
      </c>
      <c r="AA4" s="7">
        <v>13</v>
      </c>
      <c r="AB4" s="7">
        <v>0</v>
      </c>
      <c r="AC4" s="7">
        <v>18</v>
      </c>
    </row>
    <row r="5" spans="1:29" x14ac:dyDescent="0.55000000000000004">
      <c r="A5" s="2" t="s">
        <v>31</v>
      </c>
      <c r="B5" s="3" t="s">
        <v>55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</row>
    <row r="6" spans="1:29" x14ac:dyDescent="0.55000000000000004">
      <c r="A6" s="2" t="s">
        <v>32</v>
      </c>
      <c r="B6" s="3" t="s">
        <v>55</v>
      </c>
      <c r="C6" s="7">
        <v>1928</v>
      </c>
      <c r="D6" s="7">
        <v>0</v>
      </c>
      <c r="E6" s="7">
        <v>330</v>
      </c>
      <c r="F6" s="7">
        <v>65</v>
      </c>
      <c r="G6" s="7">
        <v>11</v>
      </c>
      <c r="H6" s="7">
        <v>17</v>
      </c>
      <c r="I6" s="7">
        <v>5</v>
      </c>
      <c r="J6" s="7">
        <v>19</v>
      </c>
      <c r="K6" s="7">
        <v>35</v>
      </c>
      <c r="L6" s="7">
        <v>0</v>
      </c>
      <c r="M6" s="7">
        <v>164</v>
      </c>
      <c r="N6" s="7">
        <v>36</v>
      </c>
      <c r="O6" s="7">
        <v>23</v>
      </c>
      <c r="P6" s="7">
        <v>25</v>
      </c>
      <c r="Q6" s="7">
        <v>34</v>
      </c>
      <c r="R6" s="7">
        <v>12</v>
      </c>
      <c r="S6" s="7">
        <v>10</v>
      </c>
      <c r="T6" s="7">
        <v>301</v>
      </c>
      <c r="U6" s="7">
        <v>71</v>
      </c>
      <c r="V6" s="7">
        <v>0</v>
      </c>
      <c r="W6" s="7">
        <v>151</v>
      </c>
      <c r="X6" s="7">
        <v>131</v>
      </c>
      <c r="Y6" s="7">
        <v>213</v>
      </c>
      <c r="Z6" s="7">
        <v>129</v>
      </c>
      <c r="AA6" s="7">
        <v>9</v>
      </c>
      <c r="AB6" s="7">
        <v>114</v>
      </c>
      <c r="AC6" s="7">
        <v>23</v>
      </c>
    </row>
    <row r="7" spans="1:29" x14ac:dyDescent="0.55000000000000004">
      <c r="A7" s="2" t="s">
        <v>33</v>
      </c>
      <c r="B7" s="3" t="s">
        <v>55</v>
      </c>
      <c r="C7" s="7">
        <v>649</v>
      </c>
      <c r="D7" s="7">
        <v>0</v>
      </c>
      <c r="E7" s="7">
        <v>114</v>
      </c>
      <c r="F7" s="7">
        <v>40</v>
      </c>
      <c r="G7" s="7">
        <v>5</v>
      </c>
      <c r="H7" s="7">
        <v>4</v>
      </c>
      <c r="I7" s="7">
        <v>3</v>
      </c>
      <c r="J7" s="7">
        <v>3</v>
      </c>
      <c r="K7" s="7">
        <v>4</v>
      </c>
      <c r="L7" s="7">
        <v>0</v>
      </c>
      <c r="M7" s="7">
        <v>61</v>
      </c>
      <c r="N7" s="7">
        <v>30</v>
      </c>
      <c r="O7" s="7">
        <v>4</v>
      </c>
      <c r="P7" s="7">
        <v>12</v>
      </c>
      <c r="Q7" s="7">
        <v>10</v>
      </c>
      <c r="R7" s="7">
        <v>3</v>
      </c>
      <c r="S7" s="7">
        <v>7</v>
      </c>
      <c r="T7" s="7">
        <v>134</v>
      </c>
      <c r="U7" s="7">
        <v>35</v>
      </c>
      <c r="V7" s="7">
        <v>0</v>
      </c>
      <c r="W7" s="7">
        <v>68</v>
      </c>
      <c r="X7" s="7">
        <v>5</v>
      </c>
      <c r="Y7" s="7">
        <v>88</v>
      </c>
      <c r="Z7" s="7">
        <v>7</v>
      </c>
      <c r="AA7" s="7">
        <v>0</v>
      </c>
      <c r="AB7" s="7">
        <v>9</v>
      </c>
      <c r="AC7" s="7">
        <v>3</v>
      </c>
    </row>
    <row r="8" spans="1:29" x14ac:dyDescent="0.55000000000000004">
      <c r="A8" s="2" t="s">
        <v>34</v>
      </c>
      <c r="B8" s="3" t="s">
        <v>55</v>
      </c>
      <c r="C8" s="7">
        <v>283</v>
      </c>
      <c r="D8" s="7">
        <v>0</v>
      </c>
      <c r="E8" s="7">
        <v>91</v>
      </c>
      <c r="F8" s="7">
        <v>0</v>
      </c>
      <c r="G8" s="7">
        <v>1</v>
      </c>
      <c r="H8" s="7">
        <v>41</v>
      </c>
      <c r="I8" s="7">
        <v>7</v>
      </c>
      <c r="J8" s="7">
        <v>1</v>
      </c>
      <c r="K8" s="7">
        <v>3</v>
      </c>
      <c r="L8" s="7">
        <v>0</v>
      </c>
      <c r="M8" s="7">
        <v>39</v>
      </c>
      <c r="N8" s="7">
        <v>4</v>
      </c>
      <c r="O8" s="7">
        <v>34</v>
      </c>
      <c r="P8" s="7">
        <v>8</v>
      </c>
      <c r="Q8" s="7">
        <v>20</v>
      </c>
      <c r="R8" s="7">
        <v>7</v>
      </c>
      <c r="S8" s="7">
        <v>0</v>
      </c>
      <c r="T8" s="7">
        <v>0</v>
      </c>
      <c r="U8" s="7">
        <v>1</v>
      </c>
      <c r="V8" s="7">
        <v>0</v>
      </c>
      <c r="W8" s="7">
        <v>21</v>
      </c>
      <c r="X8" s="7">
        <v>2</v>
      </c>
      <c r="Y8" s="7">
        <v>0</v>
      </c>
      <c r="Z8" s="7">
        <v>2</v>
      </c>
      <c r="AA8" s="7">
        <v>1</v>
      </c>
      <c r="AB8" s="7">
        <v>0</v>
      </c>
      <c r="AC8" s="7">
        <v>0</v>
      </c>
    </row>
    <row r="9" spans="1:29" x14ac:dyDescent="0.55000000000000004">
      <c r="A9" s="2" t="s">
        <v>35</v>
      </c>
      <c r="B9" s="3" t="s">
        <v>55</v>
      </c>
      <c r="C9" s="7">
        <v>447</v>
      </c>
      <c r="D9" s="7">
        <v>0</v>
      </c>
      <c r="E9" s="7">
        <v>53</v>
      </c>
      <c r="F9" s="7">
        <v>14</v>
      </c>
      <c r="G9" s="7">
        <v>1</v>
      </c>
      <c r="H9" s="7">
        <v>3</v>
      </c>
      <c r="I9" s="7">
        <v>2</v>
      </c>
      <c r="J9" s="7">
        <v>0</v>
      </c>
      <c r="K9" s="7">
        <v>5</v>
      </c>
      <c r="L9" s="7">
        <v>0</v>
      </c>
      <c r="M9" s="7">
        <v>25</v>
      </c>
      <c r="N9" s="7">
        <v>19</v>
      </c>
      <c r="O9" s="7">
        <v>6</v>
      </c>
      <c r="P9" s="7">
        <v>24</v>
      </c>
      <c r="Q9" s="7">
        <v>0</v>
      </c>
      <c r="R9" s="7">
        <v>7</v>
      </c>
      <c r="S9" s="7">
        <v>2</v>
      </c>
      <c r="T9" s="7">
        <v>34</v>
      </c>
      <c r="U9" s="7">
        <v>15</v>
      </c>
      <c r="V9" s="7">
        <v>0</v>
      </c>
      <c r="W9" s="7">
        <v>19</v>
      </c>
      <c r="X9" s="7">
        <v>32</v>
      </c>
      <c r="Y9" s="7">
        <v>115</v>
      </c>
      <c r="Z9" s="7">
        <v>7</v>
      </c>
      <c r="AA9" s="7">
        <v>20</v>
      </c>
      <c r="AB9" s="7">
        <v>24</v>
      </c>
      <c r="AC9" s="7">
        <v>20</v>
      </c>
    </row>
    <row r="10" spans="1:29" x14ac:dyDescent="0.55000000000000004">
      <c r="A10" s="2" t="s">
        <v>36</v>
      </c>
      <c r="B10" s="3" t="s">
        <v>55</v>
      </c>
      <c r="C10" s="7">
        <v>7</v>
      </c>
      <c r="D10" s="7">
        <v>0</v>
      </c>
      <c r="E10" s="7">
        <v>1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1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3</v>
      </c>
      <c r="V10" s="7">
        <v>0</v>
      </c>
      <c r="W10" s="7">
        <v>2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</row>
    <row r="11" spans="1:29" x14ac:dyDescent="0.55000000000000004">
      <c r="A11" s="2"/>
      <c r="B11" s="3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8"/>
      <c r="Z11" s="8"/>
      <c r="AA11" s="8"/>
      <c r="AB11" s="8"/>
      <c r="AC11" s="8"/>
    </row>
    <row r="12" spans="1:29" x14ac:dyDescent="0.55000000000000004">
      <c r="A12" s="1" t="s">
        <v>39</v>
      </c>
      <c r="B12" s="2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</row>
    <row r="13" spans="1:29" x14ac:dyDescent="0.55000000000000004">
      <c r="A13" s="1" t="s">
        <v>28</v>
      </c>
      <c r="B13" s="1" t="s">
        <v>40</v>
      </c>
      <c r="C13" s="6" t="s">
        <v>1</v>
      </c>
      <c r="D13" s="6" t="s">
        <v>2</v>
      </c>
      <c r="E13" s="6" t="s">
        <v>3</v>
      </c>
      <c r="F13" s="6" t="s">
        <v>4</v>
      </c>
      <c r="G13" s="6" t="s">
        <v>5</v>
      </c>
      <c r="H13" s="6" t="s">
        <v>6</v>
      </c>
      <c r="I13" s="6" t="s">
        <v>7</v>
      </c>
      <c r="J13" s="6" t="s">
        <v>8</v>
      </c>
      <c r="K13" s="6" t="s">
        <v>9</v>
      </c>
      <c r="L13" s="6" t="s">
        <v>10</v>
      </c>
      <c r="M13" s="6" t="s">
        <v>11</v>
      </c>
      <c r="N13" s="6" t="s">
        <v>12</v>
      </c>
      <c r="O13" s="6" t="s">
        <v>13</v>
      </c>
      <c r="P13" s="6" t="s">
        <v>14</v>
      </c>
      <c r="Q13" s="6" t="s">
        <v>15</v>
      </c>
      <c r="R13" s="6" t="s">
        <v>16</v>
      </c>
      <c r="S13" s="6" t="s">
        <v>17</v>
      </c>
      <c r="T13" s="6" t="s">
        <v>18</v>
      </c>
      <c r="U13" s="6" t="s">
        <v>19</v>
      </c>
      <c r="V13" s="6" t="s">
        <v>20</v>
      </c>
      <c r="W13" s="6" t="s">
        <v>21</v>
      </c>
      <c r="X13" s="6" t="s">
        <v>22</v>
      </c>
      <c r="Y13" s="6" t="s">
        <v>23</v>
      </c>
      <c r="Z13" s="6" t="s">
        <v>24</v>
      </c>
      <c r="AA13" s="6" t="s">
        <v>25</v>
      </c>
      <c r="AB13" s="6" t="s">
        <v>26</v>
      </c>
      <c r="AC13" s="6" t="s">
        <v>27</v>
      </c>
    </row>
    <row r="14" spans="1:29" x14ac:dyDescent="0.55000000000000004">
      <c r="A14" s="2" t="s">
        <v>29</v>
      </c>
      <c r="B14" s="3" t="s">
        <v>55</v>
      </c>
      <c r="C14" s="7">
        <v>13</v>
      </c>
      <c r="D14" s="7">
        <v>0</v>
      </c>
      <c r="E14" s="7">
        <v>0</v>
      </c>
      <c r="F14" s="7">
        <v>0</v>
      </c>
      <c r="G14" s="7">
        <v>1</v>
      </c>
      <c r="H14" s="7">
        <v>0</v>
      </c>
      <c r="I14" s="7">
        <v>1</v>
      </c>
      <c r="J14" s="7">
        <v>0</v>
      </c>
      <c r="K14" s="7">
        <v>0</v>
      </c>
      <c r="L14" s="7">
        <v>0</v>
      </c>
      <c r="M14" s="7">
        <v>2</v>
      </c>
      <c r="N14" s="7">
        <v>0</v>
      </c>
      <c r="O14" s="7">
        <v>0</v>
      </c>
      <c r="P14" s="7">
        <v>2</v>
      </c>
      <c r="Q14" s="7">
        <v>0</v>
      </c>
      <c r="R14" s="7">
        <v>1</v>
      </c>
      <c r="S14" s="7">
        <v>0</v>
      </c>
      <c r="T14" s="7">
        <v>0</v>
      </c>
      <c r="U14" s="7">
        <v>4</v>
      </c>
      <c r="V14" s="7">
        <v>0</v>
      </c>
      <c r="W14" s="7">
        <v>0</v>
      </c>
      <c r="X14" s="7">
        <v>0</v>
      </c>
      <c r="Y14" s="7">
        <v>2</v>
      </c>
      <c r="Z14" s="7">
        <v>0</v>
      </c>
      <c r="AA14" s="7">
        <v>0</v>
      </c>
      <c r="AB14" s="7">
        <v>0</v>
      </c>
      <c r="AC14" s="7">
        <v>0</v>
      </c>
    </row>
    <row r="15" spans="1:29" x14ac:dyDescent="0.55000000000000004">
      <c r="A15" s="2" t="s">
        <v>30</v>
      </c>
      <c r="B15" s="3" t="s">
        <v>55</v>
      </c>
      <c r="C15" s="7">
        <v>81</v>
      </c>
      <c r="D15" s="7">
        <v>0</v>
      </c>
      <c r="E15" s="7">
        <v>23</v>
      </c>
      <c r="F15" s="7">
        <v>0</v>
      </c>
      <c r="G15" s="7">
        <v>1</v>
      </c>
      <c r="H15" s="7">
        <v>2</v>
      </c>
      <c r="I15" s="7">
        <v>2</v>
      </c>
      <c r="J15" s="7">
        <v>4</v>
      </c>
      <c r="K15" s="7">
        <v>0</v>
      </c>
      <c r="L15" s="7">
        <v>0</v>
      </c>
      <c r="M15" s="7">
        <v>1</v>
      </c>
      <c r="N15" s="7">
        <v>4</v>
      </c>
      <c r="O15" s="7">
        <v>3</v>
      </c>
      <c r="P15" s="7">
        <v>9</v>
      </c>
      <c r="Q15" s="7">
        <v>2</v>
      </c>
      <c r="R15" s="7">
        <v>2</v>
      </c>
      <c r="S15" s="7">
        <v>0</v>
      </c>
      <c r="T15" s="7">
        <v>0</v>
      </c>
      <c r="U15" s="7">
        <v>4</v>
      </c>
      <c r="V15" s="7">
        <v>0</v>
      </c>
      <c r="W15" s="7">
        <v>2</v>
      </c>
      <c r="X15" s="7">
        <v>0</v>
      </c>
      <c r="Y15" s="7">
        <v>14</v>
      </c>
      <c r="Z15" s="7">
        <v>2</v>
      </c>
      <c r="AA15" s="7">
        <v>2</v>
      </c>
      <c r="AB15" s="7">
        <v>0</v>
      </c>
      <c r="AC15" s="7">
        <v>4</v>
      </c>
    </row>
    <row r="16" spans="1:29" x14ac:dyDescent="0.55000000000000004">
      <c r="A16" s="2" t="s">
        <v>31</v>
      </c>
      <c r="B16" s="3" t="s">
        <v>55</v>
      </c>
      <c r="C16" s="7">
        <v>6</v>
      </c>
      <c r="D16" s="7">
        <v>0</v>
      </c>
      <c r="E16" s="7">
        <v>1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2</v>
      </c>
      <c r="N16" s="7">
        <v>0</v>
      </c>
      <c r="O16" s="7">
        <v>1</v>
      </c>
      <c r="P16" s="7">
        <v>1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1</v>
      </c>
      <c r="Z16" s="7">
        <v>0</v>
      </c>
      <c r="AA16" s="7">
        <v>0</v>
      </c>
      <c r="AB16" s="7">
        <v>0</v>
      </c>
      <c r="AC16" s="7">
        <v>0</v>
      </c>
    </row>
    <row r="17" spans="1:29" x14ac:dyDescent="0.55000000000000004">
      <c r="A17" s="2" t="s">
        <v>32</v>
      </c>
      <c r="B17" s="3" t="s">
        <v>55</v>
      </c>
      <c r="C17" s="7">
        <v>187</v>
      </c>
      <c r="D17" s="7">
        <v>0</v>
      </c>
      <c r="E17" s="7">
        <v>43</v>
      </c>
      <c r="F17" s="7">
        <v>18</v>
      </c>
      <c r="G17" s="7">
        <v>3</v>
      </c>
      <c r="H17" s="7">
        <v>6</v>
      </c>
      <c r="I17" s="7">
        <v>2</v>
      </c>
      <c r="J17" s="7">
        <v>11</v>
      </c>
      <c r="K17" s="7">
        <v>2</v>
      </c>
      <c r="L17" s="7">
        <v>0</v>
      </c>
      <c r="M17" s="7">
        <v>14</v>
      </c>
      <c r="N17" s="7">
        <v>5</v>
      </c>
      <c r="O17" s="7">
        <v>2</v>
      </c>
      <c r="P17" s="7">
        <v>1</v>
      </c>
      <c r="Q17" s="7">
        <v>2</v>
      </c>
      <c r="R17" s="7">
        <v>0</v>
      </c>
      <c r="S17" s="7">
        <v>0</v>
      </c>
      <c r="T17" s="7">
        <v>5</v>
      </c>
      <c r="U17" s="7">
        <v>15</v>
      </c>
      <c r="V17" s="7">
        <v>0</v>
      </c>
      <c r="W17" s="7">
        <v>15</v>
      </c>
      <c r="X17" s="7">
        <v>9</v>
      </c>
      <c r="Y17" s="7">
        <v>13</v>
      </c>
      <c r="Z17" s="7">
        <v>14</v>
      </c>
      <c r="AA17" s="7">
        <v>3</v>
      </c>
      <c r="AB17" s="7">
        <v>1</v>
      </c>
      <c r="AC17" s="7">
        <v>3</v>
      </c>
    </row>
    <row r="18" spans="1:29" x14ac:dyDescent="0.55000000000000004">
      <c r="A18" s="2" t="s">
        <v>33</v>
      </c>
      <c r="B18" s="3" t="s">
        <v>55</v>
      </c>
      <c r="C18" s="7">
        <v>158</v>
      </c>
      <c r="D18" s="7">
        <v>0</v>
      </c>
      <c r="E18" s="7">
        <v>22</v>
      </c>
      <c r="F18" s="7">
        <v>28</v>
      </c>
      <c r="G18" s="7">
        <v>5</v>
      </c>
      <c r="H18" s="7">
        <v>1</v>
      </c>
      <c r="I18" s="7">
        <v>4</v>
      </c>
      <c r="J18" s="7">
        <v>6</v>
      </c>
      <c r="K18" s="7">
        <v>1</v>
      </c>
      <c r="L18" s="7">
        <v>0</v>
      </c>
      <c r="M18" s="7">
        <v>9</v>
      </c>
      <c r="N18" s="7">
        <v>14</v>
      </c>
      <c r="O18" s="7">
        <v>2</v>
      </c>
      <c r="P18" s="7">
        <v>0</v>
      </c>
      <c r="Q18" s="7">
        <v>0</v>
      </c>
      <c r="R18" s="7">
        <v>4</v>
      </c>
      <c r="S18" s="7">
        <v>4</v>
      </c>
      <c r="T18" s="7">
        <v>23</v>
      </c>
      <c r="U18" s="7">
        <v>13</v>
      </c>
      <c r="V18" s="7">
        <v>0</v>
      </c>
      <c r="W18" s="7">
        <v>14</v>
      </c>
      <c r="X18" s="7">
        <v>0</v>
      </c>
      <c r="Y18" s="7">
        <v>6</v>
      </c>
      <c r="Z18" s="7">
        <v>2</v>
      </c>
      <c r="AA18" s="7">
        <v>0</v>
      </c>
      <c r="AB18" s="7">
        <v>0</v>
      </c>
      <c r="AC18" s="7">
        <v>0</v>
      </c>
    </row>
    <row r="19" spans="1:29" x14ac:dyDescent="0.55000000000000004">
      <c r="A19" s="2" t="s">
        <v>34</v>
      </c>
      <c r="B19" s="3" t="s">
        <v>55</v>
      </c>
      <c r="C19" s="7">
        <v>216</v>
      </c>
      <c r="D19" s="7">
        <v>0</v>
      </c>
      <c r="E19" s="7">
        <v>38</v>
      </c>
      <c r="F19" s="7">
        <v>0</v>
      </c>
      <c r="G19" s="7">
        <v>3</v>
      </c>
      <c r="H19" s="7">
        <v>34</v>
      </c>
      <c r="I19" s="7">
        <v>11</v>
      </c>
      <c r="J19" s="7">
        <v>0</v>
      </c>
      <c r="K19" s="7">
        <v>7</v>
      </c>
      <c r="L19" s="7">
        <v>0</v>
      </c>
      <c r="M19" s="7">
        <v>35</v>
      </c>
      <c r="N19" s="7">
        <v>6</v>
      </c>
      <c r="O19" s="7">
        <v>28</v>
      </c>
      <c r="P19" s="7">
        <v>5</v>
      </c>
      <c r="Q19" s="7">
        <v>3</v>
      </c>
      <c r="R19" s="7">
        <v>6</v>
      </c>
      <c r="S19" s="7">
        <v>0</v>
      </c>
      <c r="T19" s="7">
        <v>0</v>
      </c>
      <c r="U19" s="7">
        <v>7</v>
      </c>
      <c r="V19" s="7">
        <v>0</v>
      </c>
      <c r="W19" s="7">
        <v>8</v>
      </c>
      <c r="X19" s="7">
        <v>4</v>
      </c>
      <c r="Y19" s="7">
        <v>0</v>
      </c>
      <c r="Z19" s="7">
        <v>21</v>
      </c>
      <c r="AA19" s="7">
        <v>0</v>
      </c>
      <c r="AB19" s="7">
        <v>0</v>
      </c>
      <c r="AC19" s="7">
        <v>0</v>
      </c>
    </row>
    <row r="20" spans="1:29" x14ac:dyDescent="0.55000000000000004">
      <c r="A20" s="2" t="s">
        <v>35</v>
      </c>
      <c r="B20" s="3" t="s">
        <v>55</v>
      </c>
      <c r="C20" s="7">
        <v>191</v>
      </c>
      <c r="D20" s="7">
        <v>0</v>
      </c>
      <c r="E20" s="7">
        <v>34</v>
      </c>
      <c r="F20" s="7">
        <v>10</v>
      </c>
      <c r="G20" s="7">
        <v>1</v>
      </c>
      <c r="H20" s="7">
        <v>4</v>
      </c>
      <c r="I20" s="7">
        <v>2</v>
      </c>
      <c r="J20" s="7">
        <v>3</v>
      </c>
      <c r="K20" s="7">
        <v>0</v>
      </c>
      <c r="L20" s="7">
        <v>0</v>
      </c>
      <c r="M20" s="7">
        <v>1</v>
      </c>
      <c r="N20" s="7">
        <v>1</v>
      </c>
      <c r="O20" s="7">
        <v>10</v>
      </c>
      <c r="P20" s="7">
        <v>22</v>
      </c>
      <c r="Q20" s="7">
        <v>2</v>
      </c>
      <c r="R20" s="7">
        <v>2</v>
      </c>
      <c r="S20" s="7">
        <v>0</v>
      </c>
      <c r="T20" s="7">
        <v>6</v>
      </c>
      <c r="U20" s="7">
        <v>11</v>
      </c>
      <c r="V20" s="7">
        <v>0</v>
      </c>
      <c r="W20" s="7">
        <v>4</v>
      </c>
      <c r="X20" s="7">
        <v>8</v>
      </c>
      <c r="Y20" s="7">
        <v>29</v>
      </c>
      <c r="Z20" s="7">
        <v>2</v>
      </c>
      <c r="AA20" s="7">
        <v>15</v>
      </c>
      <c r="AB20" s="7">
        <v>18</v>
      </c>
      <c r="AC20" s="7">
        <v>6</v>
      </c>
    </row>
    <row r="21" spans="1:29" x14ac:dyDescent="0.55000000000000004">
      <c r="A21" s="2" t="s">
        <v>36</v>
      </c>
      <c r="B21" s="3" t="s">
        <v>55</v>
      </c>
      <c r="C21" s="7">
        <v>6</v>
      </c>
      <c r="D21" s="7">
        <v>0</v>
      </c>
      <c r="E21" s="7">
        <v>2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2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2</v>
      </c>
      <c r="AC21" s="7">
        <v>0</v>
      </c>
    </row>
    <row r="22" spans="1:29" x14ac:dyDescent="0.55000000000000004">
      <c r="A22" s="2"/>
      <c r="B22" s="3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8"/>
      <c r="Z22" s="8"/>
      <c r="AA22" s="8"/>
      <c r="AB22" s="8"/>
      <c r="AC22" s="8"/>
    </row>
    <row r="23" spans="1:29" x14ac:dyDescent="0.55000000000000004">
      <c r="A23" s="1" t="s">
        <v>38</v>
      </c>
      <c r="B23" s="2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</row>
    <row r="24" spans="1:29" x14ac:dyDescent="0.55000000000000004">
      <c r="A24" s="1" t="s">
        <v>28</v>
      </c>
      <c r="B24" s="1" t="s">
        <v>40</v>
      </c>
      <c r="C24" s="6" t="s">
        <v>1</v>
      </c>
      <c r="D24" s="6" t="s">
        <v>2</v>
      </c>
      <c r="E24" s="6" t="s">
        <v>3</v>
      </c>
      <c r="F24" s="6" t="s">
        <v>4</v>
      </c>
      <c r="G24" s="6" t="s">
        <v>5</v>
      </c>
      <c r="H24" s="6" t="s">
        <v>6</v>
      </c>
      <c r="I24" s="6" t="s">
        <v>7</v>
      </c>
      <c r="J24" s="6" t="s">
        <v>8</v>
      </c>
      <c r="K24" s="6" t="s">
        <v>9</v>
      </c>
      <c r="L24" s="6" t="s">
        <v>10</v>
      </c>
      <c r="M24" s="6" t="s">
        <v>11</v>
      </c>
      <c r="N24" s="6" t="s">
        <v>12</v>
      </c>
      <c r="O24" s="6" t="s">
        <v>13</v>
      </c>
      <c r="P24" s="6" t="s">
        <v>14</v>
      </c>
      <c r="Q24" s="6" t="s">
        <v>15</v>
      </c>
      <c r="R24" s="6" t="s">
        <v>16</v>
      </c>
      <c r="S24" s="6" t="s">
        <v>17</v>
      </c>
      <c r="T24" s="6" t="s">
        <v>18</v>
      </c>
      <c r="U24" s="6" t="s">
        <v>19</v>
      </c>
      <c r="V24" s="6" t="s">
        <v>20</v>
      </c>
      <c r="W24" s="6" t="s">
        <v>21</v>
      </c>
      <c r="X24" s="6" t="s">
        <v>22</v>
      </c>
      <c r="Y24" s="6" t="s">
        <v>23</v>
      </c>
      <c r="Z24" s="6" t="s">
        <v>24</v>
      </c>
      <c r="AA24" s="6" t="s">
        <v>25</v>
      </c>
      <c r="AB24" s="6" t="s">
        <v>26</v>
      </c>
      <c r="AC24" s="6" t="s">
        <v>27</v>
      </c>
    </row>
    <row r="25" spans="1:29" x14ac:dyDescent="0.55000000000000004">
      <c r="A25" s="2" t="s">
        <v>29</v>
      </c>
      <c r="B25" s="3" t="s">
        <v>55</v>
      </c>
      <c r="C25" s="7">
        <v>1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1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</row>
    <row r="26" spans="1:29" x14ac:dyDescent="0.55000000000000004">
      <c r="A26" s="2" t="s">
        <v>30</v>
      </c>
      <c r="B26" s="3" t="s">
        <v>55</v>
      </c>
      <c r="C26" s="7">
        <v>12</v>
      </c>
      <c r="D26" s="7">
        <v>0</v>
      </c>
      <c r="E26" s="7">
        <v>1</v>
      </c>
      <c r="F26" s="7">
        <v>0</v>
      </c>
      <c r="G26" s="7">
        <v>0</v>
      </c>
      <c r="H26" s="7">
        <v>1</v>
      </c>
      <c r="I26" s="7">
        <v>0</v>
      </c>
      <c r="J26" s="7">
        <v>0</v>
      </c>
      <c r="K26" s="7">
        <v>0</v>
      </c>
      <c r="L26" s="7">
        <v>0</v>
      </c>
      <c r="M26" s="7">
        <v>3</v>
      </c>
      <c r="N26" s="7">
        <v>1</v>
      </c>
      <c r="O26" s="7">
        <v>0</v>
      </c>
      <c r="P26" s="7">
        <v>1</v>
      </c>
      <c r="Q26" s="7">
        <v>0</v>
      </c>
      <c r="R26" s="7">
        <v>0</v>
      </c>
      <c r="S26" s="7">
        <v>0</v>
      </c>
      <c r="T26" s="7">
        <v>0</v>
      </c>
      <c r="U26" s="7">
        <v>1</v>
      </c>
      <c r="V26" s="7">
        <v>0</v>
      </c>
      <c r="W26" s="7">
        <v>2</v>
      </c>
      <c r="X26" s="7">
        <v>0</v>
      </c>
      <c r="Y26" s="7">
        <v>2</v>
      </c>
      <c r="Z26" s="7">
        <v>0</v>
      </c>
      <c r="AA26" s="7">
        <v>0</v>
      </c>
      <c r="AB26" s="7">
        <v>0</v>
      </c>
      <c r="AC26" s="7">
        <v>0</v>
      </c>
    </row>
    <row r="27" spans="1:29" x14ac:dyDescent="0.55000000000000004">
      <c r="A27" s="2" t="s">
        <v>31</v>
      </c>
      <c r="B27" s="3" t="s">
        <v>55</v>
      </c>
      <c r="C27" s="7">
        <v>16</v>
      </c>
      <c r="D27" s="7">
        <v>0</v>
      </c>
      <c r="E27" s="7">
        <v>1</v>
      </c>
      <c r="F27" s="7">
        <v>0</v>
      </c>
      <c r="G27" s="7">
        <v>0</v>
      </c>
      <c r="H27" s="7">
        <v>1</v>
      </c>
      <c r="I27" s="7">
        <v>0</v>
      </c>
      <c r="J27" s="7">
        <v>0</v>
      </c>
      <c r="K27" s="7">
        <v>0</v>
      </c>
      <c r="L27" s="7">
        <v>0</v>
      </c>
      <c r="M27" s="7">
        <v>1</v>
      </c>
      <c r="N27" s="7">
        <v>0</v>
      </c>
      <c r="O27" s="7">
        <v>0</v>
      </c>
      <c r="P27" s="7">
        <v>1</v>
      </c>
      <c r="Q27" s="7">
        <v>0</v>
      </c>
      <c r="R27" s="7">
        <v>0</v>
      </c>
      <c r="S27" s="7">
        <v>0</v>
      </c>
      <c r="T27" s="7">
        <v>2</v>
      </c>
      <c r="U27" s="7">
        <v>4</v>
      </c>
      <c r="V27" s="7">
        <v>0</v>
      </c>
      <c r="W27" s="7">
        <v>1</v>
      </c>
      <c r="X27" s="7">
        <v>0</v>
      </c>
      <c r="Y27" s="7">
        <v>3</v>
      </c>
      <c r="Z27" s="7">
        <v>1</v>
      </c>
      <c r="AA27" s="7">
        <v>0</v>
      </c>
      <c r="AB27" s="7">
        <v>0</v>
      </c>
      <c r="AC27" s="7">
        <v>1</v>
      </c>
    </row>
    <row r="28" spans="1:29" x14ac:dyDescent="0.55000000000000004">
      <c r="A28" s="2" t="s">
        <v>32</v>
      </c>
      <c r="B28" s="3" t="s">
        <v>55</v>
      </c>
      <c r="C28" s="7">
        <v>26</v>
      </c>
      <c r="D28" s="7">
        <v>0</v>
      </c>
      <c r="E28" s="7">
        <v>6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1</v>
      </c>
      <c r="L28" s="7">
        <v>0</v>
      </c>
      <c r="M28" s="7">
        <v>2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3</v>
      </c>
      <c r="U28" s="7">
        <v>2</v>
      </c>
      <c r="V28" s="7">
        <v>0</v>
      </c>
      <c r="W28" s="7">
        <v>5</v>
      </c>
      <c r="X28" s="7">
        <v>0</v>
      </c>
      <c r="Y28" s="7">
        <v>1</v>
      </c>
      <c r="Z28" s="7">
        <v>2</v>
      </c>
      <c r="AA28" s="7">
        <v>1</v>
      </c>
      <c r="AB28" s="7">
        <v>3</v>
      </c>
      <c r="AC28" s="7">
        <v>0</v>
      </c>
    </row>
    <row r="29" spans="1:29" x14ac:dyDescent="0.55000000000000004">
      <c r="A29" s="2" t="s">
        <v>33</v>
      </c>
      <c r="B29" s="3" t="s">
        <v>55</v>
      </c>
      <c r="C29" s="7">
        <v>19</v>
      </c>
      <c r="D29" s="7">
        <v>0</v>
      </c>
      <c r="E29" s="7">
        <v>2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2</v>
      </c>
      <c r="N29" s="7">
        <v>0</v>
      </c>
      <c r="O29" s="7">
        <v>0</v>
      </c>
      <c r="P29" s="7">
        <v>0</v>
      </c>
      <c r="Q29" s="7">
        <v>1</v>
      </c>
      <c r="R29" s="7">
        <v>0</v>
      </c>
      <c r="S29" s="7">
        <v>0</v>
      </c>
      <c r="T29" s="7">
        <v>5</v>
      </c>
      <c r="U29" s="7">
        <v>3</v>
      </c>
      <c r="V29" s="7">
        <v>0</v>
      </c>
      <c r="W29" s="7">
        <v>5</v>
      </c>
      <c r="X29" s="7">
        <v>0</v>
      </c>
      <c r="Y29" s="7">
        <v>1</v>
      </c>
      <c r="Z29" s="7">
        <v>0</v>
      </c>
      <c r="AA29" s="7">
        <v>0</v>
      </c>
      <c r="AB29" s="7">
        <v>0</v>
      </c>
      <c r="AC29" s="7">
        <v>0</v>
      </c>
    </row>
    <row r="30" spans="1:29" x14ac:dyDescent="0.55000000000000004">
      <c r="A30" s="2" t="s">
        <v>34</v>
      </c>
      <c r="B30" s="3" t="s">
        <v>55</v>
      </c>
      <c r="C30" s="7">
        <v>68</v>
      </c>
      <c r="D30" s="7">
        <v>0</v>
      </c>
      <c r="E30" s="7">
        <v>15</v>
      </c>
      <c r="F30" s="7">
        <v>0</v>
      </c>
      <c r="G30" s="7">
        <v>0</v>
      </c>
      <c r="H30" s="7">
        <v>5</v>
      </c>
      <c r="I30" s="7">
        <v>1</v>
      </c>
      <c r="J30" s="7">
        <v>0</v>
      </c>
      <c r="K30" s="7">
        <v>2</v>
      </c>
      <c r="L30" s="7">
        <v>0</v>
      </c>
      <c r="M30" s="7">
        <v>16</v>
      </c>
      <c r="N30" s="7">
        <v>0</v>
      </c>
      <c r="O30" s="7">
        <v>2</v>
      </c>
      <c r="P30" s="7">
        <v>1</v>
      </c>
      <c r="Q30" s="7">
        <v>5</v>
      </c>
      <c r="R30" s="7">
        <v>0</v>
      </c>
      <c r="S30" s="7">
        <v>0</v>
      </c>
      <c r="T30" s="7">
        <v>0</v>
      </c>
      <c r="U30" s="7">
        <v>5</v>
      </c>
      <c r="V30" s="7">
        <v>0</v>
      </c>
      <c r="W30" s="7">
        <v>10</v>
      </c>
      <c r="X30" s="7">
        <v>1</v>
      </c>
      <c r="Y30" s="7">
        <v>0</v>
      </c>
      <c r="Z30" s="7">
        <v>4</v>
      </c>
      <c r="AA30" s="7">
        <v>1</v>
      </c>
      <c r="AB30" s="7">
        <v>0</v>
      </c>
      <c r="AC30" s="7">
        <v>0</v>
      </c>
    </row>
    <row r="31" spans="1:29" x14ac:dyDescent="0.55000000000000004">
      <c r="A31" s="2" t="s">
        <v>35</v>
      </c>
      <c r="B31" s="3" t="s">
        <v>55</v>
      </c>
      <c r="C31" s="7">
        <v>9</v>
      </c>
      <c r="D31" s="7">
        <v>0</v>
      </c>
      <c r="E31" s="7">
        <v>0</v>
      </c>
      <c r="F31" s="7">
        <v>2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1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2</v>
      </c>
      <c r="Z31" s="7">
        <v>0</v>
      </c>
      <c r="AA31" s="7">
        <v>1</v>
      </c>
      <c r="AB31" s="7">
        <v>0</v>
      </c>
      <c r="AC31" s="7">
        <v>3</v>
      </c>
    </row>
    <row r="32" spans="1:29" x14ac:dyDescent="0.55000000000000004">
      <c r="A32" s="2" t="s">
        <v>36</v>
      </c>
      <c r="B32" s="3" t="s">
        <v>55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</row>
    <row r="34" spans="1:29" x14ac:dyDescent="0.55000000000000004">
      <c r="A34" s="1" t="s">
        <v>37</v>
      </c>
      <c r="B34" s="1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spans="1:29" x14ac:dyDescent="0.55000000000000004">
      <c r="A35" s="1" t="s">
        <v>28</v>
      </c>
      <c r="B35" s="1" t="s">
        <v>41</v>
      </c>
      <c r="D35" s="4" t="s">
        <v>20</v>
      </c>
      <c r="E35" s="4" t="s">
        <v>17</v>
      </c>
      <c r="F35" s="4" t="s">
        <v>16</v>
      </c>
      <c r="G35" s="4" t="s">
        <v>3</v>
      </c>
      <c r="H35" s="4" t="s">
        <v>14</v>
      </c>
      <c r="I35" s="4" t="s">
        <v>13</v>
      </c>
      <c r="J35" s="4" t="s">
        <v>11</v>
      </c>
      <c r="K35" s="4" t="s">
        <v>26</v>
      </c>
      <c r="L35" s="4" t="s">
        <v>9</v>
      </c>
      <c r="M35" s="4" t="s">
        <v>19</v>
      </c>
      <c r="N35" s="4" t="s">
        <v>27</v>
      </c>
      <c r="O35" s="4" t="s">
        <v>4</v>
      </c>
      <c r="P35" s="4" t="s">
        <v>25</v>
      </c>
      <c r="Q35" s="4" t="s">
        <v>8</v>
      </c>
      <c r="R35" s="4" t="s">
        <v>7</v>
      </c>
      <c r="S35" s="4" t="s">
        <v>18</v>
      </c>
      <c r="T35" s="4" t="s">
        <v>15</v>
      </c>
      <c r="U35" s="4" t="s">
        <v>12</v>
      </c>
      <c r="V35" s="4" t="s">
        <v>6</v>
      </c>
      <c r="W35" s="4" t="s">
        <v>21</v>
      </c>
      <c r="X35" s="4" t="s">
        <v>22</v>
      </c>
      <c r="Y35" s="4" t="s">
        <v>5</v>
      </c>
      <c r="Z35" s="4" t="s">
        <v>23</v>
      </c>
      <c r="AA35" s="4" t="s">
        <v>24</v>
      </c>
      <c r="AB35" s="4" t="s">
        <v>10</v>
      </c>
      <c r="AC35" s="4" t="s">
        <v>2</v>
      </c>
    </row>
    <row r="36" spans="1:29" x14ac:dyDescent="0.55000000000000004">
      <c r="A36" s="2" t="s">
        <v>29</v>
      </c>
      <c r="B36">
        <v>2</v>
      </c>
      <c r="D36" s="7">
        <f>HLOOKUP(D$35,$D$2:$AC$10,$B36,FALSE)</f>
        <v>0</v>
      </c>
      <c r="E36" s="7">
        <f t="shared" ref="E36:AC43" si="0">HLOOKUP(E$35,$D$2:$AC$10,$B36,FALSE)</f>
        <v>2</v>
      </c>
      <c r="F36" s="7">
        <f t="shared" si="0"/>
        <v>6</v>
      </c>
      <c r="G36" s="7">
        <f t="shared" si="0"/>
        <v>0</v>
      </c>
      <c r="H36" s="7">
        <f t="shared" si="0"/>
        <v>5</v>
      </c>
      <c r="I36" s="7">
        <f t="shared" si="0"/>
        <v>0</v>
      </c>
      <c r="J36" s="7">
        <f t="shared" si="0"/>
        <v>5</v>
      </c>
      <c r="K36" s="7">
        <f t="shared" si="0"/>
        <v>0</v>
      </c>
      <c r="L36" s="7">
        <f t="shared" si="0"/>
        <v>8</v>
      </c>
      <c r="M36" s="7">
        <f t="shared" si="0"/>
        <v>7</v>
      </c>
      <c r="N36" s="7">
        <f t="shared" si="0"/>
        <v>5</v>
      </c>
      <c r="O36" s="7">
        <f t="shared" si="0"/>
        <v>0</v>
      </c>
      <c r="P36" s="7">
        <f t="shared" si="0"/>
        <v>0</v>
      </c>
      <c r="Q36" s="7">
        <f t="shared" si="0"/>
        <v>0</v>
      </c>
      <c r="R36" s="7">
        <f t="shared" si="0"/>
        <v>1</v>
      </c>
      <c r="S36" s="7">
        <f t="shared" si="0"/>
        <v>1</v>
      </c>
      <c r="T36" s="7">
        <f t="shared" si="0"/>
        <v>0</v>
      </c>
      <c r="U36" s="7">
        <f t="shared" si="0"/>
        <v>6</v>
      </c>
      <c r="V36" s="7">
        <f t="shared" si="0"/>
        <v>1</v>
      </c>
      <c r="W36" s="7">
        <f t="shared" si="0"/>
        <v>0</v>
      </c>
      <c r="X36" s="7">
        <f t="shared" si="0"/>
        <v>0</v>
      </c>
      <c r="Y36" s="7">
        <f t="shared" si="0"/>
        <v>4</v>
      </c>
      <c r="Z36" s="7">
        <f t="shared" si="0"/>
        <v>12</v>
      </c>
      <c r="AA36" s="7">
        <f t="shared" si="0"/>
        <v>0</v>
      </c>
      <c r="AB36" s="7">
        <f t="shared" si="0"/>
        <v>0</v>
      </c>
      <c r="AC36" s="7">
        <f t="shared" si="0"/>
        <v>0</v>
      </c>
    </row>
    <row r="37" spans="1:29" x14ac:dyDescent="0.55000000000000004">
      <c r="A37" s="2" t="s">
        <v>30</v>
      </c>
      <c r="B37">
        <v>3</v>
      </c>
      <c r="D37" s="7">
        <f t="shared" ref="D37:D42" si="1">HLOOKUP(D$35,$D$2:$AC$10,$B37,FALSE)</f>
        <v>0</v>
      </c>
      <c r="E37" s="7">
        <f t="shared" si="0"/>
        <v>0</v>
      </c>
      <c r="F37" s="7">
        <f t="shared" si="0"/>
        <v>2</v>
      </c>
      <c r="G37" s="7">
        <f t="shared" si="0"/>
        <v>59</v>
      </c>
      <c r="H37" s="7">
        <f t="shared" si="0"/>
        <v>8</v>
      </c>
      <c r="I37" s="7">
        <f t="shared" si="0"/>
        <v>10</v>
      </c>
      <c r="J37" s="7">
        <f t="shared" si="0"/>
        <v>12</v>
      </c>
      <c r="K37" s="7">
        <f t="shared" si="0"/>
        <v>0</v>
      </c>
      <c r="L37" s="7">
        <f t="shared" si="0"/>
        <v>1</v>
      </c>
      <c r="M37" s="7">
        <f t="shared" si="0"/>
        <v>7</v>
      </c>
      <c r="N37" s="7">
        <f t="shared" si="0"/>
        <v>18</v>
      </c>
      <c r="O37" s="7">
        <f t="shared" si="0"/>
        <v>0</v>
      </c>
      <c r="P37" s="7">
        <f t="shared" si="0"/>
        <v>13</v>
      </c>
      <c r="Q37" s="7">
        <f t="shared" si="0"/>
        <v>1</v>
      </c>
      <c r="R37" s="7">
        <f t="shared" si="0"/>
        <v>1</v>
      </c>
      <c r="S37" s="7">
        <f t="shared" si="0"/>
        <v>0</v>
      </c>
      <c r="T37" s="7">
        <f t="shared" si="0"/>
        <v>12</v>
      </c>
      <c r="U37" s="7">
        <f t="shared" si="0"/>
        <v>15</v>
      </c>
      <c r="V37" s="7">
        <f t="shared" si="0"/>
        <v>1</v>
      </c>
      <c r="W37" s="7">
        <f t="shared" si="0"/>
        <v>17</v>
      </c>
      <c r="X37" s="7">
        <f t="shared" si="0"/>
        <v>0</v>
      </c>
      <c r="Y37" s="7">
        <f t="shared" si="0"/>
        <v>1</v>
      </c>
      <c r="Z37" s="7">
        <f t="shared" si="0"/>
        <v>60</v>
      </c>
      <c r="AA37" s="7">
        <f t="shared" si="0"/>
        <v>0</v>
      </c>
      <c r="AB37" s="7">
        <f t="shared" si="0"/>
        <v>0</v>
      </c>
      <c r="AC37" s="7">
        <f t="shared" si="0"/>
        <v>0</v>
      </c>
    </row>
    <row r="38" spans="1:29" x14ac:dyDescent="0.55000000000000004">
      <c r="A38" s="2" t="s">
        <v>31</v>
      </c>
      <c r="B38">
        <v>4</v>
      </c>
      <c r="D38" s="7">
        <f t="shared" si="1"/>
        <v>0</v>
      </c>
      <c r="E38" s="7">
        <f t="shared" si="0"/>
        <v>0</v>
      </c>
      <c r="F38" s="7">
        <f t="shared" si="0"/>
        <v>0</v>
      </c>
      <c r="G38" s="7">
        <f t="shared" si="0"/>
        <v>0</v>
      </c>
      <c r="H38" s="7">
        <f t="shared" si="0"/>
        <v>0</v>
      </c>
      <c r="I38" s="7">
        <f t="shared" si="0"/>
        <v>0</v>
      </c>
      <c r="J38" s="7">
        <f t="shared" si="0"/>
        <v>0</v>
      </c>
      <c r="K38" s="7">
        <f t="shared" si="0"/>
        <v>0</v>
      </c>
      <c r="L38" s="7">
        <f t="shared" si="0"/>
        <v>0</v>
      </c>
      <c r="M38" s="7">
        <f t="shared" si="0"/>
        <v>0</v>
      </c>
      <c r="N38" s="7">
        <f t="shared" si="0"/>
        <v>0</v>
      </c>
      <c r="O38" s="7">
        <f t="shared" si="0"/>
        <v>0</v>
      </c>
      <c r="P38" s="7">
        <f t="shared" si="0"/>
        <v>0</v>
      </c>
      <c r="Q38" s="7">
        <f t="shared" si="0"/>
        <v>0</v>
      </c>
      <c r="R38" s="7">
        <f t="shared" si="0"/>
        <v>0</v>
      </c>
      <c r="S38" s="7">
        <f t="shared" si="0"/>
        <v>0</v>
      </c>
      <c r="T38" s="7">
        <f t="shared" si="0"/>
        <v>0</v>
      </c>
      <c r="U38" s="7">
        <f t="shared" si="0"/>
        <v>0</v>
      </c>
      <c r="V38" s="7">
        <f t="shared" si="0"/>
        <v>0</v>
      </c>
      <c r="W38" s="7">
        <f t="shared" si="0"/>
        <v>0</v>
      </c>
      <c r="X38" s="7">
        <f t="shared" si="0"/>
        <v>0</v>
      </c>
      <c r="Y38" s="7">
        <f t="shared" si="0"/>
        <v>0</v>
      </c>
      <c r="Z38" s="7">
        <f t="shared" si="0"/>
        <v>0</v>
      </c>
      <c r="AA38" s="7">
        <f t="shared" si="0"/>
        <v>0</v>
      </c>
      <c r="AB38" s="7">
        <f t="shared" si="0"/>
        <v>0</v>
      </c>
      <c r="AC38" s="7">
        <f t="shared" si="0"/>
        <v>0</v>
      </c>
    </row>
    <row r="39" spans="1:29" x14ac:dyDescent="0.55000000000000004">
      <c r="A39" s="2" t="s">
        <v>32</v>
      </c>
      <c r="B39">
        <v>5</v>
      </c>
      <c r="D39" s="7">
        <f t="shared" si="1"/>
        <v>0</v>
      </c>
      <c r="E39" s="7">
        <f t="shared" si="0"/>
        <v>10</v>
      </c>
      <c r="F39" s="7">
        <f t="shared" si="0"/>
        <v>12</v>
      </c>
      <c r="G39" s="7">
        <f t="shared" si="0"/>
        <v>330</v>
      </c>
      <c r="H39" s="7">
        <f t="shared" si="0"/>
        <v>25</v>
      </c>
      <c r="I39" s="7">
        <f t="shared" si="0"/>
        <v>23</v>
      </c>
      <c r="J39" s="7">
        <f t="shared" si="0"/>
        <v>164</v>
      </c>
      <c r="K39" s="7">
        <f t="shared" si="0"/>
        <v>114</v>
      </c>
      <c r="L39" s="7">
        <f t="shared" si="0"/>
        <v>35</v>
      </c>
      <c r="M39" s="7">
        <f t="shared" si="0"/>
        <v>71</v>
      </c>
      <c r="N39" s="7">
        <f t="shared" si="0"/>
        <v>23</v>
      </c>
      <c r="O39" s="7">
        <f t="shared" si="0"/>
        <v>65</v>
      </c>
      <c r="P39" s="7">
        <f t="shared" si="0"/>
        <v>9</v>
      </c>
      <c r="Q39" s="7">
        <f t="shared" si="0"/>
        <v>19</v>
      </c>
      <c r="R39" s="7">
        <f t="shared" si="0"/>
        <v>5</v>
      </c>
      <c r="S39" s="7">
        <f t="shared" si="0"/>
        <v>301</v>
      </c>
      <c r="T39" s="7">
        <f t="shared" si="0"/>
        <v>34</v>
      </c>
      <c r="U39" s="7">
        <f t="shared" si="0"/>
        <v>36</v>
      </c>
      <c r="V39" s="7">
        <f t="shared" si="0"/>
        <v>17</v>
      </c>
      <c r="W39" s="7">
        <f t="shared" si="0"/>
        <v>151</v>
      </c>
      <c r="X39" s="7">
        <f t="shared" si="0"/>
        <v>131</v>
      </c>
      <c r="Y39" s="7">
        <f t="shared" si="0"/>
        <v>11</v>
      </c>
      <c r="Z39" s="7">
        <f t="shared" si="0"/>
        <v>213</v>
      </c>
      <c r="AA39" s="7">
        <f t="shared" si="0"/>
        <v>129</v>
      </c>
      <c r="AB39" s="7">
        <f t="shared" si="0"/>
        <v>0</v>
      </c>
      <c r="AC39" s="7">
        <f t="shared" si="0"/>
        <v>0</v>
      </c>
    </row>
    <row r="40" spans="1:29" x14ac:dyDescent="0.55000000000000004">
      <c r="A40" s="2" t="s">
        <v>33</v>
      </c>
      <c r="B40">
        <v>6</v>
      </c>
      <c r="D40" s="7">
        <f t="shared" si="1"/>
        <v>0</v>
      </c>
      <c r="E40" s="7">
        <f t="shared" si="0"/>
        <v>7</v>
      </c>
      <c r="F40" s="7">
        <f t="shared" si="0"/>
        <v>3</v>
      </c>
      <c r="G40" s="7">
        <f t="shared" si="0"/>
        <v>114</v>
      </c>
      <c r="H40" s="7">
        <f t="shared" si="0"/>
        <v>12</v>
      </c>
      <c r="I40" s="7">
        <f t="shared" si="0"/>
        <v>4</v>
      </c>
      <c r="J40" s="7">
        <f t="shared" si="0"/>
        <v>61</v>
      </c>
      <c r="K40" s="7">
        <f t="shared" si="0"/>
        <v>9</v>
      </c>
      <c r="L40" s="7">
        <f t="shared" si="0"/>
        <v>4</v>
      </c>
      <c r="M40" s="7">
        <f t="shared" si="0"/>
        <v>35</v>
      </c>
      <c r="N40" s="7">
        <f t="shared" si="0"/>
        <v>3</v>
      </c>
      <c r="O40" s="7">
        <f t="shared" si="0"/>
        <v>40</v>
      </c>
      <c r="P40" s="7">
        <f t="shared" si="0"/>
        <v>0</v>
      </c>
      <c r="Q40" s="7">
        <f t="shared" si="0"/>
        <v>3</v>
      </c>
      <c r="R40" s="7">
        <f t="shared" si="0"/>
        <v>3</v>
      </c>
      <c r="S40" s="7">
        <f t="shared" si="0"/>
        <v>134</v>
      </c>
      <c r="T40" s="7">
        <f t="shared" si="0"/>
        <v>10</v>
      </c>
      <c r="U40" s="7">
        <f t="shared" si="0"/>
        <v>30</v>
      </c>
      <c r="V40" s="7">
        <f t="shared" si="0"/>
        <v>4</v>
      </c>
      <c r="W40" s="7">
        <f t="shared" si="0"/>
        <v>68</v>
      </c>
      <c r="X40" s="7">
        <f t="shared" si="0"/>
        <v>5</v>
      </c>
      <c r="Y40" s="7">
        <f t="shared" si="0"/>
        <v>5</v>
      </c>
      <c r="Z40" s="7">
        <f t="shared" si="0"/>
        <v>88</v>
      </c>
      <c r="AA40" s="7">
        <f t="shared" si="0"/>
        <v>7</v>
      </c>
      <c r="AB40" s="7">
        <f t="shared" si="0"/>
        <v>0</v>
      </c>
      <c r="AC40" s="7">
        <f t="shared" si="0"/>
        <v>0</v>
      </c>
    </row>
    <row r="41" spans="1:29" x14ac:dyDescent="0.55000000000000004">
      <c r="A41" s="2" t="s">
        <v>34</v>
      </c>
      <c r="B41">
        <v>7</v>
      </c>
      <c r="D41" s="7">
        <f t="shared" si="1"/>
        <v>0</v>
      </c>
      <c r="E41" s="7">
        <f t="shared" si="0"/>
        <v>0</v>
      </c>
      <c r="F41" s="7">
        <f t="shared" si="0"/>
        <v>7</v>
      </c>
      <c r="G41" s="7">
        <f t="shared" si="0"/>
        <v>91</v>
      </c>
      <c r="H41" s="7">
        <f t="shared" si="0"/>
        <v>8</v>
      </c>
      <c r="I41" s="7">
        <f t="shared" si="0"/>
        <v>34</v>
      </c>
      <c r="J41" s="7">
        <f t="shared" si="0"/>
        <v>39</v>
      </c>
      <c r="K41" s="7">
        <f t="shared" si="0"/>
        <v>0</v>
      </c>
      <c r="L41" s="7">
        <f t="shared" si="0"/>
        <v>3</v>
      </c>
      <c r="M41" s="7">
        <f t="shared" si="0"/>
        <v>1</v>
      </c>
      <c r="N41" s="7">
        <f t="shared" si="0"/>
        <v>0</v>
      </c>
      <c r="O41" s="7">
        <f t="shared" si="0"/>
        <v>0</v>
      </c>
      <c r="P41" s="7">
        <f t="shared" si="0"/>
        <v>1</v>
      </c>
      <c r="Q41" s="7">
        <f t="shared" si="0"/>
        <v>1</v>
      </c>
      <c r="R41" s="7">
        <f t="shared" si="0"/>
        <v>7</v>
      </c>
      <c r="S41" s="7">
        <f t="shared" si="0"/>
        <v>0</v>
      </c>
      <c r="T41" s="7">
        <f t="shared" si="0"/>
        <v>20</v>
      </c>
      <c r="U41" s="7">
        <f t="shared" si="0"/>
        <v>4</v>
      </c>
      <c r="V41" s="7">
        <f t="shared" si="0"/>
        <v>41</v>
      </c>
      <c r="W41" s="7">
        <f t="shared" si="0"/>
        <v>21</v>
      </c>
      <c r="X41" s="7">
        <f t="shared" si="0"/>
        <v>2</v>
      </c>
      <c r="Y41" s="7">
        <f t="shared" si="0"/>
        <v>1</v>
      </c>
      <c r="Z41" s="7">
        <f t="shared" si="0"/>
        <v>0</v>
      </c>
      <c r="AA41" s="7">
        <f t="shared" si="0"/>
        <v>2</v>
      </c>
      <c r="AB41" s="7">
        <f t="shared" si="0"/>
        <v>0</v>
      </c>
      <c r="AC41" s="7">
        <f t="shared" si="0"/>
        <v>0</v>
      </c>
    </row>
    <row r="42" spans="1:29" x14ac:dyDescent="0.55000000000000004">
      <c r="A42" s="2" t="s">
        <v>35</v>
      </c>
      <c r="B42">
        <v>8</v>
      </c>
      <c r="D42" s="7">
        <f t="shared" si="1"/>
        <v>0</v>
      </c>
      <c r="E42" s="7">
        <f t="shared" si="0"/>
        <v>2</v>
      </c>
      <c r="F42" s="7">
        <f t="shared" si="0"/>
        <v>7</v>
      </c>
      <c r="G42" s="7">
        <f t="shared" si="0"/>
        <v>53</v>
      </c>
      <c r="H42" s="7">
        <f t="shared" si="0"/>
        <v>24</v>
      </c>
      <c r="I42" s="7">
        <f t="shared" si="0"/>
        <v>6</v>
      </c>
      <c r="J42" s="7">
        <f t="shared" si="0"/>
        <v>25</v>
      </c>
      <c r="K42" s="7">
        <f t="shared" si="0"/>
        <v>24</v>
      </c>
      <c r="L42" s="7">
        <f t="shared" si="0"/>
        <v>5</v>
      </c>
      <c r="M42" s="7">
        <f t="shared" si="0"/>
        <v>15</v>
      </c>
      <c r="N42" s="7">
        <f t="shared" si="0"/>
        <v>20</v>
      </c>
      <c r="O42" s="7">
        <f t="shared" si="0"/>
        <v>14</v>
      </c>
      <c r="P42" s="7">
        <f t="shared" si="0"/>
        <v>20</v>
      </c>
      <c r="Q42" s="7">
        <f t="shared" si="0"/>
        <v>0</v>
      </c>
      <c r="R42" s="7">
        <f t="shared" si="0"/>
        <v>2</v>
      </c>
      <c r="S42" s="7">
        <f t="shared" si="0"/>
        <v>34</v>
      </c>
      <c r="T42" s="7">
        <f t="shared" si="0"/>
        <v>0</v>
      </c>
      <c r="U42" s="7">
        <f t="shared" si="0"/>
        <v>19</v>
      </c>
      <c r="V42" s="7">
        <f t="shared" si="0"/>
        <v>3</v>
      </c>
      <c r="W42" s="7">
        <f t="shared" si="0"/>
        <v>19</v>
      </c>
      <c r="X42" s="7">
        <f t="shared" si="0"/>
        <v>32</v>
      </c>
      <c r="Y42" s="7">
        <f t="shared" si="0"/>
        <v>1</v>
      </c>
      <c r="Z42" s="7">
        <f t="shared" si="0"/>
        <v>115</v>
      </c>
      <c r="AA42" s="7">
        <f t="shared" si="0"/>
        <v>7</v>
      </c>
      <c r="AB42" s="7">
        <f t="shared" si="0"/>
        <v>0</v>
      </c>
      <c r="AC42" s="7">
        <f t="shared" si="0"/>
        <v>0</v>
      </c>
    </row>
    <row r="43" spans="1:29" x14ac:dyDescent="0.55000000000000004">
      <c r="A43" s="2" t="s">
        <v>36</v>
      </c>
      <c r="B43">
        <v>9</v>
      </c>
      <c r="D43" s="7">
        <f>HLOOKUP(D$35,$D$2:$AC$10,$B43,FALSE)</f>
        <v>0</v>
      </c>
      <c r="E43" s="7">
        <f t="shared" si="0"/>
        <v>0</v>
      </c>
      <c r="F43" s="7">
        <f t="shared" si="0"/>
        <v>0</v>
      </c>
      <c r="G43" s="7">
        <f t="shared" si="0"/>
        <v>1</v>
      </c>
      <c r="H43" s="7">
        <f t="shared" si="0"/>
        <v>0</v>
      </c>
      <c r="I43" s="7">
        <f t="shared" si="0"/>
        <v>1</v>
      </c>
      <c r="J43" s="7">
        <f t="shared" si="0"/>
        <v>0</v>
      </c>
      <c r="K43" s="7">
        <f t="shared" si="0"/>
        <v>0</v>
      </c>
      <c r="L43" s="7">
        <f t="shared" si="0"/>
        <v>0</v>
      </c>
      <c r="M43" s="7">
        <f t="shared" si="0"/>
        <v>3</v>
      </c>
      <c r="N43" s="7">
        <f t="shared" si="0"/>
        <v>0</v>
      </c>
      <c r="O43" s="7">
        <f t="shared" si="0"/>
        <v>0</v>
      </c>
      <c r="P43" s="7">
        <f t="shared" si="0"/>
        <v>0</v>
      </c>
      <c r="Q43" s="7">
        <f t="shared" si="0"/>
        <v>0</v>
      </c>
      <c r="R43" s="7">
        <f t="shared" si="0"/>
        <v>0</v>
      </c>
      <c r="S43" s="7">
        <f t="shared" si="0"/>
        <v>0</v>
      </c>
      <c r="T43" s="7">
        <f t="shared" si="0"/>
        <v>0</v>
      </c>
      <c r="U43" s="7">
        <f t="shared" si="0"/>
        <v>0</v>
      </c>
      <c r="V43" s="7">
        <f t="shared" si="0"/>
        <v>0</v>
      </c>
      <c r="W43" s="7">
        <f t="shared" si="0"/>
        <v>2</v>
      </c>
      <c r="X43" s="7">
        <f t="shared" si="0"/>
        <v>0</v>
      </c>
      <c r="Y43" s="7">
        <f t="shared" si="0"/>
        <v>0</v>
      </c>
      <c r="Z43" s="7">
        <f t="shared" si="0"/>
        <v>0</v>
      </c>
      <c r="AA43" s="7">
        <f t="shared" si="0"/>
        <v>0</v>
      </c>
      <c r="AB43" s="7">
        <f t="shared" si="0"/>
        <v>0</v>
      </c>
      <c r="AC43" s="7">
        <f t="shared" si="0"/>
        <v>0</v>
      </c>
    </row>
    <row r="44" spans="1:29" x14ac:dyDescent="0.55000000000000004">
      <c r="A44" s="2"/>
    </row>
    <row r="45" spans="1:29" x14ac:dyDescent="0.55000000000000004">
      <c r="A45" s="1" t="s">
        <v>39</v>
      </c>
      <c r="B45" s="1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spans="1:29" x14ac:dyDescent="0.55000000000000004">
      <c r="A46" s="1" t="s">
        <v>28</v>
      </c>
      <c r="B46" s="1" t="s">
        <v>41</v>
      </c>
      <c r="D46" s="4" t="s">
        <v>20</v>
      </c>
      <c r="E46" s="4" t="s">
        <v>17</v>
      </c>
      <c r="F46" s="4" t="s">
        <v>16</v>
      </c>
      <c r="G46" s="4" t="s">
        <v>3</v>
      </c>
      <c r="H46" s="4" t="s">
        <v>14</v>
      </c>
      <c r="I46" s="4" t="s">
        <v>13</v>
      </c>
      <c r="J46" s="4" t="s">
        <v>11</v>
      </c>
      <c r="K46" s="4" t="s">
        <v>26</v>
      </c>
      <c r="L46" s="4" t="s">
        <v>9</v>
      </c>
      <c r="M46" s="4" t="s">
        <v>19</v>
      </c>
      <c r="N46" s="4" t="s">
        <v>27</v>
      </c>
      <c r="O46" s="4" t="s">
        <v>4</v>
      </c>
      <c r="P46" s="4" t="s">
        <v>25</v>
      </c>
      <c r="Q46" s="4" t="s">
        <v>8</v>
      </c>
      <c r="R46" s="4" t="s">
        <v>7</v>
      </c>
      <c r="S46" s="4" t="s">
        <v>18</v>
      </c>
      <c r="T46" s="4" t="s">
        <v>15</v>
      </c>
      <c r="U46" s="4" t="s">
        <v>12</v>
      </c>
      <c r="V46" s="4" t="s">
        <v>6</v>
      </c>
      <c r="W46" s="4" t="s">
        <v>21</v>
      </c>
      <c r="X46" s="4" t="s">
        <v>22</v>
      </c>
      <c r="Y46" s="4" t="s">
        <v>5</v>
      </c>
      <c r="Z46" s="4" t="s">
        <v>23</v>
      </c>
      <c r="AA46" s="4" t="s">
        <v>24</v>
      </c>
      <c r="AB46" s="4" t="s">
        <v>10</v>
      </c>
      <c r="AC46" s="4" t="s">
        <v>2</v>
      </c>
    </row>
    <row r="47" spans="1:29" x14ac:dyDescent="0.55000000000000004">
      <c r="A47" s="2" t="s">
        <v>29</v>
      </c>
      <c r="B47">
        <v>2</v>
      </c>
      <c r="D47" s="7">
        <f>HLOOKUP(D$46,$D$13:$AC$21,$B47,FALSE)</f>
        <v>0</v>
      </c>
      <c r="E47" s="7">
        <f t="shared" ref="E47:AC54" si="2">HLOOKUP(E$46,$D$13:$AC$21,$B47,FALSE)</f>
        <v>0</v>
      </c>
      <c r="F47" s="7">
        <f t="shared" si="2"/>
        <v>1</v>
      </c>
      <c r="G47" s="7">
        <f t="shared" si="2"/>
        <v>0</v>
      </c>
      <c r="H47" s="7">
        <f t="shared" si="2"/>
        <v>2</v>
      </c>
      <c r="I47" s="7">
        <f t="shared" si="2"/>
        <v>0</v>
      </c>
      <c r="J47" s="7">
        <f t="shared" si="2"/>
        <v>2</v>
      </c>
      <c r="K47" s="7">
        <f t="shared" si="2"/>
        <v>0</v>
      </c>
      <c r="L47" s="7">
        <f t="shared" si="2"/>
        <v>0</v>
      </c>
      <c r="M47" s="7">
        <f t="shared" si="2"/>
        <v>4</v>
      </c>
      <c r="N47" s="7">
        <f t="shared" si="2"/>
        <v>0</v>
      </c>
      <c r="O47" s="7">
        <f t="shared" si="2"/>
        <v>0</v>
      </c>
      <c r="P47" s="7">
        <f t="shared" si="2"/>
        <v>0</v>
      </c>
      <c r="Q47" s="7">
        <f t="shared" si="2"/>
        <v>0</v>
      </c>
      <c r="R47" s="7">
        <f t="shared" si="2"/>
        <v>1</v>
      </c>
      <c r="S47" s="7">
        <f t="shared" si="2"/>
        <v>0</v>
      </c>
      <c r="T47" s="7">
        <f t="shared" si="2"/>
        <v>0</v>
      </c>
      <c r="U47" s="7">
        <f t="shared" si="2"/>
        <v>0</v>
      </c>
      <c r="V47" s="7">
        <f t="shared" si="2"/>
        <v>0</v>
      </c>
      <c r="W47" s="7">
        <f t="shared" si="2"/>
        <v>0</v>
      </c>
      <c r="X47" s="7">
        <f t="shared" si="2"/>
        <v>0</v>
      </c>
      <c r="Y47" s="7">
        <f t="shared" si="2"/>
        <v>1</v>
      </c>
      <c r="Z47" s="7">
        <f t="shared" si="2"/>
        <v>2</v>
      </c>
      <c r="AA47" s="7">
        <f t="shared" si="2"/>
        <v>0</v>
      </c>
      <c r="AB47" s="7">
        <f t="shared" si="2"/>
        <v>0</v>
      </c>
      <c r="AC47" s="7">
        <f t="shared" si="2"/>
        <v>0</v>
      </c>
    </row>
    <row r="48" spans="1:29" x14ac:dyDescent="0.55000000000000004">
      <c r="A48" s="2" t="s">
        <v>30</v>
      </c>
      <c r="B48">
        <v>3</v>
      </c>
      <c r="D48" s="7">
        <f t="shared" ref="D48:S54" si="3">HLOOKUP(D$46,$D$13:$AC$21,$B48,FALSE)</f>
        <v>0</v>
      </c>
      <c r="E48" s="7">
        <f t="shared" si="3"/>
        <v>0</v>
      </c>
      <c r="F48" s="7">
        <f t="shared" si="3"/>
        <v>2</v>
      </c>
      <c r="G48" s="7">
        <f t="shared" si="3"/>
        <v>23</v>
      </c>
      <c r="H48" s="7">
        <f t="shared" si="3"/>
        <v>9</v>
      </c>
      <c r="I48" s="7">
        <f t="shared" si="3"/>
        <v>3</v>
      </c>
      <c r="J48" s="7">
        <f t="shared" si="3"/>
        <v>1</v>
      </c>
      <c r="K48" s="7">
        <f t="shared" si="3"/>
        <v>0</v>
      </c>
      <c r="L48" s="7">
        <f t="shared" si="3"/>
        <v>0</v>
      </c>
      <c r="M48" s="7">
        <f t="shared" si="3"/>
        <v>4</v>
      </c>
      <c r="N48" s="7">
        <f t="shared" si="3"/>
        <v>4</v>
      </c>
      <c r="O48" s="7">
        <f t="shared" si="3"/>
        <v>0</v>
      </c>
      <c r="P48" s="7">
        <f t="shared" si="3"/>
        <v>2</v>
      </c>
      <c r="Q48" s="7">
        <f t="shared" si="3"/>
        <v>4</v>
      </c>
      <c r="R48" s="7">
        <f t="shared" si="3"/>
        <v>2</v>
      </c>
      <c r="S48" s="7">
        <f t="shared" si="3"/>
        <v>0</v>
      </c>
      <c r="T48" s="7">
        <f t="shared" si="2"/>
        <v>2</v>
      </c>
      <c r="U48" s="7">
        <f t="shared" si="2"/>
        <v>4</v>
      </c>
      <c r="V48" s="7">
        <f t="shared" si="2"/>
        <v>2</v>
      </c>
      <c r="W48" s="7">
        <f t="shared" si="2"/>
        <v>2</v>
      </c>
      <c r="X48" s="7">
        <f t="shared" si="2"/>
        <v>0</v>
      </c>
      <c r="Y48" s="7">
        <f t="shared" si="2"/>
        <v>1</v>
      </c>
      <c r="Z48" s="7">
        <f t="shared" si="2"/>
        <v>14</v>
      </c>
      <c r="AA48" s="7">
        <f t="shared" si="2"/>
        <v>2</v>
      </c>
      <c r="AB48" s="7">
        <f t="shared" si="2"/>
        <v>0</v>
      </c>
      <c r="AC48" s="7">
        <f t="shared" si="2"/>
        <v>0</v>
      </c>
    </row>
    <row r="49" spans="1:29" x14ac:dyDescent="0.55000000000000004">
      <c r="A49" s="2" t="s">
        <v>31</v>
      </c>
      <c r="B49">
        <v>4</v>
      </c>
      <c r="D49" s="7">
        <f t="shared" si="3"/>
        <v>0</v>
      </c>
      <c r="E49" s="7">
        <f t="shared" si="2"/>
        <v>0</v>
      </c>
      <c r="F49" s="7">
        <f t="shared" si="2"/>
        <v>0</v>
      </c>
      <c r="G49" s="7">
        <f t="shared" si="2"/>
        <v>1</v>
      </c>
      <c r="H49" s="7">
        <f t="shared" si="2"/>
        <v>1</v>
      </c>
      <c r="I49" s="7">
        <f t="shared" si="2"/>
        <v>1</v>
      </c>
      <c r="J49" s="7">
        <f t="shared" si="2"/>
        <v>2</v>
      </c>
      <c r="K49" s="7">
        <f t="shared" si="2"/>
        <v>0</v>
      </c>
      <c r="L49" s="7">
        <f t="shared" si="2"/>
        <v>0</v>
      </c>
      <c r="M49" s="7">
        <f t="shared" si="2"/>
        <v>0</v>
      </c>
      <c r="N49" s="7">
        <f t="shared" si="2"/>
        <v>0</v>
      </c>
      <c r="O49" s="7">
        <f t="shared" si="2"/>
        <v>0</v>
      </c>
      <c r="P49" s="7">
        <f t="shared" si="2"/>
        <v>0</v>
      </c>
      <c r="Q49" s="7">
        <f t="shared" si="2"/>
        <v>0</v>
      </c>
      <c r="R49" s="7">
        <f t="shared" si="2"/>
        <v>0</v>
      </c>
      <c r="S49" s="7">
        <f t="shared" si="2"/>
        <v>0</v>
      </c>
      <c r="T49" s="7">
        <f t="shared" si="2"/>
        <v>0</v>
      </c>
      <c r="U49" s="7">
        <f t="shared" si="2"/>
        <v>0</v>
      </c>
      <c r="V49" s="7">
        <f t="shared" si="2"/>
        <v>0</v>
      </c>
      <c r="W49" s="7">
        <f t="shared" si="2"/>
        <v>0</v>
      </c>
      <c r="X49" s="7">
        <f t="shared" si="2"/>
        <v>0</v>
      </c>
      <c r="Y49" s="7">
        <f t="shared" si="2"/>
        <v>0</v>
      </c>
      <c r="Z49" s="7">
        <f t="shared" si="2"/>
        <v>1</v>
      </c>
      <c r="AA49" s="7">
        <f t="shared" si="2"/>
        <v>0</v>
      </c>
      <c r="AB49" s="7">
        <f t="shared" si="2"/>
        <v>0</v>
      </c>
      <c r="AC49" s="7">
        <f t="shared" si="2"/>
        <v>0</v>
      </c>
    </row>
    <row r="50" spans="1:29" x14ac:dyDescent="0.55000000000000004">
      <c r="A50" s="2" t="s">
        <v>32</v>
      </c>
      <c r="B50">
        <v>5</v>
      </c>
      <c r="D50" s="7">
        <f t="shared" si="3"/>
        <v>0</v>
      </c>
      <c r="E50" s="7">
        <f t="shared" si="2"/>
        <v>0</v>
      </c>
      <c r="F50" s="7">
        <f t="shared" si="2"/>
        <v>0</v>
      </c>
      <c r="G50" s="7">
        <f t="shared" si="2"/>
        <v>43</v>
      </c>
      <c r="H50" s="7">
        <f t="shared" si="2"/>
        <v>1</v>
      </c>
      <c r="I50" s="7">
        <f t="shared" si="2"/>
        <v>2</v>
      </c>
      <c r="J50" s="7">
        <f t="shared" si="2"/>
        <v>14</v>
      </c>
      <c r="K50" s="7">
        <f t="shared" si="2"/>
        <v>1</v>
      </c>
      <c r="L50" s="7">
        <f t="shared" si="2"/>
        <v>2</v>
      </c>
      <c r="M50" s="7">
        <f t="shared" si="2"/>
        <v>15</v>
      </c>
      <c r="N50" s="7">
        <f t="shared" si="2"/>
        <v>3</v>
      </c>
      <c r="O50" s="7">
        <f t="shared" si="2"/>
        <v>18</v>
      </c>
      <c r="P50" s="7">
        <f t="shared" si="2"/>
        <v>3</v>
      </c>
      <c r="Q50" s="7">
        <f t="shared" si="2"/>
        <v>11</v>
      </c>
      <c r="R50" s="7">
        <f t="shared" si="2"/>
        <v>2</v>
      </c>
      <c r="S50" s="7">
        <f t="shared" si="2"/>
        <v>5</v>
      </c>
      <c r="T50" s="7">
        <f t="shared" si="2"/>
        <v>2</v>
      </c>
      <c r="U50" s="7">
        <f t="shared" si="2"/>
        <v>5</v>
      </c>
      <c r="V50" s="7">
        <f t="shared" si="2"/>
        <v>6</v>
      </c>
      <c r="W50" s="7">
        <f t="shared" si="2"/>
        <v>15</v>
      </c>
      <c r="X50" s="7">
        <f t="shared" si="2"/>
        <v>9</v>
      </c>
      <c r="Y50" s="7">
        <f t="shared" si="2"/>
        <v>3</v>
      </c>
      <c r="Z50" s="7">
        <f t="shared" si="2"/>
        <v>13</v>
      </c>
      <c r="AA50" s="7">
        <f t="shared" si="2"/>
        <v>14</v>
      </c>
      <c r="AB50" s="7">
        <f t="shared" si="2"/>
        <v>0</v>
      </c>
      <c r="AC50" s="7">
        <f t="shared" si="2"/>
        <v>0</v>
      </c>
    </row>
    <row r="51" spans="1:29" x14ac:dyDescent="0.55000000000000004">
      <c r="A51" s="2" t="s">
        <v>33</v>
      </c>
      <c r="B51">
        <v>6</v>
      </c>
      <c r="D51" s="7">
        <f t="shared" si="3"/>
        <v>0</v>
      </c>
      <c r="E51" s="7">
        <f t="shared" si="2"/>
        <v>4</v>
      </c>
      <c r="F51" s="7">
        <f t="shared" si="2"/>
        <v>4</v>
      </c>
      <c r="G51" s="7">
        <f t="shared" si="2"/>
        <v>22</v>
      </c>
      <c r="H51" s="7">
        <f t="shared" si="2"/>
        <v>0</v>
      </c>
      <c r="I51" s="7">
        <f t="shared" si="2"/>
        <v>2</v>
      </c>
      <c r="J51" s="7">
        <f t="shared" si="2"/>
        <v>9</v>
      </c>
      <c r="K51" s="7">
        <f t="shared" si="2"/>
        <v>0</v>
      </c>
      <c r="L51" s="7">
        <f t="shared" si="2"/>
        <v>1</v>
      </c>
      <c r="M51" s="7">
        <f t="shared" si="2"/>
        <v>13</v>
      </c>
      <c r="N51" s="7">
        <f t="shared" si="2"/>
        <v>0</v>
      </c>
      <c r="O51" s="7">
        <f t="shared" si="2"/>
        <v>28</v>
      </c>
      <c r="P51" s="7">
        <f t="shared" si="2"/>
        <v>0</v>
      </c>
      <c r="Q51" s="7">
        <f t="shared" si="2"/>
        <v>6</v>
      </c>
      <c r="R51" s="7">
        <f t="shared" si="2"/>
        <v>4</v>
      </c>
      <c r="S51" s="7">
        <f t="shared" si="2"/>
        <v>23</v>
      </c>
      <c r="T51" s="7">
        <f t="shared" si="2"/>
        <v>0</v>
      </c>
      <c r="U51" s="7">
        <f t="shared" si="2"/>
        <v>14</v>
      </c>
      <c r="V51" s="7">
        <f t="shared" si="2"/>
        <v>1</v>
      </c>
      <c r="W51" s="7">
        <f t="shared" si="2"/>
        <v>14</v>
      </c>
      <c r="X51" s="7">
        <f t="shared" si="2"/>
        <v>0</v>
      </c>
      <c r="Y51" s="7">
        <f t="shared" si="2"/>
        <v>5</v>
      </c>
      <c r="Z51" s="7">
        <f t="shared" si="2"/>
        <v>6</v>
      </c>
      <c r="AA51" s="7">
        <f t="shared" si="2"/>
        <v>2</v>
      </c>
      <c r="AB51" s="7">
        <f t="shared" si="2"/>
        <v>0</v>
      </c>
      <c r="AC51" s="7">
        <f t="shared" si="2"/>
        <v>0</v>
      </c>
    </row>
    <row r="52" spans="1:29" x14ac:dyDescent="0.55000000000000004">
      <c r="A52" s="2" t="s">
        <v>34</v>
      </c>
      <c r="B52">
        <v>7</v>
      </c>
      <c r="D52" s="7">
        <f t="shared" si="3"/>
        <v>0</v>
      </c>
      <c r="E52" s="7">
        <f t="shared" si="2"/>
        <v>0</v>
      </c>
      <c r="F52" s="7">
        <f t="shared" si="2"/>
        <v>6</v>
      </c>
      <c r="G52" s="7">
        <f t="shared" si="2"/>
        <v>38</v>
      </c>
      <c r="H52" s="7">
        <f t="shared" si="2"/>
        <v>5</v>
      </c>
      <c r="I52" s="7">
        <f t="shared" si="2"/>
        <v>28</v>
      </c>
      <c r="J52" s="7">
        <f t="shared" si="2"/>
        <v>35</v>
      </c>
      <c r="K52" s="7">
        <f t="shared" si="2"/>
        <v>0</v>
      </c>
      <c r="L52" s="7">
        <f t="shared" si="2"/>
        <v>7</v>
      </c>
      <c r="M52" s="7">
        <f t="shared" si="2"/>
        <v>7</v>
      </c>
      <c r="N52" s="7">
        <f t="shared" si="2"/>
        <v>0</v>
      </c>
      <c r="O52" s="7">
        <f t="shared" si="2"/>
        <v>0</v>
      </c>
      <c r="P52" s="7">
        <f t="shared" si="2"/>
        <v>0</v>
      </c>
      <c r="Q52" s="7">
        <f t="shared" si="2"/>
        <v>0</v>
      </c>
      <c r="R52" s="7">
        <f t="shared" si="2"/>
        <v>11</v>
      </c>
      <c r="S52" s="7">
        <f t="shared" si="2"/>
        <v>0</v>
      </c>
      <c r="T52" s="7">
        <f t="shared" si="2"/>
        <v>3</v>
      </c>
      <c r="U52" s="7">
        <f t="shared" si="2"/>
        <v>6</v>
      </c>
      <c r="V52" s="7">
        <f t="shared" si="2"/>
        <v>34</v>
      </c>
      <c r="W52" s="7">
        <f t="shared" si="2"/>
        <v>8</v>
      </c>
      <c r="X52" s="7">
        <f t="shared" si="2"/>
        <v>4</v>
      </c>
      <c r="Y52" s="7">
        <f t="shared" si="2"/>
        <v>3</v>
      </c>
      <c r="Z52" s="7">
        <f t="shared" si="2"/>
        <v>0</v>
      </c>
      <c r="AA52" s="7">
        <f t="shared" si="2"/>
        <v>21</v>
      </c>
      <c r="AB52" s="7">
        <f t="shared" si="2"/>
        <v>0</v>
      </c>
      <c r="AC52" s="7">
        <f t="shared" si="2"/>
        <v>0</v>
      </c>
    </row>
    <row r="53" spans="1:29" x14ac:dyDescent="0.55000000000000004">
      <c r="A53" s="2" t="s">
        <v>35</v>
      </c>
      <c r="B53">
        <v>8</v>
      </c>
      <c r="D53" s="7">
        <f t="shared" si="3"/>
        <v>0</v>
      </c>
      <c r="E53" s="7">
        <f t="shared" si="2"/>
        <v>0</v>
      </c>
      <c r="F53" s="7">
        <f t="shared" si="2"/>
        <v>2</v>
      </c>
      <c r="G53" s="7">
        <f t="shared" si="2"/>
        <v>34</v>
      </c>
      <c r="H53" s="7">
        <f t="shared" si="2"/>
        <v>22</v>
      </c>
      <c r="I53" s="7">
        <f t="shared" si="2"/>
        <v>10</v>
      </c>
      <c r="J53" s="7">
        <f t="shared" si="2"/>
        <v>1</v>
      </c>
      <c r="K53" s="7">
        <f t="shared" si="2"/>
        <v>18</v>
      </c>
      <c r="L53" s="7">
        <f t="shared" si="2"/>
        <v>0</v>
      </c>
      <c r="M53" s="7">
        <f t="shared" si="2"/>
        <v>11</v>
      </c>
      <c r="N53" s="7">
        <f t="shared" si="2"/>
        <v>6</v>
      </c>
      <c r="O53" s="7">
        <f t="shared" si="2"/>
        <v>10</v>
      </c>
      <c r="P53" s="7">
        <f t="shared" si="2"/>
        <v>15</v>
      </c>
      <c r="Q53" s="7">
        <f t="shared" si="2"/>
        <v>3</v>
      </c>
      <c r="R53" s="7">
        <f t="shared" si="2"/>
        <v>2</v>
      </c>
      <c r="S53" s="7">
        <f t="shared" si="2"/>
        <v>6</v>
      </c>
      <c r="T53" s="7">
        <f t="shared" si="2"/>
        <v>2</v>
      </c>
      <c r="U53" s="7">
        <f t="shared" si="2"/>
        <v>1</v>
      </c>
      <c r="V53" s="7">
        <f t="shared" si="2"/>
        <v>4</v>
      </c>
      <c r="W53" s="7">
        <f t="shared" si="2"/>
        <v>4</v>
      </c>
      <c r="X53" s="7">
        <f t="shared" si="2"/>
        <v>8</v>
      </c>
      <c r="Y53" s="7">
        <f t="shared" si="2"/>
        <v>1</v>
      </c>
      <c r="Z53" s="7">
        <f t="shared" si="2"/>
        <v>29</v>
      </c>
      <c r="AA53" s="7">
        <f t="shared" si="2"/>
        <v>2</v>
      </c>
      <c r="AB53" s="7">
        <f t="shared" si="2"/>
        <v>0</v>
      </c>
      <c r="AC53" s="7">
        <f t="shared" si="2"/>
        <v>0</v>
      </c>
    </row>
    <row r="54" spans="1:29" x14ac:dyDescent="0.55000000000000004">
      <c r="A54" s="2" t="s">
        <v>36</v>
      </c>
      <c r="B54">
        <v>9</v>
      </c>
      <c r="D54" s="7">
        <f t="shared" si="3"/>
        <v>0</v>
      </c>
      <c r="E54" s="7">
        <f t="shared" si="2"/>
        <v>0</v>
      </c>
      <c r="F54" s="7">
        <f t="shared" si="2"/>
        <v>0</v>
      </c>
      <c r="G54" s="7">
        <f t="shared" si="2"/>
        <v>2</v>
      </c>
      <c r="H54" s="7">
        <f t="shared" si="2"/>
        <v>0</v>
      </c>
      <c r="I54" s="7">
        <f t="shared" si="2"/>
        <v>0</v>
      </c>
      <c r="J54" s="7">
        <f t="shared" si="2"/>
        <v>0</v>
      </c>
      <c r="K54" s="7">
        <f t="shared" si="2"/>
        <v>2</v>
      </c>
      <c r="L54" s="7">
        <f t="shared" si="2"/>
        <v>0</v>
      </c>
      <c r="M54" s="7">
        <f t="shared" si="2"/>
        <v>2</v>
      </c>
      <c r="N54" s="7">
        <f t="shared" si="2"/>
        <v>0</v>
      </c>
      <c r="O54" s="7">
        <f t="shared" si="2"/>
        <v>0</v>
      </c>
      <c r="P54" s="7">
        <f t="shared" si="2"/>
        <v>0</v>
      </c>
      <c r="Q54" s="7">
        <f t="shared" si="2"/>
        <v>0</v>
      </c>
      <c r="R54" s="7">
        <f t="shared" si="2"/>
        <v>0</v>
      </c>
      <c r="S54" s="7">
        <f t="shared" si="2"/>
        <v>0</v>
      </c>
      <c r="T54" s="7">
        <f t="shared" si="2"/>
        <v>0</v>
      </c>
      <c r="U54" s="7">
        <f t="shared" si="2"/>
        <v>0</v>
      </c>
      <c r="V54" s="7">
        <f t="shared" si="2"/>
        <v>0</v>
      </c>
      <c r="W54" s="7">
        <f t="shared" si="2"/>
        <v>0</v>
      </c>
      <c r="X54" s="7">
        <f t="shared" si="2"/>
        <v>0</v>
      </c>
      <c r="Y54" s="7">
        <f t="shared" si="2"/>
        <v>0</v>
      </c>
      <c r="Z54" s="7">
        <f t="shared" si="2"/>
        <v>0</v>
      </c>
      <c r="AA54" s="7">
        <f t="shared" si="2"/>
        <v>0</v>
      </c>
      <c r="AB54" s="7">
        <f t="shared" si="2"/>
        <v>0</v>
      </c>
      <c r="AC54" s="7">
        <f t="shared" si="2"/>
        <v>0</v>
      </c>
    </row>
    <row r="55" spans="1:29" x14ac:dyDescent="0.55000000000000004">
      <c r="A55" s="2"/>
    </row>
    <row r="56" spans="1:29" x14ac:dyDescent="0.55000000000000004">
      <c r="A56" s="1" t="s">
        <v>38</v>
      </c>
      <c r="B56" s="1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spans="1:29" x14ac:dyDescent="0.55000000000000004">
      <c r="A57" s="1" t="s">
        <v>28</v>
      </c>
      <c r="B57" s="1" t="s">
        <v>41</v>
      </c>
      <c r="D57" s="4" t="s">
        <v>20</v>
      </c>
      <c r="E57" s="4" t="s">
        <v>17</v>
      </c>
      <c r="F57" s="4" t="s">
        <v>16</v>
      </c>
      <c r="G57" s="4" t="s">
        <v>3</v>
      </c>
      <c r="H57" s="4" t="s">
        <v>14</v>
      </c>
      <c r="I57" s="4" t="s">
        <v>13</v>
      </c>
      <c r="J57" s="4" t="s">
        <v>11</v>
      </c>
      <c r="K57" s="4" t="s">
        <v>26</v>
      </c>
      <c r="L57" s="4" t="s">
        <v>9</v>
      </c>
      <c r="M57" s="4" t="s">
        <v>19</v>
      </c>
      <c r="N57" s="4" t="s">
        <v>27</v>
      </c>
      <c r="O57" s="4" t="s">
        <v>4</v>
      </c>
      <c r="P57" s="4" t="s">
        <v>25</v>
      </c>
      <c r="Q57" s="4" t="s">
        <v>8</v>
      </c>
      <c r="R57" s="4" t="s">
        <v>7</v>
      </c>
      <c r="S57" s="4" t="s">
        <v>18</v>
      </c>
      <c r="T57" s="4" t="s">
        <v>15</v>
      </c>
      <c r="U57" s="4" t="s">
        <v>12</v>
      </c>
      <c r="V57" s="4" t="s">
        <v>6</v>
      </c>
      <c r="W57" s="4" t="s">
        <v>21</v>
      </c>
      <c r="X57" s="4" t="s">
        <v>22</v>
      </c>
      <c r="Y57" s="4" t="s">
        <v>5</v>
      </c>
      <c r="Z57" s="4" t="s">
        <v>23</v>
      </c>
      <c r="AA57" s="4" t="s">
        <v>24</v>
      </c>
      <c r="AB57" s="4" t="s">
        <v>10</v>
      </c>
      <c r="AC57" s="4" t="s">
        <v>2</v>
      </c>
    </row>
    <row r="58" spans="1:29" x14ac:dyDescent="0.55000000000000004">
      <c r="A58" s="2" t="s">
        <v>29</v>
      </c>
      <c r="B58">
        <v>2</v>
      </c>
      <c r="D58" s="7">
        <f>HLOOKUP(D$57,$D$24:$AC$32,$B58,FALSE)</f>
        <v>0</v>
      </c>
      <c r="E58" s="7">
        <f t="shared" ref="E58:AC65" si="4">HLOOKUP(E$57,$D$24:$AC$32,$B58,FALSE)</f>
        <v>0</v>
      </c>
      <c r="F58" s="7">
        <f t="shared" si="4"/>
        <v>0</v>
      </c>
      <c r="G58" s="7">
        <f t="shared" si="4"/>
        <v>0</v>
      </c>
      <c r="H58" s="7">
        <f t="shared" si="4"/>
        <v>0</v>
      </c>
      <c r="I58" s="7">
        <f t="shared" si="4"/>
        <v>0</v>
      </c>
      <c r="J58" s="7">
        <f t="shared" si="4"/>
        <v>0</v>
      </c>
      <c r="K58" s="7">
        <f t="shared" si="4"/>
        <v>0</v>
      </c>
      <c r="L58" s="7">
        <f t="shared" si="4"/>
        <v>0</v>
      </c>
      <c r="M58" s="7">
        <f t="shared" si="4"/>
        <v>0</v>
      </c>
      <c r="N58" s="7">
        <f t="shared" si="4"/>
        <v>0</v>
      </c>
      <c r="O58" s="7">
        <f t="shared" si="4"/>
        <v>0</v>
      </c>
      <c r="P58" s="7">
        <f t="shared" si="4"/>
        <v>0</v>
      </c>
      <c r="Q58" s="7">
        <f t="shared" si="4"/>
        <v>0</v>
      </c>
      <c r="R58" s="7">
        <f t="shared" si="4"/>
        <v>1</v>
      </c>
      <c r="S58" s="7">
        <f t="shared" si="4"/>
        <v>0</v>
      </c>
      <c r="T58" s="7">
        <f t="shared" si="4"/>
        <v>0</v>
      </c>
      <c r="U58" s="7">
        <f t="shared" si="4"/>
        <v>0</v>
      </c>
      <c r="V58" s="7">
        <f t="shared" si="4"/>
        <v>0</v>
      </c>
      <c r="W58" s="7">
        <f t="shared" si="4"/>
        <v>0</v>
      </c>
      <c r="X58" s="7">
        <f t="shared" si="4"/>
        <v>0</v>
      </c>
      <c r="Y58" s="7">
        <f t="shared" si="4"/>
        <v>0</v>
      </c>
      <c r="Z58" s="7">
        <f t="shared" si="4"/>
        <v>0</v>
      </c>
      <c r="AA58" s="7">
        <f t="shared" si="4"/>
        <v>0</v>
      </c>
      <c r="AB58" s="7">
        <f t="shared" si="4"/>
        <v>0</v>
      </c>
      <c r="AC58" s="7">
        <f t="shared" si="4"/>
        <v>0</v>
      </c>
    </row>
    <row r="59" spans="1:29" x14ac:dyDescent="0.55000000000000004">
      <c r="A59" s="2" t="s">
        <v>30</v>
      </c>
      <c r="B59">
        <v>3</v>
      </c>
      <c r="D59" s="7">
        <f t="shared" ref="D59:D65" si="5">HLOOKUP(D$57,$D$24:$AC$32,$B59,FALSE)</f>
        <v>0</v>
      </c>
      <c r="E59" s="7">
        <f t="shared" si="4"/>
        <v>0</v>
      </c>
      <c r="F59" s="7">
        <f t="shared" si="4"/>
        <v>0</v>
      </c>
      <c r="G59" s="7">
        <f t="shared" si="4"/>
        <v>1</v>
      </c>
      <c r="H59" s="7">
        <f t="shared" si="4"/>
        <v>1</v>
      </c>
      <c r="I59" s="7">
        <f t="shared" si="4"/>
        <v>0</v>
      </c>
      <c r="J59" s="7">
        <f t="shared" si="4"/>
        <v>3</v>
      </c>
      <c r="K59" s="7">
        <f t="shared" si="4"/>
        <v>0</v>
      </c>
      <c r="L59" s="7">
        <f t="shared" si="4"/>
        <v>0</v>
      </c>
      <c r="M59" s="7">
        <f t="shared" si="4"/>
        <v>1</v>
      </c>
      <c r="N59" s="7">
        <f t="shared" si="4"/>
        <v>0</v>
      </c>
      <c r="O59" s="7">
        <f t="shared" si="4"/>
        <v>0</v>
      </c>
      <c r="P59" s="7">
        <f t="shared" si="4"/>
        <v>0</v>
      </c>
      <c r="Q59" s="7">
        <f t="shared" si="4"/>
        <v>0</v>
      </c>
      <c r="R59" s="7">
        <f t="shared" si="4"/>
        <v>0</v>
      </c>
      <c r="S59" s="7">
        <f t="shared" si="4"/>
        <v>0</v>
      </c>
      <c r="T59" s="7">
        <f t="shared" si="4"/>
        <v>0</v>
      </c>
      <c r="U59" s="7">
        <f t="shared" si="4"/>
        <v>1</v>
      </c>
      <c r="V59" s="7">
        <f t="shared" si="4"/>
        <v>1</v>
      </c>
      <c r="W59" s="7">
        <f t="shared" si="4"/>
        <v>2</v>
      </c>
      <c r="X59" s="7">
        <f t="shared" si="4"/>
        <v>0</v>
      </c>
      <c r="Y59" s="7">
        <f t="shared" si="4"/>
        <v>0</v>
      </c>
      <c r="Z59" s="7">
        <f t="shared" si="4"/>
        <v>2</v>
      </c>
      <c r="AA59" s="7">
        <f t="shared" si="4"/>
        <v>0</v>
      </c>
      <c r="AB59" s="7">
        <f t="shared" si="4"/>
        <v>0</v>
      </c>
      <c r="AC59" s="7">
        <f t="shared" si="4"/>
        <v>0</v>
      </c>
    </row>
    <row r="60" spans="1:29" x14ac:dyDescent="0.55000000000000004">
      <c r="A60" s="2" t="s">
        <v>31</v>
      </c>
      <c r="B60">
        <v>4</v>
      </c>
      <c r="D60" s="7">
        <f t="shared" si="5"/>
        <v>0</v>
      </c>
      <c r="E60" s="7">
        <f t="shared" si="4"/>
        <v>0</v>
      </c>
      <c r="F60" s="7">
        <f t="shared" si="4"/>
        <v>0</v>
      </c>
      <c r="G60" s="7">
        <f t="shared" si="4"/>
        <v>1</v>
      </c>
      <c r="H60" s="7">
        <f t="shared" si="4"/>
        <v>1</v>
      </c>
      <c r="I60" s="7">
        <f t="shared" si="4"/>
        <v>0</v>
      </c>
      <c r="J60" s="7">
        <f t="shared" si="4"/>
        <v>1</v>
      </c>
      <c r="K60" s="7">
        <f t="shared" si="4"/>
        <v>0</v>
      </c>
      <c r="L60" s="7">
        <f t="shared" si="4"/>
        <v>0</v>
      </c>
      <c r="M60" s="7">
        <f t="shared" si="4"/>
        <v>4</v>
      </c>
      <c r="N60" s="7">
        <f t="shared" si="4"/>
        <v>1</v>
      </c>
      <c r="O60" s="7">
        <f t="shared" si="4"/>
        <v>0</v>
      </c>
      <c r="P60" s="7">
        <f t="shared" si="4"/>
        <v>0</v>
      </c>
      <c r="Q60" s="7">
        <f t="shared" si="4"/>
        <v>0</v>
      </c>
      <c r="R60" s="7">
        <f t="shared" si="4"/>
        <v>0</v>
      </c>
      <c r="S60" s="7">
        <f t="shared" si="4"/>
        <v>2</v>
      </c>
      <c r="T60" s="7">
        <f t="shared" si="4"/>
        <v>0</v>
      </c>
      <c r="U60" s="7">
        <f t="shared" si="4"/>
        <v>0</v>
      </c>
      <c r="V60" s="7">
        <f t="shared" si="4"/>
        <v>1</v>
      </c>
      <c r="W60" s="7">
        <f t="shared" si="4"/>
        <v>1</v>
      </c>
      <c r="X60" s="7">
        <f t="shared" si="4"/>
        <v>0</v>
      </c>
      <c r="Y60" s="7">
        <f t="shared" si="4"/>
        <v>0</v>
      </c>
      <c r="Z60" s="7">
        <f t="shared" si="4"/>
        <v>3</v>
      </c>
      <c r="AA60" s="7">
        <f t="shared" si="4"/>
        <v>1</v>
      </c>
      <c r="AB60" s="7">
        <f t="shared" si="4"/>
        <v>0</v>
      </c>
      <c r="AC60" s="7">
        <f t="shared" si="4"/>
        <v>0</v>
      </c>
    </row>
    <row r="61" spans="1:29" x14ac:dyDescent="0.55000000000000004">
      <c r="A61" s="2" t="s">
        <v>32</v>
      </c>
      <c r="B61">
        <v>5</v>
      </c>
      <c r="D61" s="7">
        <f t="shared" si="5"/>
        <v>0</v>
      </c>
      <c r="E61" s="7">
        <f t="shared" si="4"/>
        <v>0</v>
      </c>
      <c r="F61" s="7">
        <f t="shared" si="4"/>
        <v>0</v>
      </c>
      <c r="G61" s="7">
        <f t="shared" si="4"/>
        <v>6</v>
      </c>
      <c r="H61" s="7">
        <f t="shared" si="4"/>
        <v>0</v>
      </c>
      <c r="I61" s="7">
        <f t="shared" si="4"/>
        <v>0</v>
      </c>
      <c r="J61" s="7">
        <f t="shared" si="4"/>
        <v>2</v>
      </c>
      <c r="K61" s="7">
        <f t="shared" si="4"/>
        <v>3</v>
      </c>
      <c r="L61" s="7">
        <f t="shared" si="4"/>
        <v>1</v>
      </c>
      <c r="M61" s="7">
        <f t="shared" si="4"/>
        <v>2</v>
      </c>
      <c r="N61" s="7">
        <f t="shared" si="4"/>
        <v>0</v>
      </c>
      <c r="O61" s="7">
        <f t="shared" si="4"/>
        <v>0</v>
      </c>
      <c r="P61" s="7">
        <f t="shared" si="4"/>
        <v>1</v>
      </c>
      <c r="Q61" s="7">
        <f t="shared" si="4"/>
        <v>0</v>
      </c>
      <c r="R61" s="7">
        <f t="shared" si="4"/>
        <v>0</v>
      </c>
      <c r="S61" s="7">
        <f t="shared" si="4"/>
        <v>3</v>
      </c>
      <c r="T61" s="7">
        <f t="shared" si="4"/>
        <v>0</v>
      </c>
      <c r="U61" s="7">
        <f t="shared" si="4"/>
        <v>0</v>
      </c>
      <c r="V61" s="7">
        <f t="shared" si="4"/>
        <v>0</v>
      </c>
      <c r="W61" s="7">
        <f t="shared" si="4"/>
        <v>5</v>
      </c>
      <c r="X61" s="7">
        <f t="shared" si="4"/>
        <v>0</v>
      </c>
      <c r="Y61" s="7">
        <f t="shared" si="4"/>
        <v>0</v>
      </c>
      <c r="Z61" s="7">
        <f t="shared" si="4"/>
        <v>1</v>
      </c>
      <c r="AA61" s="7">
        <f t="shared" si="4"/>
        <v>2</v>
      </c>
      <c r="AB61" s="7">
        <f t="shared" si="4"/>
        <v>0</v>
      </c>
      <c r="AC61" s="7">
        <f t="shared" si="4"/>
        <v>0</v>
      </c>
    </row>
    <row r="62" spans="1:29" x14ac:dyDescent="0.55000000000000004">
      <c r="A62" s="2" t="s">
        <v>33</v>
      </c>
      <c r="B62">
        <v>6</v>
      </c>
      <c r="D62" s="7">
        <f t="shared" si="5"/>
        <v>0</v>
      </c>
      <c r="E62" s="7">
        <f t="shared" si="4"/>
        <v>0</v>
      </c>
      <c r="F62" s="7">
        <f t="shared" si="4"/>
        <v>0</v>
      </c>
      <c r="G62" s="7">
        <f t="shared" si="4"/>
        <v>2</v>
      </c>
      <c r="H62" s="7">
        <f t="shared" si="4"/>
        <v>0</v>
      </c>
      <c r="I62" s="7">
        <f t="shared" si="4"/>
        <v>0</v>
      </c>
      <c r="J62" s="7">
        <f t="shared" si="4"/>
        <v>2</v>
      </c>
      <c r="K62" s="7">
        <f t="shared" si="4"/>
        <v>0</v>
      </c>
      <c r="L62" s="7">
        <f t="shared" si="4"/>
        <v>0</v>
      </c>
      <c r="M62" s="7">
        <f t="shared" si="4"/>
        <v>3</v>
      </c>
      <c r="N62" s="7">
        <f t="shared" si="4"/>
        <v>0</v>
      </c>
      <c r="O62" s="7">
        <f t="shared" si="4"/>
        <v>0</v>
      </c>
      <c r="P62" s="7">
        <f t="shared" si="4"/>
        <v>0</v>
      </c>
      <c r="Q62" s="7">
        <f t="shared" si="4"/>
        <v>0</v>
      </c>
      <c r="R62" s="7">
        <f t="shared" si="4"/>
        <v>0</v>
      </c>
      <c r="S62" s="7">
        <f t="shared" si="4"/>
        <v>5</v>
      </c>
      <c r="T62" s="7">
        <f t="shared" si="4"/>
        <v>1</v>
      </c>
      <c r="U62" s="7">
        <f t="shared" si="4"/>
        <v>0</v>
      </c>
      <c r="V62" s="7">
        <f t="shared" si="4"/>
        <v>0</v>
      </c>
      <c r="W62" s="7">
        <f t="shared" si="4"/>
        <v>5</v>
      </c>
      <c r="X62" s="7">
        <f t="shared" si="4"/>
        <v>0</v>
      </c>
      <c r="Y62" s="7">
        <f t="shared" si="4"/>
        <v>0</v>
      </c>
      <c r="Z62" s="7">
        <f t="shared" si="4"/>
        <v>1</v>
      </c>
      <c r="AA62" s="7">
        <f t="shared" si="4"/>
        <v>0</v>
      </c>
      <c r="AB62" s="7">
        <f t="shared" si="4"/>
        <v>0</v>
      </c>
      <c r="AC62" s="7">
        <f t="shared" si="4"/>
        <v>0</v>
      </c>
    </row>
    <row r="63" spans="1:29" x14ac:dyDescent="0.55000000000000004">
      <c r="A63" s="2" t="s">
        <v>34</v>
      </c>
      <c r="B63">
        <v>7</v>
      </c>
      <c r="D63" s="7">
        <f t="shared" si="5"/>
        <v>0</v>
      </c>
      <c r="E63" s="7">
        <f t="shared" si="4"/>
        <v>0</v>
      </c>
      <c r="F63" s="7">
        <f t="shared" si="4"/>
        <v>0</v>
      </c>
      <c r="G63" s="7">
        <f t="shared" si="4"/>
        <v>15</v>
      </c>
      <c r="H63" s="7">
        <f t="shared" si="4"/>
        <v>1</v>
      </c>
      <c r="I63" s="7">
        <f t="shared" si="4"/>
        <v>2</v>
      </c>
      <c r="J63" s="7">
        <f t="shared" si="4"/>
        <v>16</v>
      </c>
      <c r="K63" s="7">
        <f t="shared" si="4"/>
        <v>0</v>
      </c>
      <c r="L63" s="7">
        <f t="shared" si="4"/>
        <v>2</v>
      </c>
      <c r="M63" s="7">
        <f t="shared" si="4"/>
        <v>5</v>
      </c>
      <c r="N63" s="7">
        <f t="shared" si="4"/>
        <v>0</v>
      </c>
      <c r="O63" s="7">
        <f t="shared" si="4"/>
        <v>0</v>
      </c>
      <c r="P63" s="7">
        <f t="shared" si="4"/>
        <v>1</v>
      </c>
      <c r="Q63" s="7">
        <f t="shared" si="4"/>
        <v>0</v>
      </c>
      <c r="R63" s="7">
        <f t="shared" si="4"/>
        <v>1</v>
      </c>
      <c r="S63" s="7">
        <f t="shared" si="4"/>
        <v>0</v>
      </c>
      <c r="T63" s="7">
        <f t="shared" si="4"/>
        <v>5</v>
      </c>
      <c r="U63" s="7">
        <f t="shared" si="4"/>
        <v>0</v>
      </c>
      <c r="V63" s="7">
        <f t="shared" si="4"/>
        <v>5</v>
      </c>
      <c r="W63" s="7">
        <f t="shared" si="4"/>
        <v>10</v>
      </c>
      <c r="X63" s="7">
        <f t="shared" si="4"/>
        <v>1</v>
      </c>
      <c r="Y63" s="7">
        <f t="shared" si="4"/>
        <v>0</v>
      </c>
      <c r="Z63" s="7">
        <f t="shared" si="4"/>
        <v>0</v>
      </c>
      <c r="AA63" s="7">
        <f t="shared" si="4"/>
        <v>4</v>
      </c>
      <c r="AB63" s="7">
        <f t="shared" si="4"/>
        <v>0</v>
      </c>
      <c r="AC63" s="7">
        <f t="shared" si="4"/>
        <v>0</v>
      </c>
    </row>
    <row r="64" spans="1:29" x14ac:dyDescent="0.55000000000000004">
      <c r="A64" s="2" t="s">
        <v>35</v>
      </c>
      <c r="B64">
        <v>8</v>
      </c>
      <c r="D64" s="7">
        <f t="shared" si="5"/>
        <v>0</v>
      </c>
      <c r="E64" s="7">
        <f t="shared" si="4"/>
        <v>0</v>
      </c>
      <c r="F64" s="7">
        <f t="shared" si="4"/>
        <v>0</v>
      </c>
      <c r="G64" s="7">
        <f t="shared" si="4"/>
        <v>0</v>
      </c>
      <c r="H64" s="7">
        <f t="shared" si="4"/>
        <v>0</v>
      </c>
      <c r="I64" s="7">
        <f t="shared" si="4"/>
        <v>0</v>
      </c>
      <c r="J64" s="7">
        <f t="shared" si="4"/>
        <v>1</v>
      </c>
      <c r="K64" s="7">
        <f t="shared" si="4"/>
        <v>0</v>
      </c>
      <c r="L64" s="7">
        <f t="shared" si="4"/>
        <v>0</v>
      </c>
      <c r="M64" s="7">
        <f t="shared" si="4"/>
        <v>0</v>
      </c>
      <c r="N64" s="7">
        <f t="shared" si="4"/>
        <v>3</v>
      </c>
      <c r="O64" s="7">
        <f t="shared" si="4"/>
        <v>2</v>
      </c>
      <c r="P64" s="7">
        <f t="shared" si="4"/>
        <v>1</v>
      </c>
      <c r="Q64" s="7">
        <f t="shared" si="4"/>
        <v>0</v>
      </c>
      <c r="R64" s="7">
        <f t="shared" si="4"/>
        <v>0</v>
      </c>
      <c r="S64" s="7">
        <f t="shared" si="4"/>
        <v>0</v>
      </c>
      <c r="T64" s="7">
        <f t="shared" si="4"/>
        <v>0</v>
      </c>
      <c r="U64" s="7">
        <f t="shared" si="4"/>
        <v>0</v>
      </c>
      <c r="V64" s="7">
        <f t="shared" si="4"/>
        <v>0</v>
      </c>
      <c r="W64" s="7">
        <f t="shared" si="4"/>
        <v>0</v>
      </c>
      <c r="X64" s="7">
        <f t="shared" si="4"/>
        <v>0</v>
      </c>
      <c r="Y64" s="7">
        <f t="shared" si="4"/>
        <v>0</v>
      </c>
      <c r="Z64" s="7">
        <f t="shared" si="4"/>
        <v>2</v>
      </c>
      <c r="AA64" s="7">
        <f t="shared" si="4"/>
        <v>0</v>
      </c>
      <c r="AB64" s="7">
        <f t="shared" si="4"/>
        <v>0</v>
      </c>
      <c r="AC64" s="7">
        <f t="shared" si="4"/>
        <v>0</v>
      </c>
    </row>
    <row r="65" spans="1:30" x14ac:dyDescent="0.55000000000000004">
      <c r="A65" s="2" t="s">
        <v>36</v>
      </c>
      <c r="B65">
        <v>9</v>
      </c>
      <c r="D65" s="7">
        <f t="shared" si="5"/>
        <v>0</v>
      </c>
      <c r="E65" s="7">
        <f t="shared" si="4"/>
        <v>0</v>
      </c>
      <c r="F65" s="7">
        <f t="shared" si="4"/>
        <v>0</v>
      </c>
      <c r="G65" s="7">
        <f t="shared" si="4"/>
        <v>0</v>
      </c>
      <c r="H65" s="7">
        <f t="shared" si="4"/>
        <v>0</v>
      </c>
      <c r="I65" s="7">
        <f t="shared" si="4"/>
        <v>0</v>
      </c>
      <c r="J65" s="7">
        <f t="shared" si="4"/>
        <v>0</v>
      </c>
      <c r="K65" s="7">
        <f t="shared" si="4"/>
        <v>0</v>
      </c>
      <c r="L65" s="7">
        <f t="shared" si="4"/>
        <v>0</v>
      </c>
      <c r="M65" s="7">
        <f t="shared" si="4"/>
        <v>0</v>
      </c>
      <c r="N65" s="7">
        <f t="shared" si="4"/>
        <v>0</v>
      </c>
      <c r="O65" s="7">
        <f t="shared" si="4"/>
        <v>0</v>
      </c>
      <c r="P65" s="7">
        <f t="shared" si="4"/>
        <v>0</v>
      </c>
      <c r="Q65" s="7">
        <f t="shared" si="4"/>
        <v>0</v>
      </c>
      <c r="R65" s="7">
        <f t="shared" si="4"/>
        <v>0</v>
      </c>
      <c r="S65" s="7">
        <f t="shared" si="4"/>
        <v>0</v>
      </c>
      <c r="T65" s="7">
        <f t="shared" si="4"/>
        <v>0</v>
      </c>
      <c r="U65" s="7">
        <f t="shared" si="4"/>
        <v>0</v>
      </c>
      <c r="V65" s="7">
        <f t="shared" si="4"/>
        <v>0</v>
      </c>
      <c r="W65" s="7">
        <f t="shared" si="4"/>
        <v>0</v>
      </c>
      <c r="X65" s="7">
        <f t="shared" si="4"/>
        <v>0</v>
      </c>
      <c r="Y65" s="7">
        <f t="shared" si="4"/>
        <v>0</v>
      </c>
      <c r="Z65" s="7">
        <f t="shared" si="4"/>
        <v>0</v>
      </c>
      <c r="AA65" s="7">
        <f t="shared" si="4"/>
        <v>0</v>
      </c>
      <c r="AB65" s="7">
        <f t="shared" si="4"/>
        <v>0</v>
      </c>
      <c r="AC65" s="7">
        <f t="shared" si="4"/>
        <v>0</v>
      </c>
    </row>
    <row r="67" spans="1:30" x14ac:dyDescent="0.55000000000000004">
      <c r="C67" t="s">
        <v>56</v>
      </c>
      <c r="D67" s="5">
        <f>SUM(D39:D40)</f>
        <v>0</v>
      </c>
      <c r="E67" s="5">
        <f t="shared" ref="E67:AC67" si="6">SUM(E39:E40)</f>
        <v>17</v>
      </c>
      <c r="F67" s="5">
        <f t="shared" si="6"/>
        <v>15</v>
      </c>
      <c r="G67" s="5">
        <f t="shared" si="6"/>
        <v>444</v>
      </c>
      <c r="H67" s="5">
        <f t="shared" si="6"/>
        <v>37</v>
      </c>
      <c r="I67" s="5">
        <f t="shared" si="6"/>
        <v>27</v>
      </c>
      <c r="J67" s="5">
        <f t="shared" si="6"/>
        <v>225</v>
      </c>
      <c r="K67" s="5">
        <f t="shared" si="6"/>
        <v>123</v>
      </c>
      <c r="L67" s="5">
        <f t="shared" si="6"/>
        <v>39</v>
      </c>
      <c r="M67" s="5">
        <f t="shared" si="6"/>
        <v>106</v>
      </c>
      <c r="N67" s="5">
        <f t="shared" si="6"/>
        <v>26</v>
      </c>
      <c r="O67" s="5">
        <f t="shared" si="6"/>
        <v>105</v>
      </c>
      <c r="P67" s="5">
        <f t="shared" si="6"/>
        <v>9</v>
      </c>
      <c r="Q67" s="5">
        <f t="shared" si="6"/>
        <v>22</v>
      </c>
      <c r="R67" s="5">
        <f t="shared" si="6"/>
        <v>8</v>
      </c>
      <c r="S67" s="5">
        <f t="shared" si="6"/>
        <v>435</v>
      </c>
      <c r="T67" s="5">
        <f t="shared" si="6"/>
        <v>44</v>
      </c>
      <c r="U67" s="5">
        <f t="shared" si="6"/>
        <v>66</v>
      </c>
      <c r="V67" s="5">
        <f t="shared" si="6"/>
        <v>21</v>
      </c>
      <c r="W67" s="5">
        <f t="shared" si="6"/>
        <v>219</v>
      </c>
      <c r="X67" s="5">
        <f t="shared" si="6"/>
        <v>136</v>
      </c>
      <c r="Y67" s="5">
        <f t="shared" si="6"/>
        <v>16</v>
      </c>
      <c r="Z67" s="5">
        <f t="shared" si="6"/>
        <v>301</v>
      </c>
      <c r="AA67" s="5">
        <f t="shared" si="6"/>
        <v>136</v>
      </c>
      <c r="AB67" s="5">
        <f t="shared" si="6"/>
        <v>0</v>
      </c>
      <c r="AC67" s="5">
        <f t="shared" si="6"/>
        <v>0</v>
      </c>
      <c r="AD67" s="7"/>
    </row>
    <row r="68" spans="1:30" x14ac:dyDescent="0.55000000000000004">
      <c r="C68" t="s">
        <v>58</v>
      </c>
      <c r="D68" s="5">
        <f>SUM(D50:D51)</f>
        <v>0</v>
      </c>
      <c r="E68" s="5">
        <f t="shared" ref="E68:AC68" si="7">SUM(E50:E51)</f>
        <v>4</v>
      </c>
      <c r="F68" s="5">
        <f t="shared" si="7"/>
        <v>4</v>
      </c>
      <c r="G68" s="5">
        <f t="shared" si="7"/>
        <v>65</v>
      </c>
      <c r="H68" s="5">
        <f t="shared" si="7"/>
        <v>1</v>
      </c>
      <c r="I68" s="5">
        <f t="shared" si="7"/>
        <v>4</v>
      </c>
      <c r="J68" s="5">
        <f t="shared" si="7"/>
        <v>23</v>
      </c>
      <c r="K68" s="5">
        <f t="shared" si="7"/>
        <v>1</v>
      </c>
      <c r="L68" s="5">
        <f t="shared" si="7"/>
        <v>3</v>
      </c>
      <c r="M68" s="5">
        <f t="shared" si="7"/>
        <v>28</v>
      </c>
      <c r="N68" s="5">
        <f t="shared" si="7"/>
        <v>3</v>
      </c>
      <c r="O68" s="5">
        <f t="shared" si="7"/>
        <v>46</v>
      </c>
      <c r="P68" s="5">
        <f t="shared" si="7"/>
        <v>3</v>
      </c>
      <c r="Q68" s="5">
        <f t="shared" si="7"/>
        <v>17</v>
      </c>
      <c r="R68" s="5">
        <f t="shared" si="7"/>
        <v>6</v>
      </c>
      <c r="S68" s="5">
        <f t="shared" si="7"/>
        <v>28</v>
      </c>
      <c r="T68" s="5">
        <f t="shared" si="7"/>
        <v>2</v>
      </c>
      <c r="U68" s="5">
        <f t="shared" si="7"/>
        <v>19</v>
      </c>
      <c r="V68" s="5">
        <f t="shared" si="7"/>
        <v>7</v>
      </c>
      <c r="W68" s="5">
        <f t="shared" si="7"/>
        <v>29</v>
      </c>
      <c r="X68" s="5">
        <f t="shared" si="7"/>
        <v>9</v>
      </c>
      <c r="Y68" s="5">
        <f t="shared" si="7"/>
        <v>8</v>
      </c>
      <c r="Z68" s="5">
        <f t="shared" si="7"/>
        <v>19</v>
      </c>
      <c r="AA68" s="5">
        <f t="shared" si="7"/>
        <v>16</v>
      </c>
      <c r="AB68" s="5">
        <f t="shared" si="7"/>
        <v>0</v>
      </c>
      <c r="AC68" s="5">
        <f t="shared" si="7"/>
        <v>0</v>
      </c>
      <c r="AD68" s="7"/>
    </row>
    <row r="69" spans="1:30" x14ac:dyDescent="0.55000000000000004">
      <c r="C69" t="s">
        <v>57</v>
      </c>
      <c r="D69" s="5">
        <f>SUM(D61:D62)</f>
        <v>0</v>
      </c>
      <c r="E69" s="5">
        <f t="shared" ref="E69:AC69" si="8">SUM(E61:E62)</f>
        <v>0</v>
      </c>
      <c r="F69" s="5">
        <f t="shared" si="8"/>
        <v>0</v>
      </c>
      <c r="G69" s="5">
        <f t="shared" si="8"/>
        <v>8</v>
      </c>
      <c r="H69" s="5">
        <f t="shared" si="8"/>
        <v>0</v>
      </c>
      <c r="I69" s="5">
        <f t="shared" si="8"/>
        <v>0</v>
      </c>
      <c r="J69" s="5">
        <f t="shared" si="8"/>
        <v>4</v>
      </c>
      <c r="K69" s="5">
        <f t="shared" si="8"/>
        <v>3</v>
      </c>
      <c r="L69" s="5">
        <f t="shared" si="8"/>
        <v>1</v>
      </c>
      <c r="M69" s="5">
        <f t="shared" si="8"/>
        <v>5</v>
      </c>
      <c r="N69" s="5">
        <f t="shared" si="8"/>
        <v>0</v>
      </c>
      <c r="O69" s="5">
        <f t="shared" si="8"/>
        <v>0</v>
      </c>
      <c r="P69" s="5">
        <f t="shared" si="8"/>
        <v>1</v>
      </c>
      <c r="Q69" s="5">
        <f t="shared" si="8"/>
        <v>0</v>
      </c>
      <c r="R69" s="5">
        <f t="shared" si="8"/>
        <v>0</v>
      </c>
      <c r="S69" s="5">
        <f t="shared" si="8"/>
        <v>8</v>
      </c>
      <c r="T69" s="5">
        <f t="shared" si="8"/>
        <v>1</v>
      </c>
      <c r="U69" s="5">
        <f t="shared" si="8"/>
        <v>0</v>
      </c>
      <c r="V69" s="5">
        <f t="shared" si="8"/>
        <v>0</v>
      </c>
      <c r="W69" s="5">
        <f t="shared" si="8"/>
        <v>10</v>
      </c>
      <c r="X69" s="5">
        <f t="shared" si="8"/>
        <v>0</v>
      </c>
      <c r="Y69" s="5">
        <f t="shared" si="8"/>
        <v>0</v>
      </c>
      <c r="Z69" s="5">
        <f t="shared" si="8"/>
        <v>2</v>
      </c>
      <c r="AA69" s="5">
        <f t="shared" si="8"/>
        <v>2</v>
      </c>
      <c r="AB69" s="5">
        <f t="shared" si="8"/>
        <v>0</v>
      </c>
      <c r="AC69" s="5">
        <f t="shared" si="8"/>
        <v>0</v>
      </c>
      <c r="AD69" s="7"/>
    </row>
    <row r="70" spans="1:30" x14ac:dyDescent="0.55000000000000004"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</row>
    <row r="71" spans="1:30" x14ac:dyDescent="0.55000000000000004">
      <c r="C71" t="s">
        <v>43</v>
      </c>
      <c r="D71" s="7">
        <f>SUM(D36:D43,D47:D54,D58:D65)</f>
        <v>0</v>
      </c>
      <c r="E71" s="7">
        <f t="shared" ref="E71:AC71" si="9">SUM(E36:E43,E47:E54,E58:E65)</f>
        <v>25</v>
      </c>
      <c r="F71" s="7">
        <f t="shared" si="9"/>
        <v>52</v>
      </c>
      <c r="G71" s="7">
        <f t="shared" si="9"/>
        <v>836</v>
      </c>
      <c r="H71" s="7">
        <f t="shared" si="9"/>
        <v>125</v>
      </c>
      <c r="I71" s="7">
        <f t="shared" si="9"/>
        <v>126</v>
      </c>
      <c r="J71" s="7">
        <f t="shared" si="9"/>
        <v>395</v>
      </c>
      <c r="K71" s="7">
        <f t="shared" si="9"/>
        <v>171</v>
      </c>
      <c r="L71" s="7">
        <f t="shared" si="9"/>
        <v>69</v>
      </c>
      <c r="M71" s="7">
        <f t="shared" si="9"/>
        <v>210</v>
      </c>
      <c r="N71" s="7">
        <f t="shared" si="9"/>
        <v>86</v>
      </c>
      <c r="O71" s="7">
        <f t="shared" si="9"/>
        <v>177</v>
      </c>
      <c r="P71" s="7">
        <f t="shared" si="9"/>
        <v>66</v>
      </c>
      <c r="Q71" s="7">
        <f t="shared" si="9"/>
        <v>48</v>
      </c>
      <c r="R71" s="7">
        <f t="shared" si="9"/>
        <v>43</v>
      </c>
      <c r="S71" s="7">
        <f t="shared" si="9"/>
        <v>514</v>
      </c>
      <c r="T71" s="7">
        <f t="shared" si="9"/>
        <v>91</v>
      </c>
      <c r="U71" s="7">
        <f t="shared" si="9"/>
        <v>141</v>
      </c>
      <c r="V71" s="7">
        <f t="shared" si="9"/>
        <v>121</v>
      </c>
      <c r="W71" s="7">
        <f t="shared" si="9"/>
        <v>344</v>
      </c>
      <c r="X71" s="7">
        <f t="shared" si="9"/>
        <v>192</v>
      </c>
      <c r="Y71" s="7">
        <f t="shared" si="9"/>
        <v>37</v>
      </c>
      <c r="Z71" s="7">
        <f t="shared" si="9"/>
        <v>562</v>
      </c>
      <c r="AA71" s="7">
        <f t="shared" si="9"/>
        <v>193</v>
      </c>
      <c r="AB71" s="7">
        <f t="shared" si="9"/>
        <v>0</v>
      </c>
      <c r="AC71" s="7">
        <f t="shared" si="9"/>
        <v>0</v>
      </c>
      <c r="AD71" s="7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B28B2-8B36-40B8-A584-932CBDE0E0F8}">
  <dimension ref="A1:AC112"/>
  <sheetViews>
    <sheetView topLeftCell="A59" workbookViewId="0">
      <selection activeCell="C71" sqref="C71:AC73"/>
    </sheetView>
  </sheetViews>
  <sheetFormatPr defaultRowHeight="14.4" x14ac:dyDescent="0.55000000000000004"/>
  <cols>
    <col min="1" max="1" width="34.578125" customWidth="1"/>
    <col min="2" max="2" width="3.89453125" bestFit="1" customWidth="1"/>
  </cols>
  <sheetData>
    <row r="1" spans="1:29" x14ac:dyDescent="0.55000000000000004">
      <c r="A1" s="1" t="s">
        <v>37</v>
      </c>
      <c r="B1" s="2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x14ac:dyDescent="0.55000000000000004">
      <c r="A2" s="1" t="s">
        <v>28</v>
      </c>
      <c r="B2" s="1" t="s">
        <v>40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  <c r="L2" s="6" t="s">
        <v>10</v>
      </c>
      <c r="M2" s="6" t="s">
        <v>11</v>
      </c>
      <c r="N2" s="6" t="s">
        <v>12</v>
      </c>
      <c r="O2" s="6" t="s">
        <v>13</v>
      </c>
      <c r="P2" s="6" t="s">
        <v>14</v>
      </c>
      <c r="Q2" s="6" t="s">
        <v>15</v>
      </c>
      <c r="R2" s="6" t="s">
        <v>16</v>
      </c>
      <c r="S2" s="6" t="s">
        <v>17</v>
      </c>
      <c r="T2" s="6" t="s">
        <v>18</v>
      </c>
      <c r="U2" s="6" t="s">
        <v>19</v>
      </c>
      <c r="V2" s="6" t="s">
        <v>20</v>
      </c>
      <c r="W2" s="6" t="s">
        <v>21</v>
      </c>
      <c r="X2" s="6" t="s">
        <v>22</v>
      </c>
      <c r="Y2" s="6" t="s">
        <v>23</v>
      </c>
      <c r="Z2" s="6" t="s">
        <v>24</v>
      </c>
      <c r="AA2" s="6" t="s">
        <v>25</v>
      </c>
      <c r="AB2" s="6" t="s">
        <v>26</v>
      </c>
      <c r="AC2" s="6" t="s">
        <v>27</v>
      </c>
    </row>
    <row r="3" spans="1:29" x14ac:dyDescent="0.55000000000000004">
      <c r="A3" s="2" t="s">
        <v>29</v>
      </c>
      <c r="B3" s="3" t="s">
        <v>0</v>
      </c>
      <c r="C3" s="7">
        <v>374550</v>
      </c>
      <c r="D3" s="7">
        <v>0</v>
      </c>
      <c r="E3" s="7">
        <v>0</v>
      </c>
      <c r="F3" s="7">
        <v>0</v>
      </c>
      <c r="G3" s="7">
        <v>48000</v>
      </c>
      <c r="H3" s="7">
        <v>3000</v>
      </c>
      <c r="I3" s="7">
        <v>5000</v>
      </c>
      <c r="J3" s="7">
        <v>0</v>
      </c>
      <c r="K3" s="7">
        <v>45250</v>
      </c>
      <c r="L3" s="7">
        <v>0</v>
      </c>
      <c r="M3" s="7">
        <v>16000</v>
      </c>
      <c r="N3" s="7">
        <v>18000</v>
      </c>
      <c r="O3" s="7">
        <v>0</v>
      </c>
      <c r="P3" s="7">
        <v>15000</v>
      </c>
      <c r="Q3" s="7">
        <v>0</v>
      </c>
      <c r="R3" s="7">
        <v>24000</v>
      </c>
      <c r="S3" s="7">
        <v>8000</v>
      </c>
      <c r="T3" s="7">
        <v>5000</v>
      </c>
      <c r="U3" s="7">
        <v>60000</v>
      </c>
      <c r="V3" s="7">
        <v>0</v>
      </c>
      <c r="W3" s="7">
        <v>0</v>
      </c>
      <c r="X3" s="7">
        <v>0</v>
      </c>
      <c r="Y3" s="7">
        <v>99300</v>
      </c>
      <c r="Z3" s="7">
        <v>0</v>
      </c>
      <c r="AA3" s="7">
        <v>0</v>
      </c>
      <c r="AB3" s="7">
        <v>0</v>
      </c>
      <c r="AC3" s="7">
        <v>28000</v>
      </c>
    </row>
    <row r="4" spans="1:29" x14ac:dyDescent="0.55000000000000004">
      <c r="A4" s="2" t="s">
        <v>30</v>
      </c>
      <c r="B4" s="3" t="s">
        <v>0</v>
      </c>
      <c r="C4" s="7">
        <v>1874145</v>
      </c>
      <c r="D4" s="7">
        <v>0</v>
      </c>
      <c r="E4" s="7">
        <v>356175</v>
      </c>
      <c r="F4" s="7">
        <v>0</v>
      </c>
      <c r="G4" s="7">
        <v>6000</v>
      </c>
      <c r="H4" s="7">
        <v>3445</v>
      </c>
      <c r="I4" s="7">
        <v>5000</v>
      </c>
      <c r="J4" s="7">
        <v>3500</v>
      </c>
      <c r="K4" s="7">
        <v>9050</v>
      </c>
      <c r="L4" s="7">
        <v>0</v>
      </c>
      <c r="M4" s="7">
        <v>59736</v>
      </c>
      <c r="N4" s="7">
        <v>75653</v>
      </c>
      <c r="O4" s="7">
        <v>126480</v>
      </c>
      <c r="P4" s="7">
        <v>38575</v>
      </c>
      <c r="Q4" s="7">
        <v>88000</v>
      </c>
      <c r="R4" s="7">
        <v>10000</v>
      </c>
      <c r="S4" s="7">
        <v>0</v>
      </c>
      <c r="T4" s="7">
        <v>0</v>
      </c>
      <c r="U4" s="7">
        <v>46360</v>
      </c>
      <c r="V4" s="7">
        <v>0</v>
      </c>
      <c r="W4" s="7">
        <v>139000</v>
      </c>
      <c r="X4" s="7">
        <v>0</v>
      </c>
      <c r="Y4" s="7">
        <v>645928</v>
      </c>
      <c r="Z4" s="7">
        <v>0</v>
      </c>
      <c r="AA4" s="7">
        <v>75868</v>
      </c>
      <c r="AB4" s="7">
        <v>0</v>
      </c>
      <c r="AC4" s="7">
        <v>185375</v>
      </c>
    </row>
    <row r="5" spans="1:29" x14ac:dyDescent="0.55000000000000004">
      <c r="A5" s="2" t="s">
        <v>31</v>
      </c>
      <c r="B5" s="3" t="s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</row>
    <row r="6" spans="1:29" x14ac:dyDescent="0.55000000000000004">
      <c r="A6" s="2" t="s">
        <v>32</v>
      </c>
      <c r="B6" s="3" t="s">
        <v>0</v>
      </c>
      <c r="C6" s="7">
        <v>10679840.5</v>
      </c>
      <c r="D6" s="7">
        <v>0</v>
      </c>
      <c r="E6" s="7">
        <v>1807450</v>
      </c>
      <c r="F6" s="7">
        <v>220864</v>
      </c>
      <c r="G6" s="7">
        <v>103000</v>
      </c>
      <c r="H6" s="7">
        <v>37977</v>
      </c>
      <c r="I6" s="7">
        <v>27000</v>
      </c>
      <c r="J6" s="7">
        <v>58357</v>
      </c>
      <c r="K6" s="7">
        <v>156040</v>
      </c>
      <c r="L6" s="7">
        <v>0</v>
      </c>
      <c r="M6" s="7">
        <v>1010779.5</v>
      </c>
      <c r="N6" s="7">
        <v>97302</v>
      </c>
      <c r="O6" s="7">
        <v>230032</v>
      </c>
      <c r="P6" s="7">
        <v>87034</v>
      </c>
      <c r="Q6" s="7">
        <v>130000</v>
      </c>
      <c r="R6" s="7">
        <v>38910</v>
      </c>
      <c r="S6" s="7">
        <v>25786</v>
      </c>
      <c r="T6" s="7">
        <v>996933</v>
      </c>
      <c r="U6" s="7">
        <v>303456</v>
      </c>
      <c r="V6" s="7">
        <v>0</v>
      </c>
      <c r="W6" s="7">
        <v>633500</v>
      </c>
      <c r="X6" s="7">
        <v>624217</v>
      </c>
      <c r="Y6" s="7">
        <v>1792080</v>
      </c>
      <c r="Z6" s="7">
        <v>1279067</v>
      </c>
      <c r="AA6" s="7">
        <v>43236</v>
      </c>
      <c r="AB6" s="7">
        <v>872906</v>
      </c>
      <c r="AC6" s="7">
        <v>103914</v>
      </c>
    </row>
    <row r="7" spans="1:29" x14ac:dyDescent="0.55000000000000004">
      <c r="A7" s="2" t="s">
        <v>33</v>
      </c>
      <c r="B7" s="3" t="s">
        <v>0</v>
      </c>
      <c r="C7" s="7">
        <v>5358530</v>
      </c>
      <c r="D7" s="7">
        <v>0</v>
      </c>
      <c r="E7" s="7">
        <v>722680</v>
      </c>
      <c r="F7" s="7">
        <v>300709</v>
      </c>
      <c r="G7" s="7">
        <v>40000</v>
      </c>
      <c r="H7" s="7">
        <v>18393</v>
      </c>
      <c r="I7" s="7">
        <v>18000</v>
      </c>
      <c r="J7" s="7">
        <v>21978</v>
      </c>
      <c r="K7" s="7">
        <v>43205</v>
      </c>
      <c r="L7" s="7">
        <v>0</v>
      </c>
      <c r="M7" s="7">
        <v>559665</v>
      </c>
      <c r="N7" s="7">
        <v>121969</v>
      </c>
      <c r="O7" s="7">
        <v>110945</v>
      </c>
      <c r="P7" s="7">
        <v>60844</v>
      </c>
      <c r="Q7" s="7">
        <v>88000</v>
      </c>
      <c r="R7" s="7">
        <v>17610</v>
      </c>
      <c r="S7" s="7">
        <v>29310</v>
      </c>
      <c r="T7" s="7">
        <v>894810</v>
      </c>
      <c r="U7" s="7">
        <v>331690</v>
      </c>
      <c r="V7" s="7">
        <v>0</v>
      </c>
      <c r="W7" s="7">
        <v>548000</v>
      </c>
      <c r="X7" s="7">
        <v>34808</v>
      </c>
      <c r="Y7" s="7">
        <v>1185260</v>
      </c>
      <c r="Z7" s="7">
        <v>85181</v>
      </c>
      <c r="AA7" s="7">
        <v>0</v>
      </c>
      <c r="AB7" s="7">
        <v>94613</v>
      </c>
      <c r="AC7" s="7">
        <v>30860</v>
      </c>
    </row>
    <row r="8" spans="1:29" x14ac:dyDescent="0.55000000000000004">
      <c r="A8" s="2" t="s">
        <v>34</v>
      </c>
      <c r="B8" s="3" t="s">
        <v>0</v>
      </c>
      <c r="C8" s="7">
        <v>1618307.5</v>
      </c>
      <c r="D8" s="7">
        <v>0</v>
      </c>
      <c r="E8" s="7">
        <v>466150</v>
      </c>
      <c r="F8" s="7">
        <v>0</v>
      </c>
      <c r="G8" s="7">
        <v>8000</v>
      </c>
      <c r="H8" s="7">
        <v>169885</v>
      </c>
      <c r="I8" s="7">
        <v>38000</v>
      </c>
      <c r="J8" s="7">
        <v>4340</v>
      </c>
      <c r="K8" s="7">
        <v>20850</v>
      </c>
      <c r="L8" s="7">
        <v>0</v>
      </c>
      <c r="M8" s="7">
        <v>245673.5</v>
      </c>
      <c r="N8" s="7">
        <v>16646</v>
      </c>
      <c r="O8" s="7">
        <v>237167</v>
      </c>
      <c r="P8" s="7">
        <v>32173</v>
      </c>
      <c r="Q8" s="7">
        <v>144000</v>
      </c>
      <c r="R8" s="7">
        <v>34160</v>
      </c>
      <c r="S8" s="7">
        <v>0</v>
      </c>
      <c r="T8" s="7">
        <v>0</v>
      </c>
      <c r="U8" s="7">
        <v>10000</v>
      </c>
      <c r="V8" s="7">
        <v>0</v>
      </c>
      <c r="W8" s="7">
        <v>147000</v>
      </c>
      <c r="X8" s="7">
        <v>15850</v>
      </c>
      <c r="Y8" s="7">
        <v>0</v>
      </c>
      <c r="Z8" s="7">
        <v>24282</v>
      </c>
      <c r="AA8" s="7">
        <v>4131</v>
      </c>
      <c r="AB8" s="7">
        <v>0</v>
      </c>
      <c r="AC8" s="7">
        <v>0</v>
      </c>
    </row>
    <row r="9" spans="1:29" x14ac:dyDescent="0.55000000000000004">
      <c r="A9" s="2" t="s">
        <v>35</v>
      </c>
      <c r="B9" s="3" t="s">
        <v>0</v>
      </c>
      <c r="C9" s="7">
        <v>1942406</v>
      </c>
      <c r="D9" s="7">
        <v>0</v>
      </c>
      <c r="E9" s="7">
        <v>233900</v>
      </c>
      <c r="F9" s="7">
        <v>55819</v>
      </c>
      <c r="G9" s="7">
        <v>4000</v>
      </c>
      <c r="H9" s="7">
        <v>11275</v>
      </c>
      <c r="I9" s="7">
        <v>6225</v>
      </c>
      <c r="J9" s="7">
        <v>0</v>
      </c>
      <c r="K9" s="7">
        <v>37376</v>
      </c>
      <c r="L9" s="7">
        <v>0</v>
      </c>
      <c r="M9" s="7">
        <v>80058</v>
      </c>
      <c r="N9" s="7">
        <v>75373</v>
      </c>
      <c r="O9" s="7">
        <v>33406</v>
      </c>
      <c r="P9" s="7">
        <v>95390</v>
      </c>
      <c r="Q9" s="7">
        <v>0</v>
      </c>
      <c r="R9" s="7">
        <v>38253</v>
      </c>
      <c r="S9" s="7">
        <v>8875</v>
      </c>
      <c r="T9" s="7">
        <v>131500</v>
      </c>
      <c r="U9" s="7">
        <v>73117</v>
      </c>
      <c r="V9" s="7">
        <v>0</v>
      </c>
      <c r="W9" s="7">
        <v>74150</v>
      </c>
      <c r="X9" s="7">
        <v>101913</v>
      </c>
      <c r="Y9" s="7">
        <v>645822</v>
      </c>
      <c r="Z9" s="7">
        <v>32405</v>
      </c>
      <c r="AA9" s="7">
        <v>65125</v>
      </c>
      <c r="AB9" s="7">
        <v>66366</v>
      </c>
      <c r="AC9" s="7">
        <v>72058</v>
      </c>
    </row>
    <row r="10" spans="1:29" x14ac:dyDescent="0.55000000000000004">
      <c r="A10" s="2" t="s">
        <v>36</v>
      </c>
      <c r="B10" s="3" t="s">
        <v>0</v>
      </c>
      <c r="C10" s="7">
        <v>27400</v>
      </c>
      <c r="D10" s="7">
        <v>0</v>
      </c>
      <c r="E10" s="7">
        <v>3000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2400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15000</v>
      </c>
      <c r="V10" s="7">
        <v>0</v>
      </c>
      <c r="W10" s="7">
        <v>7000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</row>
    <row r="11" spans="1:29" x14ac:dyDescent="0.55000000000000004">
      <c r="A11" s="2"/>
      <c r="B11" s="3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8"/>
      <c r="Z11" s="8"/>
      <c r="AA11" s="8"/>
      <c r="AB11" s="8"/>
      <c r="AC11" s="8"/>
    </row>
    <row r="12" spans="1:29" x14ac:dyDescent="0.55000000000000004">
      <c r="A12" s="1" t="s">
        <v>39</v>
      </c>
      <c r="B12" s="2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</row>
    <row r="13" spans="1:29" x14ac:dyDescent="0.55000000000000004">
      <c r="A13" s="1" t="s">
        <v>28</v>
      </c>
      <c r="B13" s="1" t="s">
        <v>40</v>
      </c>
      <c r="C13" s="6" t="s">
        <v>1</v>
      </c>
      <c r="D13" s="6" t="s">
        <v>2</v>
      </c>
      <c r="E13" s="6" t="s">
        <v>3</v>
      </c>
      <c r="F13" s="6" t="s">
        <v>4</v>
      </c>
      <c r="G13" s="6" t="s">
        <v>5</v>
      </c>
      <c r="H13" s="6" t="s">
        <v>6</v>
      </c>
      <c r="I13" s="6" t="s">
        <v>7</v>
      </c>
      <c r="J13" s="6" t="s">
        <v>8</v>
      </c>
      <c r="K13" s="6" t="s">
        <v>9</v>
      </c>
      <c r="L13" s="6" t="s">
        <v>10</v>
      </c>
      <c r="M13" s="6" t="s">
        <v>11</v>
      </c>
      <c r="N13" s="6" t="s">
        <v>12</v>
      </c>
      <c r="O13" s="6" t="s">
        <v>13</v>
      </c>
      <c r="P13" s="6" t="s">
        <v>14</v>
      </c>
      <c r="Q13" s="6" t="s">
        <v>15</v>
      </c>
      <c r="R13" s="6" t="s">
        <v>16</v>
      </c>
      <c r="S13" s="6" t="s">
        <v>17</v>
      </c>
      <c r="T13" s="6" t="s">
        <v>18</v>
      </c>
      <c r="U13" s="6" t="s">
        <v>19</v>
      </c>
      <c r="V13" s="6" t="s">
        <v>20</v>
      </c>
      <c r="W13" s="6" t="s">
        <v>21</v>
      </c>
      <c r="X13" s="6" t="s">
        <v>22</v>
      </c>
      <c r="Y13" s="6" t="s">
        <v>23</v>
      </c>
      <c r="Z13" s="6" t="s">
        <v>24</v>
      </c>
      <c r="AA13" s="6" t="s">
        <v>25</v>
      </c>
      <c r="AB13" s="6" t="s">
        <v>26</v>
      </c>
      <c r="AC13" s="6" t="s">
        <v>27</v>
      </c>
    </row>
    <row r="14" spans="1:29" x14ac:dyDescent="0.55000000000000004">
      <c r="A14" s="2" t="s">
        <v>29</v>
      </c>
      <c r="B14" s="3" t="s">
        <v>0</v>
      </c>
      <c r="C14" s="7">
        <v>72000</v>
      </c>
      <c r="D14" s="7">
        <v>0</v>
      </c>
      <c r="E14" s="7">
        <v>0</v>
      </c>
      <c r="F14" s="7">
        <v>0</v>
      </c>
      <c r="G14" s="7">
        <v>12000</v>
      </c>
      <c r="H14" s="7">
        <v>0</v>
      </c>
      <c r="I14" s="7">
        <v>5000</v>
      </c>
      <c r="J14" s="7">
        <v>0</v>
      </c>
      <c r="K14" s="7">
        <v>0</v>
      </c>
      <c r="L14" s="7">
        <v>0</v>
      </c>
      <c r="M14" s="7">
        <v>7000</v>
      </c>
      <c r="N14" s="7">
        <v>0</v>
      </c>
      <c r="O14" s="7">
        <v>0</v>
      </c>
      <c r="P14" s="7">
        <v>8000</v>
      </c>
      <c r="Q14" s="7">
        <v>0</v>
      </c>
      <c r="R14" s="7">
        <v>3000</v>
      </c>
      <c r="S14" s="7">
        <v>0</v>
      </c>
      <c r="T14" s="7">
        <v>0</v>
      </c>
      <c r="U14" s="7">
        <v>30000</v>
      </c>
      <c r="V14" s="7">
        <v>0</v>
      </c>
      <c r="W14" s="7">
        <v>0</v>
      </c>
      <c r="X14" s="7">
        <v>0</v>
      </c>
      <c r="Y14" s="7">
        <v>7000</v>
      </c>
      <c r="Z14" s="7">
        <v>0</v>
      </c>
      <c r="AA14" s="7">
        <v>0</v>
      </c>
      <c r="AB14" s="7">
        <v>0</v>
      </c>
      <c r="AC14" s="7">
        <v>0</v>
      </c>
    </row>
    <row r="15" spans="1:29" x14ac:dyDescent="0.55000000000000004">
      <c r="A15" s="2" t="s">
        <v>30</v>
      </c>
      <c r="B15" s="3" t="s">
        <v>0</v>
      </c>
      <c r="C15" s="7">
        <v>630295</v>
      </c>
      <c r="D15" s="7">
        <v>0</v>
      </c>
      <c r="E15" s="7">
        <v>123325</v>
      </c>
      <c r="F15" s="7">
        <v>0</v>
      </c>
      <c r="G15" s="7">
        <v>6000</v>
      </c>
      <c r="H15" s="7">
        <v>7308</v>
      </c>
      <c r="I15" s="7">
        <v>10000</v>
      </c>
      <c r="J15" s="7">
        <v>20723</v>
      </c>
      <c r="K15" s="7">
        <v>0</v>
      </c>
      <c r="L15" s="7">
        <v>0</v>
      </c>
      <c r="M15" s="7">
        <v>3650</v>
      </c>
      <c r="N15" s="7">
        <v>21200</v>
      </c>
      <c r="O15" s="7">
        <v>45820</v>
      </c>
      <c r="P15" s="7">
        <v>50603</v>
      </c>
      <c r="Q15" s="7">
        <v>24000</v>
      </c>
      <c r="R15" s="7">
        <v>13182</v>
      </c>
      <c r="S15" s="7">
        <v>0</v>
      </c>
      <c r="T15" s="7">
        <v>0</v>
      </c>
      <c r="U15" s="7">
        <v>30880</v>
      </c>
      <c r="V15" s="7">
        <v>0</v>
      </c>
      <c r="W15" s="7">
        <v>24000</v>
      </c>
      <c r="X15" s="7">
        <v>0</v>
      </c>
      <c r="Y15" s="7">
        <v>144513</v>
      </c>
      <c r="Z15" s="7">
        <v>32315</v>
      </c>
      <c r="AA15" s="7">
        <v>11846</v>
      </c>
      <c r="AB15" s="7">
        <v>0</v>
      </c>
      <c r="AC15" s="7">
        <v>60930</v>
      </c>
    </row>
    <row r="16" spans="1:29" x14ac:dyDescent="0.55000000000000004">
      <c r="A16" s="2" t="s">
        <v>31</v>
      </c>
      <c r="B16" s="3" t="s">
        <v>0</v>
      </c>
      <c r="C16" s="7">
        <v>174218</v>
      </c>
      <c r="D16" s="7">
        <v>0</v>
      </c>
      <c r="E16" s="7">
        <v>16200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45335</v>
      </c>
      <c r="N16" s="7">
        <v>0</v>
      </c>
      <c r="O16" s="7">
        <v>38400</v>
      </c>
      <c r="P16" s="7">
        <v>26250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48033</v>
      </c>
      <c r="Z16" s="7">
        <v>0</v>
      </c>
      <c r="AA16" s="7">
        <v>0</v>
      </c>
      <c r="AB16" s="7">
        <v>0</v>
      </c>
      <c r="AC16" s="7">
        <v>0</v>
      </c>
    </row>
    <row r="17" spans="1:29" x14ac:dyDescent="0.55000000000000004">
      <c r="A17" s="2" t="s">
        <v>32</v>
      </c>
      <c r="B17" s="3" t="s">
        <v>0</v>
      </c>
      <c r="C17" s="7">
        <v>1141675</v>
      </c>
      <c r="D17" s="7">
        <v>0</v>
      </c>
      <c r="E17" s="7">
        <v>255550</v>
      </c>
      <c r="F17" s="7">
        <v>74027</v>
      </c>
      <c r="G17" s="7">
        <v>22680</v>
      </c>
      <c r="H17" s="7">
        <v>15952</v>
      </c>
      <c r="I17" s="7">
        <v>12000</v>
      </c>
      <c r="J17" s="7">
        <v>37893</v>
      </c>
      <c r="K17" s="7">
        <v>11160</v>
      </c>
      <c r="L17" s="7">
        <v>0</v>
      </c>
      <c r="M17" s="7">
        <v>124337</v>
      </c>
      <c r="N17" s="7">
        <v>20681</v>
      </c>
      <c r="O17" s="7">
        <v>29375</v>
      </c>
      <c r="P17" s="7">
        <v>2800</v>
      </c>
      <c r="Q17" s="7">
        <v>10000</v>
      </c>
      <c r="R17" s="7">
        <v>0</v>
      </c>
      <c r="S17" s="7">
        <v>0</v>
      </c>
      <c r="T17" s="7">
        <v>20200</v>
      </c>
      <c r="U17" s="7">
        <v>87110</v>
      </c>
      <c r="V17" s="7">
        <v>0</v>
      </c>
      <c r="W17" s="7">
        <v>91363</v>
      </c>
      <c r="X17" s="7">
        <v>45042</v>
      </c>
      <c r="Y17" s="7">
        <v>57534</v>
      </c>
      <c r="Z17" s="7">
        <v>176828</v>
      </c>
      <c r="AA17" s="7">
        <v>19703</v>
      </c>
      <c r="AB17" s="7">
        <v>10140</v>
      </c>
      <c r="AC17" s="7">
        <v>17300</v>
      </c>
    </row>
    <row r="18" spans="1:29" x14ac:dyDescent="0.55000000000000004">
      <c r="A18" s="2" t="s">
        <v>33</v>
      </c>
      <c r="B18" s="3" t="s">
        <v>0</v>
      </c>
      <c r="C18" s="7">
        <v>1757405.35</v>
      </c>
      <c r="D18" s="7">
        <v>0</v>
      </c>
      <c r="E18" s="7">
        <v>196620</v>
      </c>
      <c r="F18" s="7">
        <v>341425</v>
      </c>
      <c r="G18" s="7">
        <v>61800</v>
      </c>
      <c r="H18" s="7">
        <v>4740</v>
      </c>
      <c r="I18" s="7">
        <v>24180</v>
      </c>
      <c r="J18" s="7">
        <v>48251</v>
      </c>
      <c r="K18" s="7">
        <v>16000</v>
      </c>
      <c r="L18" s="7">
        <v>0</v>
      </c>
      <c r="M18" s="7">
        <v>95711</v>
      </c>
      <c r="N18" s="7">
        <v>63214</v>
      </c>
      <c r="O18" s="7">
        <v>67763</v>
      </c>
      <c r="P18" s="7">
        <v>0</v>
      </c>
      <c r="Q18" s="7">
        <v>0</v>
      </c>
      <c r="R18" s="7">
        <v>34977</v>
      </c>
      <c r="S18" s="7">
        <v>19014</v>
      </c>
      <c r="T18" s="7">
        <v>186464.35</v>
      </c>
      <c r="U18" s="7">
        <v>157590</v>
      </c>
      <c r="V18" s="7">
        <v>0</v>
      </c>
      <c r="W18" s="7">
        <v>255743</v>
      </c>
      <c r="X18" s="7">
        <v>0</v>
      </c>
      <c r="Y18" s="7">
        <v>82081</v>
      </c>
      <c r="Z18" s="7">
        <v>101832</v>
      </c>
      <c r="AA18" s="7">
        <v>0</v>
      </c>
      <c r="AB18" s="7">
        <v>0</v>
      </c>
      <c r="AC18" s="7">
        <v>0</v>
      </c>
    </row>
    <row r="19" spans="1:29" x14ac:dyDescent="0.55000000000000004">
      <c r="A19" s="2" t="s">
        <v>34</v>
      </c>
      <c r="B19" s="3" t="s">
        <v>0</v>
      </c>
      <c r="C19" s="7">
        <v>1829898</v>
      </c>
      <c r="D19" s="7">
        <v>0</v>
      </c>
      <c r="E19" s="7">
        <v>269950</v>
      </c>
      <c r="F19" s="7">
        <v>0</v>
      </c>
      <c r="G19" s="7">
        <v>34000</v>
      </c>
      <c r="H19" s="7">
        <v>156528</v>
      </c>
      <c r="I19" s="7">
        <v>59332</v>
      </c>
      <c r="J19" s="7">
        <v>0</v>
      </c>
      <c r="K19" s="7">
        <v>50520</v>
      </c>
      <c r="L19" s="7">
        <v>0</v>
      </c>
      <c r="M19" s="7">
        <v>264362</v>
      </c>
      <c r="N19" s="7">
        <v>27222</v>
      </c>
      <c r="O19" s="7">
        <v>327261</v>
      </c>
      <c r="P19" s="7">
        <v>26446</v>
      </c>
      <c r="Q19" s="7">
        <v>32343</v>
      </c>
      <c r="R19" s="7">
        <v>32383</v>
      </c>
      <c r="S19" s="7">
        <v>0</v>
      </c>
      <c r="T19" s="7">
        <v>0</v>
      </c>
      <c r="U19" s="7">
        <v>122690</v>
      </c>
      <c r="V19" s="7">
        <v>0</v>
      </c>
      <c r="W19" s="7">
        <v>96382</v>
      </c>
      <c r="X19" s="7">
        <v>36100</v>
      </c>
      <c r="Y19" s="7">
        <v>0</v>
      </c>
      <c r="Z19" s="7">
        <v>294379</v>
      </c>
      <c r="AA19" s="7">
        <v>0</v>
      </c>
      <c r="AB19" s="7">
        <v>0</v>
      </c>
      <c r="AC19" s="7">
        <v>0</v>
      </c>
    </row>
    <row r="20" spans="1:29" x14ac:dyDescent="0.55000000000000004">
      <c r="A20" s="2" t="s">
        <v>35</v>
      </c>
      <c r="B20" s="3" t="s">
        <v>0</v>
      </c>
      <c r="C20" s="7">
        <v>1283406</v>
      </c>
      <c r="D20" s="7">
        <v>0</v>
      </c>
      <c r="E20" s="7">
        <v>241950</v>
      </c>
      <c r="F20" s="7">
        <v>59775</v>
      </c>
      <c r="G20" s="7">
        <v>4000</v>
      </c>
      <c r="H20" s="7">
        <v>28944</v>
      </c>
      <c r="I20" s="7">
        <v>6950</v>
      </c>
      <c r="J20" s="7">
        <v>15126</v>
      </c>
      <c r="K20" s="7">
        <v>0</v>
      </c>
      <c r="L20" s="7">
        <v>0</v>
      </c>
      <c r="M20" s="7">
        <v>3295</v>
      </c>
      <c r="N20" s="7">
        <v>3468</v>
      </c>
      <c r="O20" s="7">
        <v>71565</v>
      </c>
      <c r="P20" s="7">
        <v>150562</v>
      </c>
      <c r="Q20" s="7">
        <v>8406</v>
      </c>
      <c r="R20" s="7">
        <v>15402</v>
      </c>
      <c r="S20" s="7">
        <v>0</v>
      </c>
      <c r="T20" s="7">
        <v>55000</v>
      </c>
      <c r="U20" s="7">
        <v>64776</v>
      </c>
      <c r="V20" s="7">
        <v>0</v>
      </c>
      <c r="W20" s="7">
        <v>28194</v>
      </c>
      <c r="X20" s="7">
        <v>45527</v>
      </c>
      <c r="Y20" s="7">
        <v>226731</v>
      </c>
      <c r="Z20" s="7">
        <v>15730</v>
      </c>
      <c r="AA20" s="7">
        <v>80001</v>
      </c>
      <c r="AB20" s="7">
        <v>118024</v>
      </c>
      <c r="AC20" s="7">
        <v>39980</v>
      </c>
    </row>
    <row r="21" spans="1:29" x14ac:dyDescent="0.55000000000000004">
      <c r="A21" s="2" t="s">
        <v>36</v>
      </c>
      <c r="B21" s="3" t="s">
        <v>0</v>
      </c>
      <c r="C21" s="7">
        <v>210998</v>
      </c>
      <c r="D21" s="7">
        <v>0</v>
      </c>
      <c r="E21" s="7">
        <v>171268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10000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29730</v>
      </c>
      <c r="AC21" s="7">
        <v>0</v>
      </c>
    </row>
    <row r="22" spans="1:29" x14ac:dyDescent="0.55000000000000004">
      <c r="A22" s="2"/>
      <c r="B22" s="3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8"/>
      <c r="Z22" s="8"/>
      <c r="AA22" s="8"/>
      <c r="AB22" s="8"/>
      <c r="AC22" s="8"/>
    </row>
    <row r="23" spans="1:29" x14ac:dyDescent="0.55000000000000004">
      <c r="A23" s="1" t="s">
        <v>38</v>
      </c>
      <c r="B23" s="2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</row>
    <row r="24" spans="1:29" x14ac:dyDescent="0.55000000000000004">
      <c r="A24" s="1" t="s">
        <v>28</v>
      </c>
      <c r="B24" s="1" t="s">
        <v>40</v>
      </c>
      <c r="C24" s="6" t="s">
        <v>1</v>
      </c>
      <c r="D24" s="6" t="s">
        <v>2</v>
      </c>
      <c r="E24" s="6" t="s">
        <v>3</v>
      </c>
      <c r="F24" s="6" t="s">
        <v>4</v>
      </c>
      <c r="G24" s="6" t="s">
        <v>5</v>
      </c>
      <c r="H24" s="6" t="s">
        <v>6</v>
      </c>
      <c r="I24" s="6" t="s">
        <v>7</v>
      </c>
      <c r="J24" s="6" t="s">
        <v>8</v>
      </c>
      <c r="K24" s="6" t="s">
        <v>9</v>
      </c>
      <c r="L24" s="6" t="s">
        <v>10</v>
      </c>
      <c r="M24" s="6" t="s">
        <v>11</v>
      </c>
      <c r="N24" s="6" t="s">
        <v>12</v>
      </c>
      <c r="O24" s="6" t="s">
        <v>13</v>
      </c>
      <c r="P24" s="6" t="s">
        <v>14</v>
      </c>
      <c r="Q24" s="6" t="s">
        <v>15</v>
      </c>
      <c r="R24" s="6" t="s">
        <v>16</v>
      </c>
      <c r="S24" s="6" t="s">
        <v>17</v>
      </c>
      <c r="T24" s="6" t="s">
        <v>18</v>
      </c>
      <c r="U24" s="6" t="s">
        <v>19</v>
      </c>
      <c r="V24" s="6" t="s">
        <v>20</v>
      </c>
      <c r="W24" s="6" t="s">
        <v>21</v>
      </c>
      <c r="X24" s="6" t="s">
        <v>22</v>
      </c>
      <c r="Y24" s="6" t="s">
        <v>23</v>
      </c>
      <c r="Z24" s="6" t="s">
        <v>24</v>
      </c>
      <c r="AA24" s="6" t="s">
        <v>25</v>
      </c>
      <c r="AB24" s="6" t="s">
        <v>26</v>
      </c>
      <c r="AC24" s="6" t="s">
        <v>27</v>
      </c>
    </row>
    <row r="25" spans="1:29" x14ac:dyDescent="0.55000000000000004">
      <c r="A25" s="2" t="s">
        <v>29</v>
      </c>
      <c r="B25" s="3" t="s">
        <v>0</v>
      </c>
      <c r="C25" s="7">
        <v>5000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5000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</row>
    <row r="26" spans="1:29" x14ac:dyDescent="0.55000000000000004">
      <c r="A26" s="2" t="s">
        <v>30</v>
      </c>
      <c r="B26" s="3" t="s">
        <v>0</v>
      </c>
      <c r="C26" s="7">
        <v>99951</v>
      </c>
      <c r="D26" s="7">
        <v>0</v>
      </c>
      <c r="E26" s="7">
        <v>4500</v>
      </c>
      <c r="F26" s="7">
        <v>0</v>
      </c>
      <c r="G26" s="7">
        <v>0</v>
      </c>
      <c r="H26" s="7">
        <v>4300</v>
      </c>
      <c r="I26" s="7">
        <v>0</v>
      </c>
      <c r="J26" s="7">
        <v>0</v>
      </c>
      <c r="K26" s="7">
        <v>0</v>
      </c>
      <c r="L26" s="7">
        <v>0</v>
      </c>
      <c r="M26" s="7">
        <v>17493</v>
      </c>
      <c r="N26" s="7">
        <v>6648</v>
      </c>
      <c r="O26" s="7">
        <v>0</v>
      </c>
      <c r="P26" s="7">
        <v>5625</v>
      </c>
      <c r="Q26" s="7">
        <v>0</v>
      </c>
      <c r="R26" s="7">
        <v>0</v>
      </c>
      <c r="S26" s="7">
        <v>0</v>
      </c>
      <c r="T26" s="7">
        <v>0</v>
      </c>
      <c r="U26" s="7">
        <v>15400</v>
      </c>
      <c r="V26" s="7">
        <v>0</v>
      </c>
      <c r="W26" s="7">
        <v>24000</v>
      </c>
      <c r="X26" s="7">
        <v>0</v>
      </c>
      <c r="Y26" s="7">
        <v>21985</v>
      </c>
      <c r="Z26" s="7">
        <v>0</v>
      </c>
      <c r="AA26" s="7">
        <v>0</v>
      </c>
      <c r="AB26" s="7">
        <v>0</v>
      </c>
      <c r="AC26" s="7">
        <v>0</v>
      </c>
    </row>
    <row r="27" spans="1:29" x14ac:dyDescent="0.55000000000000004">
      <c r="A27" s="2" t="s">
        <v>31</v>
      </c>
      <c r="B27" s="3" t="s">
        <v>0</v>
      </c>
      <c r="C27" s="7">
        <v>787003.2</v>
      </c>
      <c r="D27" s="7">
        <v>0</v>
      </c>
      <c r="E27" s="7">
        <v>17820</v>
      </c>
      <c r="F27" s="7">
        <v>0</v>
      </c>
      <c r="G27" s="7">
        <v>0</v>
      </c>
      <c r="H27" s="7">
        <v>49239</v>
      </c>
      <c r="I27" s="7">
        <v>0</v>
      </c>
      <c r="J27" s="7">
        <v>0</v>
      </c>
      <c r="K27" s="7">
        <v>0</v>
      </c>
      <c r="L27" s="7">
        <v>0</v>
      </c>
      <c r="M27" s="7">
        <v>18820</v>
      </c>
      <c r="N27" s="7">
        <v>0</v>
      </c>
      <c r="O27" s="7">
        <v>0</v>
      </c>
      <c r="P27" s="7">
        <v>125000</v>
      </c>
      <c r="Q27" s="7">
        <v>0</v>
      </c>
      <c r="R27" s="7">
        <v>0</v>
      </c>
      <c r="S27" s="7">
        <v>0</v>
      </c>
      <c r="T27" s="7">
        <v>13448</v>
      </c>
      <c r="U27" s="7">
        <v>397500</v>
      </c>
      <c r="V27" s="7">
        <v>0</v>
      </c>
      <c r="W27" s="7">
        <v>41660</v>
      </c>
      <c r="X27" s="7">
        <v>0</v>
      </c>
      <c r="Y27" s="7">
        <v>66292.2</v>
      </c>
      <c r="Z27" s="7">
        <v>27224</v>
      </c>
      <c r="AA27" s="7">
        <v>0</v>
      </c>
      <c r="AB27" s="7">
        <v>0</v>
      </c>
      <c r="AC27" s="7">
        <v>30000</v>
      </c>
    </row>
    <row r="28" spans="1:29" x14ac:dyDescent="0.55000000000000004">
      <c r="A28" s="2" t="s">
        <v>32</v>
      </c>
      <c r="B28" s="3" t="s">
        <v>0</v>
      </c>
      <c r="C28" s="7">
        <v>223615</v>
      </c>
      <c r="D28" s="7">
        <v>0</v>
      </c>
      <c r="E28" s="7">
        <v>47100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4000</v>
      </c>
      <c r="L28" s="7">
        <v>0</v>
      </c>
      <c r="M28" s="7">
        <v>22360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9600</v>
      </c>
      <c r="U28" s="7">
        <v>13328</v>
      </c>
      <c r="V28" s="7">
        <v>0</v>
      </c>
      <c r="W28" s="7">
        <v>39213</v>
      </c>
      <c r="X28" s="7">
        <v>0</v>
      </c>
      <c r="Y28" s="7">
        <v>16000</v>
      </c>
      <c r="Z28" s="7">
        <v>24789</v>
      </c>
      <c r="AA28" s="7">
        <v>8225</v>
      </c>
      <c r="AB28" s="7">
        <v>39000</v>
      </c>
      <c r="AC28" s="7">
        <v>0</v>
      </c>
    </row>
    <row r="29" spans="1:29" x14ac:dyDescent="0.55000000000000004">
      <c r="A29" s="2" t="s">
        <v>33</v>
      </c>
      <c r="B29" s="3" t="s">
        <v>0</v>
      </c>
      <c r="C29" s="7">
        <v>522043</v>
      </c>
      <c r="D29" s="7">
        <v>0</v>
      </c>
      <c r="E29" s="7">
        <v>22260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32450</v>
      </c>
      <c r="N29" s="7">
        <v>0</v>
      </c>
      <c r="O29" s="7">
        <v>0</v>
      </c>
      <c r="P29" s="7">
        <v>0</v>
      </c>
      <c r="Q29" s="7">
        <v>18125</v>
      </c>
      <c r="R29" s="7">
        <v>0</v>
      </c>
      <c r="S29" s="7">
        <v>0</v>
      </c>
      <c r="T29" s="7">
        <v>69708</v>
      </c>
      <c r="U29" s="7">
        <v>238400</v>
      </c>
      <c r="V29" s="7">
        <v>0</v>
      </c>
      <c r="W29" s="7">
        <v>131100</v>
      </c>
      <c r="X29" s="7">
        <v>0</v>
      </c>
      <c r="Y29" s="7">
        <v>10000</v>
      </c>
      <c r="Z29" s="7">
        <v>0</v>
      </c>
      <c r="AA29" s="7">
        <v>0</v>
      </c>
      <c r="AB29" s="7">
        <v>0</v>
      </c>
      <c r="AC29" s="7">
        <v>0</v>
      </c>
    </row>
    <row r="30" spans="1:29" x14ac:dyDescent="0.55000000000000004">
      <c r="A30" s="2" t="s">
        <v>34</v>
      </c>
      <c r="B30" s="3" t="s">
        <v>0</v>
      </c>
      <c r="C30" s="7">
        <v>886505</v>
      </c>
      <c r="D30" s="7">
        <v>0</v>
      </c>
      <c r="E30" s="7">
        <v>183950</v>
      </c>
      <c r="F30" s="7">
        <v>0</v>
      </c>
      <c r="G30" s="7">
        <v>0</v>
      </c>
      <c r="H30" s="7">
        <v>26975</v>
      </c>
      <c r="I30" s="7">
        <v>5000</v>
      </c>
      <c r="J30" s="7">
        <v>0</v>
      </c>
      <c r="K30" s="7">
        <v>14800</v>
      </c>
      <c r="L30" s="7">
        <v>0</v>
      </c>
      <c r="M30" s="7">
        <v>129707</v>
      </c>
      <c r="N30" s="7">
        <v>0</v>
      </c>
      <c r="O30" s="7">
        <v>17550</v>
      </c>
      <c r="P30" s="7">
        <v>10400</v>
      </c>
      <c r="Q30" s="7">
        <v>54293</v>
      </c>
      <c r="R30" s="7">
        <v>0</v>
      </c>
      <c r="S30" s="7">
        <v>0</v>
      </c>
      <c r="T30" s="7">
        <v>0</v>
      </c>
      <c r="U30" s="7">
        <v>189155</v>
      </c>
      <c r="V30" s="7">
        <v>0</v>
      </c>
      <c r="W30" s="7">
        <v>173700</v>
      </c>
      <c r="X30" s="7">
        <v>12750</v>
      </c>
      <c r="Y30" s="7">
        <v>0</v>
      </c>
      <c r="Z30" s="7">
        <v>60300</v>
      </c>
      <c r="AA30" s="7">
        <v>7925</v>
      </c>
      <c r="AB30" s="7">
        <v>0</v>
      </c>
      <c r="AC30" s="7">
        <v>0</v>
      </c>
    </row>
    <row r="31" spans="1:29" x14ac:dyDescent="0.55000000000000004">
      <c r="A31" s="2" t="s">
        <v>35</v>
      </c>
      <c r="B31" s="3" t="s">
        <v>0</v>
      </c>
      <c r="C31" s="7">
        <v>117766</v>
      </c>
      <c r="D31" s="7">
        <v>0</v>
      </c>
      <c r="E31" s="7">
        <v>0</v>
      </c>
      <c r="F31" s="7">
        <v>9368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66370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13288</v>
      </c>
      <c r="Z31" s="7">
        <v>0</v>
      </c>
      <c r="AA31" s="7">
        <v>6902</v>
      </c>
      <c r="AB31" s="7">
        <v>0</v>
      </c>
      <c r="AC31" s="7">
        <v>21838</v>
      </c>
    </row>
    <row r="32" spans="1:29" x14ac:dyDescent="0.55000000000000004">
      <c r="A32" s="2" t="s">
        <v>36</v>
      </c>
      <c r="B32" s="3" t="s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</row>
    <row r="34" spans="1:29" x14ac:dyDescent="0.55000000000000004">
      <c r="A34" s="1" t="s">
        <v>37</v>
      </c>
      <c r="B34" s="1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spans="1:29" x14ac:dyDescent="0.55000000000000004">
      <c r="A35" s="1" t="s">
        <v>28</v>
      </c>
      <c r="B35" s="1" t="s">
        <v>41</v>
      </c>
      <c r="D35" s="4" t="s">
        <v>20</v>
      </c>
      <c r="E35" s="4" t="s">
        <v>17</v>
      </c>
      <c r="F35" s="4" t="s">
        <v>16</v>
      </c>
      <c r="G35" s="4" t="s">
        <v>3</v>
      </c>
      <c r="H35" s="4" t="s">
        <v>14</v>
      </c>
      <c r="I35" s="4" t="s">
        <v>13</v>
      </c>
      <c r="J35" s="4" t="s">
        <v>11</v>
      </c>
      <c r="K35" s="4" t="s">
        <v>26</v>
      </c>
      <c r="L35" s="4" t="s">
        <v>9</v>
      </c>
      <c r="M35" s="4" t="s">
        <v>19</v>
      </c>
      <c r="N35" s="4" t="s">
        <v>27</v>
      </c>
      <c r="O35" s="4" t="s">
        <v>4</v>
      </c>
      <c r="P35" s="4" t="s">
        <v>25</v>
      </c>
      <c r="Q35" s="4" t="s">
        <v>8</v>
      </c>
      <c r="R35" s="4" t="s">
        <v>7</v>
      </c>
      <c r="S35" s="4" t="s">
        <v>18</v>
      </c>
      <c r="T35" s="4" t="s">
        <v>15</v>
      </c>
      <c r="U35" s="4" t="s">
        <v>12</v>
      </c>
      <c r="V35" s="4" t="s">
        <v>6</v>
      </c>
      <c r="W35" s="4" t="s">
        <v>21</v>
      </c>
      <c r="X35" s="4" t="s">
        <v>22</v>
      </c>
      <c r="Y35" s="4" t="s">
        <v>5</v>
      </c>
      <c r="Z35" s="4" t="s">
        <v>23</v>
      </c>
      <c r="AA35" s="4" t="s">
        <v>24</v>
      </c>
      <c r="AB35" s="4" t="s">
        <v>10</v>
      </c>
      <c r="AC35" s="4" t="s">
        <v>2</v>
      </c>
    </row>
    <row r="36" spans="1:29" x14ac:dyDescent="0.55000000000000004">
      <c r="A36" s="2" t="s">
        <v>29</v>
      </c>
      <c r="B36">
        <v>2</v>
      </c>
      <c r="D36" s="7">
        <f>HLOOKUP(D$35,$D$2:$AC$10,$B36,FALSE)</f>
        <v>0</v>
      </c>
      <c r="E36" s="7">
        <f t="shared" ref="E36:AC43" si="0">HLOOKUP(E$35,$D$2:$AC$10,$B36,FALSE)</f>
        <v>8000</v>
      </c>
      <c r="F36" s="7">
        <f t="shared" si="0"/>
        <v>24000</v>
      </c>
      <c r="G36" s="7">
        <f t="shared" si="0"/>
        <v>0</v>
      </c>
      <c r="H36" s="7">
        <f t="shared" si="0"/>
        <v>15000</v>
      </c>
      <c r="I36" s="7">
        <f t="shared" si="0"/>
        <v>0</v>
      </c>
      <c r="J36" s="7">
        <f t="shared" si="0"/>
        <v>16000</v>
      </c>
      <c r="K36" s="7">
        <f t="shared" si="0"/>
        <v>0</v>
      </c>
      <c r="L36" s="7">
        <f t="shared" si="0"/>
        <v>45250</v>
      </c>
      <c r="M36" s="7">
        <f t="shared" si="0"/>
        <v>60000</v>
      </c>
      <c r="N36" s="7">
        <f t="shared" si="0"/>
        <v>28000</v>
      </c>
      <c r="O36" s="7">
        <f t="shared" si="0"/>
        <v>0</v>
      </c>
      <c r="P36" s="7">
        <f t="shared" si="0"/>
        <v>0</v>
      </c>
      <c r="Q36" s="7">
        <f t="shared" si="0"/>
        <v>0</v>
      </c>
      <c r="R36" s="7">
        <f t="shared" si="0"/>
        <v>5000</v>
      </c>
      <c r="S36" s="7">
        <f t="shared" si="0"/>
        <v>5000</v>
      </c>
      <c r="T36" s="7">
        <f t="shared" si="0"/>
        <v>0</v>
      </c>
      <c r="U36" s="7">
        <f t="shared" si="0"/>
        <v>18000</v>
      </c>
      <c r="V36" s="7">
        <f t="shared" si="0"/>
        <v>3000</v>
      </c>
      <c r="W36" s="7">
        <f t="shared" si="0"/>
        <v>0</v>
      </c>
      <c r="X36" s="7">
        <f t="shared" si="0"/>
        <v>0</v>
      </c>
      <c r="Y36" s="7">
        <f t="shared" si="0"/>
        <v>48000</v>
      </c>
      <c r="Z36" s="7">
        <f t="shared" si="0"/>
        <v>99300</v>
      </c>
      <c r="AA36" s="7">
        <f t="shared" si="0"/>
        <v>0</v>
      </c>
      <c r="AB36" s="7">
        <f t="shared" si="0"/>
        <v>0</v>
      </c>
      <c r="AC36" s="7">
        <f t="shared" si="0"/>
        <v>0</v>
      </c>
    </row>
    <row r="37" spans="1:29" x14ac:dyDescent="0.55000000000000004">
      <c r="A37" s="2" t="s">
        <v>30</v>
      </c>
      <c r="B37">
        <v>3</v>
      </c>
      <c r="D37" s="7">
        <f t="shared" ref="D37:D42" si="1">HLOOKUP(D$35,$D$2:$AC$10,$B37,FALSE)</f>
        <v>0</v>
      </c>
      <c r="E37" s="7">
        <f t="shared" si="0"/>
        <v>0</v>
      </c>
      <c r="F37" s="7">
        <f t="shared" si="0"/>
        <v>10000</v>
      </c>
      <c r="G37" s="7">
        <f t="shared" si="0"/>
        <v>356175</v>
      </c>
      <c r="H37" s="7">
        <f t="shared" si="0"/>
        <v>38575</v>
      </c>
      <c r="I37" s="7">
        <f t="shared" si="0"/>
        <v>126480</v>
      </c>
      <c r="J37" s="7">
        <f t="shared" si="0"/>
        <v>59736</v>
      </c>
      <c r="K37" s="7">
        <f t="shared" si="0"/>
        <v>0</v>
      </c>
      <c r="L37" s="7">
        <f t="shared" si="0"/>
        <v>9050</v>
      </c>
      <c r="M37" s="7">
        <f t="shared" si="0"/>
        <v>46360</v>
      </c>
      <c r="N37" s="7">
        <f t="shared" si="0"/>
        <v>185375</v>
      </c>
      <c r="O37" s="7">
        <f t="shared" si="0"/>
        <v>0</v>
      </c>
      <c r="P37" s="7">
        <f t="shared" si="0"/>
        <v>75868</v>
      </c>
      <c r="Q37" s="7">
        <f t="shared" si="0"/>
        <v>3500</v>
      </c>
      <c r="R37" s="7">
        <f t="shared" si="0"/>
        <v>5000</v>
      </c>
      <c r="S37" s="7">
        <f t="shared" si="0"/>
        <v>0</v>
      </c>
      <c r="T37" s="7">
        <f t="shared" si="0"/>
        <v>88000</v>
      </c>
      <c r="U37" s="7">
        <f t="shared" si="0"/>
        <v>75653</v>
      </c>
      <c r="V37" s="7">
        <f t="shared" si="0"/>
        <v>3445</v>
      </c>
      <c r="W37" s="7">
        <f t="shared" si="0"/>
        <v>139000</v>
      </c>
      <c r="X37" s="7">
        <f t="shared" si="0"/>
        <v>0</v>
      </c>
      <c r="Y37" s="7">
        <f t="shared" si="0"/>
        <v>6000</v>
      </c>
      <c r="Z37" s="7">
        <f t="shared" si="0"/>
        <v>645928</v>
      </c>
      <c r="AA37" s="7">
        <f t="shared" si="0"/>
        <v>0</v>
      </c>
      <c r="AB37" s="7">
        <f t="shared" si="0"/>
        <v>0</v>
      </c>
      <c r="AC37" s="7">
        <f t="shared" si="0"/>
        <v>0</v>
      </c>
    </row>
    <row r="38" spans="1:29" x14ac:dyDescent="0.55000000000000004">
      <c r="A38" s="2" t="s">
        <v>31</v>
      </c>
      <c r="B38">
        <v>4</v>
      </c>
      <c r="D38" s="7">
        <f t="shared" si="1"/>
        <v>0</v>
      </c>
      <c r="E38" s="7">
        <f t="shared" si="0"/>
        <v>0</v>
      </c>
      <c r="F38" s="7">
        <f t="shared" si="0"/>
        <v>0</v>
      </c>
      <c r="G38" s="7">
        <f t="shared" si="0"/>
        <v>0</v>
      </c>
      <c r="H38" s="7">
        <f t="shared" si="0"/>
        <v>0</v>
      </c>
      <c r="I38" s="7">
        <f t="shared" si="0"/>
        <v>0</v>
      </c>
      <c r="J38" s="7">
        <f t="shared" si="0"/>
        <v>0</v>
      </c>
      <c r="K38" s="7">
        <f t="shared" si="0"/>
        <v>0</v>
      </c>
      <c r="L38" s="7">
        <f t="shared" si="0"/>
        <v>0</v>
      </c>
      <c r="M38" s="7">
        <f t="shared" si="0"/>
        <v>0</v>
      </c>
      <c r="N38" s="7">
        <f t="shared" si="0"/>
        <v>0</v>
      </c>
      <c r="O38" s="7">
        <f t="shared" si="0"/>
        <v>0</v>
      </c>
      <c r="P38" s="7">
        <f t="shared" si="0"/>
        <v>0</v>
      </c>
      <c r="Q38" s="7">
        <f t="shared" si="0"/>
        <v>0</v>
      </c>
      <c r="R38" s="7">
        <f t="shared" si="0"/>
        <v>0</v>
      </c>
      <c r="S38" s="7">
        <f t="shared" si="0"/>
        <v>0</v>
      </c>
      <c r="T38" s="7">
        <f t="shared" si="0"/>
        <v>0</v>
      </c>
      <c r="U38" s="7">
        <f t="shared" si="0"/>
        <v>0</v>
      </c>
      <c r="V38" s="7">
        <f t="shared" si="0"/>
        <v>0</v>
      </c>
      <c r="W38" s="7">
        <f t="shared" si="0"/>
        <v>0</v>
      </c>
      <c r="X38" s="7">
        <f t="shared" si="0"/>
        <v>0</v>
      </c>
      <c r="Y38" s="7">
        <f t="shared" si="0"/>
        <v>0</v>
      </c>
      <c r="Z38" s="7">
        <f t="shared" si="0"/>
        <v>0</v>
      </c>
      <c r="AA38" s="7">
        <f t="shared" si="0"/>
        <v>0</v>
      </c>
      <c r="AB38" s="7">
        <f t="shared" si="0"/>
        <v>0</v>
      </c>
      <c r="AC38" s="7">
        <f t="shared" si="0"/>
        <v>0</v>
      </c>
    </row>
    <row r="39" spans="1:29" x14ac:dyDescent="0.55000000000000004">
      <c r="A39" s="2" t="s">
        <v>32</v>
      </c>
      <c r="B39">
        <v>5</v>
      </c>
      <c r="D39" s="7">
        <f t="shared" si="1"/>
        <v>0</v>
      </c>
      <c r="E39" s="7">
        <f t="shared" si="0"/>
        <v>25786</v>
      </c>
      <c r="F39" s="7">
        <f t="shared" si="0"/>
        <v>38910</v>
      </c>
      <c r="G39" s="7">
        <f t="shared" si="0"/>
        <v>1807450</v>
      </c>
      <c r="H39" s="7">
        <f t="shared" si="0"/>
        <v>87034</v>
      </c>
      <c r="I39" s="7">
        <f t="shared" si="0"/>
        <v>230032</v>
      </c>
      <c r="J39" s="7">
        <f t="shared" si="0"/>
        <v>1010779.5</v>
      </c>
      <c r="K39" s="7">
        <f t="shared" si="0"/>
        <v>872906</v>
      </c>
      <c r="L39" s="7">
        <f t="shared" si="0"/>
        <v>156040</v>
      </c>
      <c r="M39" s="7">
        <f t="shared" si="0"/>
        <v>303456</v>
      </c>
      <c r="N39" s="7">
        <f t="shared" si="0"/>
        <v>103914</v>
      </c>
      <c r="O39" s="7">
        <f t="shared" si="0"/>
        <v>220864</v>
      </c>
      <c r="P39" s="7">
        <f t="shared" si="0"/>
        <v>43236</v>
      </c>
      <c r="Q39" s="7">
        <f t="shared" si="0"/>
        <v>58357</v>
      </c>
      <c r="R39" s="7">
        <f t="shared" si="0"/>
        <v>27000</v>
      </c>
      <c r="S39" s="7">
        <f t="shared" si="0"/>
        <v>996933</v>
      </c>
      <c r="T39" s="7">
        <f t="shared" si="0"/>
        <v>130000</v>
      </c>
      <c r="U39" s="7">
        <f t="shared" si="0"/>
        <v>97302</v>
      </c>
      <c r="V39" s="7">
        <f t="shared" si="0"/>
        <v>37977</v>
      </c>
      <c r="W39" s="7">
        <f t="shared" si="0"/>
        <v>633500</v>
      </c>
      <c r="X39" s="7">
        <f t="shared" si="0"/>
        <v>624217</v>
      </c>
      <c r="Y39" s="7">
        <f t="shared" si="0"/>
        <v>103000</v>
      </c>
      <c r="Z39" s="7">
        <f t="shared" si="0"/>
        <v>1792080</v>
      </c>
      <c r="AA39" s="7">
        <f t="shared" si="0"/>
        <v>1279067</v>
      </c>
      <c r="AB39" s="7">
        <f t="shared" si="0"/>
        <v>0</v>
      </c>
      <c r="AC39" s="7">
        <f t="shared" si="0"/>
        <v>0</v>
      </c>
    </row>
    <row r="40" spans="1:29" x14ac:dyDescent="0.55000000000000004">
      <c r="A40" s="2" t="s">
        <v>33</v>
      </c>
      <c r="B40">
        <v>6</v>
      </c>
      <c r="D40" s="7">
        <f t="shared" si="1"/>
        <v>0</v>
      </c>
      <c r="E40" s="7">
        <f t="shared" si="0"/>
        <v>29310</v>
      </c>
      <c r="F40" s="7">
        <f t="shared" si="0"/>
        <v>17610</v>
      </c>
      <c r="G40" s="7">
        <f t="shared" si="0"/>
        <v>722680</v>
      </c>
      <c r="H40" s="7">
        <f t="shared" si="0"/>
        <v>60844</v>
      </c>
      <c r="I40" s="7">
        <f t="shared" si="0"/>
        <v>110945</v>
      </c>
      <c r="J40" s="7">
        <f t="shared" si="0"/>
        <v>559665</v>
      </c>
      <c r="K40" s="7">
        <f t="shared" si="0"/>
        <v>94613</v>
      </c>
      <c r="L40" s="7">
        <f t="shared" si="0"/>
        <v>43205</v>
      </c>
      <c r="M40" s="7">
        <f t="shared" si="0"/>
        <v>331690</v>
      </c>
      <c r="N40" s="7">
        <f t="shared" si="0"/>
        <v>30860</v>
      </c>
      <c r="O40" s="7">
        <f t="shared" si="0"/>
        <v>300709</v>
      </c>
      <c r="P40" s="7">
        <f t="shared" si="0"/>
        <v>0</v>
      </c>
      <c r="Q40" s="7">
        <f t="shared" si="0"/>
        <v>21978</v>
      </c>
      <c r="R40" s="7">
        <f t="shared" si="0"/>
        <v>18000</v>
      </c>
      <c r="S40" s="7">
        <f t="shared" si="0"/>
        <v>894810</v>
      </c>
      <c r="T40" s="7">
        <f t="shared" si="0"/>
        <v>88000</v>
      </c>
      <c r="U40" s="7">
        <f t="shared" si="0"/>
        <v>121969</v>
      </c>
      <c r="V40" s="7">
        <f t="shared" si="0"/>
        <v>18393</v>
      </c>
      <c r="W40" s="7">
        <f t="shared" si="0"/>
        <v>548000</v>
      </c>
      <c r="X40" s="7">
        <f t="shared" si="0"/>
        <v>34808</v>
      </c>
      <c r="Y40" s="7">
        <f t="shared" si="0"/>
        <v>40000</v>
      </c>
      <c r="Z40" s="7">
        <f t="shared" si="0"/>
        <v>1185260</v>
      </c>
      <c r="AA40" s="7">
        <f t="shared" si="0"/>
        <v>85181</v>
      </c>
      <c r="AB40" s="7">
        <f t="shared" si="0"/>
        <v>0</v>
      </c>
      <c r="AC40" s="7">
        <f t="shared" si="0"/>
        <v>0</v>
      </c>
    </row>
    <row r="41" spans="1:29" x14ac:dyDescent="0.55000000000000004">
      <c r="A41" s="2" t="s">
        <v>34</v>
      </c>
      <c r="B41">
        <v>7</v>
      </c>
      <c r="D41" s="7">
        <f t="shared" si="1"/>
        <v>0</v>
      </c>
      <c r="E41" s="7">
        <f t="shared" si="0"/>
        <v>0</v>
      </c>
      <c r="F41" s="7">
        <f t="shared" si="0"/>
        <v>34160</v>
      </c>
      <c r="G41" s="7">
        <f t="shared" si="0"/>
        <v>466150</v>
      </c>
      <c r="H41" s="7">
        <f t="shared" si="0"/>
        <v>32173</v>
      </c>
      <c r="I41" s="7">
        <f t="shared" si="0"/>
        <v>237167</v>
      </c>
      <c r="J41" s="7">
        <f t="shared" si="0"/>
        <v>245673.5</v>
      </c>
      <c r="K41" s="7">
        <f t="shared" si="0"/>
        <v>0</v>
      </c>
      <c r="L41" s="7">
        <f t="shared" si="0"/>
        <v>20850</v>
      </c>
      <c r="M41" s="7">
        <f t="shared" si="0"/>
        <v>10000</v>
      </c>
      <c r="N41" s="7">
        <f t="shared" si="0"/>
        <v>0</v>
      </c>
      <c r="O41" s="7">
        <f t="shared" si="0"/>
        <v>0</v>
      </c>
      <c r="P41" s="7">
        <f t="shared" si="0"/>
        <v>4131</v>
      </c>
      <c r="Q41" s="7">
        <f t="shared" si="0"/>
        <v>4340</v>
      </c>
      <c r="R41" s="7">
        <f t="shared" si="0"/>
        <v>38000</v>
      </c>
      <c r="S41" s="7">
        <f t="shared" si="0"/>
        <v>0</v>
      </c>
      <c r="T41" s="7">
        <f t="shared" si="0"/>
        <v>144000</v>
      </c>
      <c r="U41" s="7">
        <f t="shared" si="0"/>
        <v>16646</v>
      </c>
      <c r="V41" s="7">
        <f t="shared" si="0"/>
        <v>169885</v>
      </c>
      <c r="W41" s="7">
        <f t="shared" si="0"/>
        <v>147000</v>
      </c>
      <c r="X41" s="7">
        <f t="shared" si="0"/>
        <v>15850</v>
      </c>
      <c r="Y41" s="7">
        <f t="shared" si="0"/>
        <v>8000</v>
      </c>
      <c r="Z41" s="7">
        <f t="shared" si="0"/>
        <v>0</v>
      </c>
      <c r="AA41" s="7">
        <f t="shared" si="0"/>
        <v>24282</v>
      </c>
      <c r="AB41" s="7">
        <f t="shared" si="0"/>
        <v>0</v>
      </c>
      <c r="AC41" s="7">
        <f t="shared" si="0"/>
        <v>0</v>
      </c>
    </row>
    <row r="42" spans="1:29" x14ac:dyDescent="0.55000000000000004">
      <c r="A42" s="2" t="s">
        <v>35</v>
      </c>
      <c r="B42">
        <v>8</v>
      </c>
      <c r="D42" s="7">
        <f t="shared" si="1"/>
        <v>0</v>
      </c>
      <c r="E42" s="7">
        <f t="shared" si="0"/>
        <v>8875</v>
      </c>
      <c r="F42" s="7">
        <f t="shared" si="0"/>
        <v>38253</v>
      </c>
      <c r="G42" s="7">
        <f t="shared" si="0"/>
        <v>233900</v>
      </c>
      <c r="H42" s="7">
        <f t="shared" si="0"/>
        <v>95390</v>
      </c>
      <c r="I42" s="7">
        <f t="shared" si="0"/>
        <v>33406</v>
      </c>
      <c r="J42" s="7">
        <f t="shared" si="0"/>
        <v>80058</v>
      </c>
      <c r="K42" s="7">
        <f t="shared" si="0"/>
        <v>66366</v>
      </c>
      <c r="L42" s="7">
        <f t="shared" si="0"/>
        <v>37376</v>
      </c>
      <c r="M42" s="7">
        <f t="shared" si="0"/>
        <v>73117</v>
      </c>
      <c r="N42" s="7">
        <f t="shared" si="0"/>
        <v>72058</v>
      </c>
      <c r="O42" s="7">
        <f t="shared" si="0"/>
        <v>55819</v>
      </c>
      <c r="P42" s="7">
        <f t="shared" si="0"/>
        <v>65125</v>
      </c>
      <c r="Q42" s="7">
        <f t="shared" si="0"/>
        <v>0</v>
      </c>
      <c r="R42" s="7">
        <f t="shared" si="0"/>
        <v>6225</v>
      </c>
      <c r="S42" s="7">
        <f t="shared" si="0"/>
        <v>131500</v>
      </c>
      <c r="T42" s="7">
        <f t="shared" si="0"/>
        <v>0</v>
      </c>
      <c r="U42" s="7">
        <f t="shared" si="0"/>
        <v>75373</v>
      </c>
      <c r="V42" s="7">
        <f t="shared" si="0"/>
        <v>11275</v>
      </c>
      <c r="W42" s="7">
        <f t="shared" si="0"/>
        <v>74150</v>
      </c>
      <c r="X42" s="7">
        <f t="shared" si="0"/>
        <v>101913</v>
      </c>
      <c r="Y42" s="7">
        <f t="shared" si="0"/>
        <v>4000</v>
      </c>
      <c r="Z42" s="7">
        <f t="shared" si="0"/>
        <v>645822</v>
      </c>
      <c r="AA42" s="7">
        <f t="shared" si="0"/>
        <v>32405</v>
      </c>
      <c r="AB42" s="7">
        <f t="shared" si="0"/>
        <v>0</v>
      </c>
      <c r="AC42" s="7">
        <f t="shared" si="0"/>
        <v>0</v>
      </c>
    </row>
    <row r="43" spans="1:29" x14ac:dyDescent="0.55000000000000004">
      <c r="A43" s="2" t="s">
        <v>36</v>
      </c>
      <c r="B43">
        <v>9</v>
      </c>
      <c r="D43" s="7">
        <f>HLOOKUP(D$35,$D$2:$AC$10,$B43,FALSE)</f>
        <v>0</v>
      </c>
      <c r="E43" s="7">
        <f t="shared" si="0"/>
        <v>0</v>
      </c>
      <c r="F43" s="7">
        <f t="shared" si="0"/>
        <v>0</v>
      </c>
      <c r="G43" s="7">
        <f t="shared" si="0"/>
        <v>3000</v>
      </c>
      <c r="H43" s="7">
        <f t="shared" si="0"/>
        <v>0</v>
      </c>
      <c r="I43" s="7">
        <f t="shared" si="0"/>
        <v>2400</v>
      </c>
      <c r="J43" s="7">
        <f t="shared" si="0"/>
        <v>0</v>
      </c>
      <c r="K43" s="7">
        <f t="shared" si="0"/>
        <v>0</v>
      </c>
      <c r="L43" s="7">
        <f t="shared" si="0"/>
        <v>0</v>
      </c>
      <c r="M43" s="7">
        <f t="shared" si="0"/>
        <v>15000</v>
      </c>
      <c r="N43" s="7">
        <f t="shared" si="0"/>
        <v>0</v>
      </c>
      <c r="O43" s="7">
        <f t="shared" si="0"/>
        <v>0</v>
      </c>
      <c r="P43" s="7">
        <f t="shared" si="0"/>
        <v>0</v>
      </c>
      <c r="Q43" s="7">
        <f t="shared" si="0"/>
        <v>0</v>
      </c>
      <c r="R43" s="7">
        <f t="shared" si="0"/>
        <v>0</v>
      </c>
      <c r="S43" s="7">
        <f t="shared" si="0"/>
        <v>0</v>
      </c>
      <c r="T43" s="7">
        <f t="shared" si="0"/>
        <v>0</v>
      </c>
      <c r="U43" s="7">
        <f t="shared" si="0"/>
        <v>0</v>
      </c>
      <c r="V43" s="7">
        <f t="shared" si="0"/>
        <v>0</v>
      </c>
      <c r="W43" s="7">
        <f t="shared" si="0"/>
        <v>7000</v>
      </c>
      <c r="X43" s="7">
        <f t="shared" si="0"/>
        <v>0</v>
      </c>
      <c r="Y43" s="7">
        <f t="shared" si="0"/>
        <v>0</v>
      </c>
      <c r="Z43" s="7">
        <f t="shared" si="0"/>
        <v>0</v>
      </c>
      <c r="AA43" s="7">
        <f t="shared" si="0"/>
        <v>0</v>
      </c>
      <c r="AB43" s="7">
        <f t="shared" si="0"/>
        <v>0</v>
      </c>
      <c r="AC43" s="7">
        <f t="shared" si="0"/>
        <v>0</v>
      </c>
    </row>
    <row r="44" spans="1:29" x14ac:dyDescent="0.55000000000000004">
      <c r="A44" s="2"/>
    </row>
    <row r="45" spans="1:29" x14ac:dyDescent="0.55000000000000004">
      <c r="A45" s="1" t="s">
        <v>39</v>
      </c>
      <c r="B45" s="1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spans="1:29" x14ac:dyDescent="0.55000000000000004">
      <c r="A46" s="1" t="s">
        <v>28</v>
      </c>
      <c r="B46" s="1" t="s">
        <v>41</v>
      </c>
      <c r="D46" s="4" t="s">
        <v>20</v>
      </c>
      <c r="E46" s="4" t="s">
        <v>17</v>
      </c>
      <c r="F46" s="4" t="s">
        <v>16</v>
      </c>
      <c r="G46" s="4" t="s">
        <v>3</v>
      </c>
      <c r="H46" s="4" t="s">
        <v>14</v>
      </c>
      <c r="I46" s="4" t="s">
        <v>13</v>
      </c>
      <c r="J46" s="4" t="s">
        <v>11</v>
      </c>
      <c r="K46" s="4" t="s">
        <v>26</v>
      </c>
      <c r="L46" s="4" t="s">
        <v>9</v>
      </c>
      <c r="M46" s="4" t="s">
        <v>19</v>
      </c>
      <c r="N46" s="4" t="s">
        <v>27</v>
      </c>
      <c r="O46" s="4" t="s">
        <v>4</v>
      </c>
      <c r="P46" s="4" t="s">
        <v>25</v>
      </c>
      <c r="Q46" s="4" t="s">
        <v>8</v>
      </c>
      <c r="R46" s="4" t="s">
        <v>7</v>
      </c>
      <c r="S46" s="4" t="s">
        <v>18</v>
      </c>
      <c r="T46" s="4" t="s">
        <v>15</v>
      </c>
      <c r="U46" s="4" t="s">
        <v>12</v>
      </c>
      <c r="V46" s="4" t="s">
        <v>6</v>
      </c>
      <c r="W46" s="4" t="s">
        <v>21</v>
      </c>
      <c r="X46" s="4" t="s">
        <v>22</v>
      </c>
      <c r="Y46" s="4" t="s">
        <v>5</v>
      </c>
      <c r="Z46" s="4" t="s">
        <v>23</v>
      </c>
      <c r="AA46" s="4" t="s">
        <v>24</v>
      </c>
      <c r="AB46" s="4" t="s">
        <v>10</v>
      </c>
      <c r="AC46" s="4" t="s">
        <v>2</v>
      </c>
    </row>
    <row r="47" spans="1:29" x14ac:dyDescent="0.55000000000000004">
      <c r="A47" s="2" t="s">
        <v>29</v>
      </c>
      <c r="B47">
        <v>2</v>
      </c>
      <c r="D47" s="7">
        <f>HLOOKUP(D$46,$D$13:$AC$21,$B47,FALSE)</f>
        <v>0</v>
      </c>
      <c r="E47" s="7">
        <f t="shared" ref="E47:AC54" si="2">HLOOKUP(E$46,$D$13:$AC$21,$B47,FALSE)</f>
        <v>0</v>
      </c>
      <c r="F47" s="7">
        <f t="shared" si="2"/>
        <v>3000</v>
      </c>
      <c r="G47" s="7">
        <f t="shared" si="2"/>
        <v>0</v>
      </c>
      <c r="H47" s="7">
        <f t="shared" si="2"/>
        <v>8000</v>
      </c>
      <c r="I47" s="7">
        <f t="shared" si="2"/>
        <v>0</v>
      </c>
      <c r="J47" s="7">
        <f t="shared" si="2"/>
        <v>7000</v>
      </c>
      <c r="K47" s="7">
        <f t="shared" si="2"/>
        <v>0</v>
      </c>
      <c r="L47" s="7">
        <f t="shared" si="2"/>
        <v>0</v>
      </c>
      <c r="M47" s="7">
        <f t="shared" si="2"/>
        <v>30000</v>
      </c>
      <c r="N47" s="7">
        <f t="shared" si="2"/>
        <v>0</v>
      </c>
      <c r="O47" s="7">
        <f t="shared" si="2"/>
        <v>0</v>
      </c>
      <c r="P47" s="7">
        <f t="shared" si="2"/>
        <v>0</v>
      </c>
      <c r="Q47" s="7">
        <f t="shared" si="2"/>
        <v>0</v>
      </c>
      <c r="R47" s="7">
        <f t="shared" si="2"/>
        <v>5000</v>
      </c>
      <c r="S47" s="7">
        <f t="shared" si="2"/>
        <v>0</v>
      </c>
      <c r="T47" s="7">
        <f t="shared" si="2"/>
        <v>0</v>
      </c>
      <c r="U47" s="7">
        <f t="shared" si="2"/>
        <v>0</v>
      </c>
      <c r="V47" s="7">
        <f t="shared" si="2"/>
        <v>0</v>
      </c>
      <c r="W47" s="7">
        <f t="shared" si="2"/>
        <v>0</v>
      </c>
      <c r="X47" s="7">
        <f t="shared" si="2"/>
        <v>0</v>
      </c>
      <c r="Y47" s="7">
        <f t="shared" si="2"/>
        <v>12000</v>
      </c>
      <c r="Z47" s="7">
        <f t="shared" si="2"/>
        <v>7000</v>
      </c>
      <c r="AA47" s="7">
        <f t="shared" si="2"/>
        <v>0</v>
      </c>
      <c r="AB47" s="7">
        <f t="shared" si="2"/>
        <v>0</v>
      </c>
      <c r="AC47" s="7">
        <f t="shared" si="2"/>
        <v>0</v>
      </c>
    </row>
    <row r="48" spans="1:29" x14ac:dyDescent="0.55000000000000004">
      <c r="A48" s="2" t="s">
        <v>30</v>
      </c>
      <c r="B48">
        <v>3</v>
      </c>
      <c r="D48" s="7">
        <f t="shared" ref="D48:S54" si="3">HLOOKUP(D$46,$D$13:$AC$21,$B48,FALSE)</f>
        <v>0</v>
      </c>
      <c r="E48" s="7">
        <f t="shared" si="3"/>
        <v>0</v>
      </c>
      <c r="F48" s="7">
        <f t="shared" si="3"/>
        <v>13182</v>
      </c>
      <c r="G48" s="7">
        <f t="shared" si="3"/>
        <v>123325</v>
      </c>
      <c r="H48" s="7">
        <f t="shared" si="3"/>
        <v>50603</v>
      </c>
      <c r="I48" s="7">
        <f t="shared" si="3"/>
        <v>45820</v>
      </c>
      <c r="J48" s="7">
        <f t="shared" si="3"/>
        <v>3650</v>
      </c>
      <c r="K48" s="7">
        <f t="shared" si="3"/>
        <v>0</v>
      </c>
      <c r="L48" s="7">
        <f t="shared" si="3"/>
        <v>0</v>
      </c>
      <c r="M48" s="7">
        <f t="shared" si="3"/>
        <v>30880</v>
      </c>
      <c r="N48" s="7">
        <f t="shared" si="3"/>
        <v>60930</v>
      </c>
      <c r="O48" s="7">
        <f t="shared" si="3"/>
        <v>0</v>
      </c>
      <c r="P48" s="7">
        <f t="shared" si="3"/>
        <v>11846</v>
      </c>
      <c r="Q48" s="7">
        <f t="shared" si="3"/>
        <v>20723</v>
      </c>
      <c r="R48" s="7">
        <f t="shared" si="3"/>
        <v>10000</v>
      </c>
      <c r="S48" s="7">
        <f t="shared" si="3"/>
        <v>0</v>
      </c>
      <c r="T48" s="7">
        <f t="shared" si="2"/>
        <v>24000</v>
      </c>
      <c r="U48" s="7">
        <f t="shared" si="2"/>
        <v>21200</v>
      </c>
      <c r="V48" s="7">
        <f t="shared" si="2"/>
        <v>7308</v>
      </c>
      <c r="W48" s="7">
        <f t="shared" si="2"/>
        <v>24000</v>
      </c>
      <c r="X48" s="7">
        <f t="shared" si="2"/>
        <v>0</v>
      </c>
      <c r="Y48" s="7">
        <f t="shared" si="2"/>
        <v>6000</v>
      </c>
      <c r="Z48" s="7">
        <f t="shared" si="2"/>
        <v>144513</v>
      </c>
      <c r="AA48" s="7">
        <f t="shared" si="2"/>
        <v>32315</v>
      </c>
      <c r="AB48" s="7">
        <f t="shared" si="2"/>
        <v>0</v>
      </c>
      <c r="AC48" s="7">
        <f t="shared" si="2"/>
        <v>0</v>
      </c>
    </row>
    <row r="49" spans="1:29" x14ac:dyDescent="0.55000000000000004">
      <c r="A49" s="2" t="s">
        <v>31</v>
      </c>
      <c r="B49">
        <v>4</v>
      </c>
      <c r="D49" s="7">
        <f t="shared" si="3"/>
        <v>0</v>
      </c>
      <c r="E49" s="7">
        <f t="shared" si="2"/>
        <v>0</v>
      </c>
      <c r="F49" s="7">
        <f t="shared" si="2"/>
        <v>0</v>
      </c>
      <c r="G49" s="7">
        <f t="shared" si="2"/>
        <v>16200</v>
      </c>
      <c r="H49" s="7">
        <f t="shared" si="2"/>
        <v>26250</v>
      </c>
      <c r="I49" s="7">
        <f t="shared" si="2"/>
        <v>38400</v>
      </c>
      <c r="J49" s="7">
        <f t="shared" si="2"/>
        <v>45335</v>
      </c>
      <c r="K49" s="7">
        <f t="shared" si="2"/>
        <v>0</v>
      </c>
      <c r="L49" s="7">
        <f t="shared" si="2"/>
        <v>0</v>
      </c>
      <c r="M49" s="7">
        <f t="shared" si="2"/>
        <v>0</v>
      </c>
      <c r="N49" s="7">
        <f t="shared" si="2"/>
        <v>0</v>
      </c>
      <c r="O49" s="7">
        <f t="shared" si="2"/>
        <v>0</v>
      </c>
      <c r="P49" s="7">
        <f t="shared" si="2"/>
        <v>0</v>
      </c>
      <c r="Q49" s="7">
        <f t="shared" si="2"/>
        <v>0</v>
      </c>
      <c r="R49" s="7">
        <f t="shared" si="2"/>
        <v>0</v>
      </c>
      <c r="S49" s="7">
        <f t="shared" si="2"/>
        <v>0</v>
      </c>
      <c r="T49" s="7">
        <f t="shared" si="2"/>
        <v>0</v>
      </c>
      <c r="U49" s="7">
        <f t="shared" si="2"/>
        <v>0</v>
      </c>
      <c r="V49" s="7">
        <f t="shared" si="2"/>
        <v>0</v>
      </c>
      <c r="W49" s="7">
        <f t="shared" si="2"/>
        <v>0</v>
      </c>
      <c r="X49" s="7">
        <f t="shared" si="2"/>
        <v>0</v>
      </c>
      <c r="Y49" s="7">
        <f t="shared" si="2"/>
        <v>0</v>
      </c>
      <c r="Z49" s="7">
        <f t="shared" si="2"/>
        <v>48033</v>
      </c>
      <c r="AA49" s="7">
        <f t="shared" si="2"/>
        <v>0</v>
      </c>
      <c r="AB49" s="7">
        <f t="shared" si="2"/>
        <v>0</v>
      </c>
      <c r="AC49" s="7">
        <f t="shared" si="2"/>
        <v>0</v>
      </c>
    </row>
    <row r="50" spans="1:29" x14ac:dyDescent="0.55000000000000004">
      <c r="A50" s="2" t="s">
        <v>32</v>
      </c>
      <c r="B50">
        <v>5</v>
      </c>
      <c r="D50" s="7">
        <f t="shared" si="3"/>
        <v>0</v>
      </c>
      <c r="E50" s="7">
        <f t="shared" si="2"/>
        <v>0</v>
      </c>
      <c r="F50" s="7">
        <f t="shared" si="2"/>
        <v>0</v>
      </c>
      <c r="G50" s="7">
        <f t="shared" si="2"/>
        <v>255550</v>
      </c>
      <c r="H50" s="7">
        <f t="shared" si="2"/>
        <v>2800</v>
      </c>
      <c r="I50" s="7">
        <f t="shared" si="2"/>
        <v>29375</v>
      </c>
      <c r="J50" s="7">
        <f t="shared" si="2"/>
        <v>124337</v>
      </c>
      <c r="K50" s="7">
        <f t="shared" si="2"/>
        <v>10140</v>
      </c>
      <c r="L50" s="7">
        <f t="shared" si="2"/>
        <v>11160</v>
      </c>
      <c r="M50" s="7">
        <f t="shared" si="2"/>
        <v>87110</v>
      </c>
      <c r="N50" s="7">
        <f t="shared" si="2"/>
        <v>17300</v>
      </c>
      <c r="O50" s="7">
        <f t="shared" si="2"/>
        <v>74027</v>
      </c>
      <c r="P50" s="7">
        <f t="shared" si="2"/>
        <v>19703</v>
      </c>
      <c r="Q50" s="7">
        <f t="shared" si="2"/>
        <v>37893</v>
      </c>
      <c r="R50" s="7">
        <f t="shared" si="2"/>
        <v>12000</v>
      </c>
      <c r="S50" s="7">
        <f t="shared" si="2"/>
        <v>20200</v>
      </c>
      <c r="T50" s="7">
        <f t="shared" si="2"/>
        <v>10000</v>
      </c>
      <c r="U50" s="7">
        <f t="shared" si="2"/>
        <v>20681</v>
      </c>
      <c r="V50" s="7">
        <f t="shared" si="2"/>
        <v>15952</v>
      </c>
      <c r="W50" s="7">
        <f t="shared" si="2"/>
        <v>91363</v>
      </c>
      <c r="X50" s="7">
        <f t="shared" si="2"/>
        <v>45042</v>
      </c>
      <c r="Y50" s="7">
        <f t="shared" si="2"/>
        <v>22680</v>
      </c>
      <c r="Z50" s="7">
        <f t="shared" si="2"/>
        <v>57534</v>
      </c>
      <c r="AA50" s="7">
        <f t="shared" si="2"/>
        <v>176828</v>
      </c>
      <c r="AB50" s="7">
        <f t="shared" si="2"/>
        <v>0</v>
      </c>
      <c r="AC50" s="7">
        <f t="shared" si="2"/>
        <v>0</v>
      </c>
    </row>
    <row r="51" spans="1:29" x14ac:dyDescent="0.55000000000000004">
      <c r="A51" s="2" t="s">
        <v>33</v>
      </c>
      <c r="B51">
        <v>6</v>
      </c>
      <c r="D51" s="7">
        <f t="shared" si="3"/>
        <v>0</v>
      </c>
      <c r="E51" s="7">
        <f t="shared" si="2"/>
        <v>19014</v>
      </c>
      <c r="F51" s="7">
        <f t="shared" si="2"/>
        <v>34977</v>
      </c>
      <c r="G51" s="7">
        <f t="shared" si="2"/>
        <v>196620</v>
      </c>
      <c r="H51" s="7">
        <f t="shared" si="2"/>
        <v>0</v>
      </c>
      <c r="I51" s="7">
        <f t="shared" si="2"/>
        <v>67763</v>
      </c>
      <c r="J51" s="7">
        <f t="shared" si="2"/>
        <v>95711</v>
      </c>
      <c r="K51" s="7">
        <f t="shared" si="2"/>
        <v>0</v>
      </c>
      <c r="L51" s="7">
        <f t="shared" si="2"/>
        <v>16000</v>
      </c>
      <c r="M51" s="7">
        <f t="shared" si="2"/>
        <v>157590</v>
      </c>
      <c r="N51" s="7">
        <f t="shared" si="2"/>
        <v>0</v>
      </c>
      <c r="O51" s="7">
        <f t="shared" si="2"/>
        <v>341425</v>
      </c>
      <c r="P51" s="7">
        <f t="shared" si="2"/>
        <v>0</v>
      </c>
      <c r="Q51" s="7">
        <f t="shared" si="2"/>
        <v>48251</v>
      </c>
      <c r="R51" s="7">
        <f t="shared" si="2"/>
        <v>24180</v>
      </c>
      <c r="S51" s="7">
        <f t="shared" si="2"/>
        <v>186464.35</v>
      </c>
      <c r="T51" s="7">
        <f t="shared" si="2"/>
        <v>0</v>
      </c>
      <c r="U51" s="7">
        <f t="shared" si="2"/>
        <v>63214</v>
      </c>
      <c r="V51" s="7">
        <f t="shared" si="2"/>
        <v>4740</v>
      </c>
      <c r="W51" s="7">
        <f t="shared" si="2"/>
        <v>255743</v>
      </c>
      <c r="X51" s="7">
        <f t="shared" si="2"/>
        <v>0</v>
      </c>
      <c r="Y51" s="7">
        <f t="shared" si="2"/>
        <v>61800</v>
      </c>
      <c r="Z51" s="7">
        <f t="shared" si="2"/>
        <v>82081</v>
      </c>
      <c r="AA51" s="7">
        <f t="shared" si="2"/>
        <v>101832</v>
      </c>
      <c r="AB51" s="7">
        <f t="shared" si="2"/>
        <v>0</v>
      </c>
      <c r="AC51" s="7">
        <f t="shared" si="2"/>
        <v>0</v>
      </c>
    </row>
    <row r="52" spans="1:29" x14ac:dyDescent="0.55000000000000004">
      <c r="A52" s="2" t="s">
        <v>34</v>
      </c>
      <c r="B52">
        <v>7</v>
      </c>
      <c r="D52" s="7">
        <f t="shared" si="3"/>
        <v>0</v>
      </c>
      <c r="E52" s="7">
        <f t="shared" si="2"/>
        <v>0</v>
      </c>
      <c r="F52" s="7">
        <f t="shared" si="2"/>
        <v>32383</v>
      </c>
      <c r="G52" s="7">
        <f t="shared" si="2"/>
        <v>269950</v>
      </c>
      <c r="H52" s="7">
        <f t="shared" si="2"/>
        <v>26446</v>
      </c>
      <c r="I52" s="7">
        <f t="shared" si="2"/>
        <v>327261</v>
      </c>
      <c r="J52" s="7">
        <f t="shared" si="2"/>
        <v>264362</v>
      </c>
      <c r="K52" s="7">
        <f t="shared" si="2"/>
        <v>0</v>
      </c>
      <c r="L52" s="7">
        <f t="shared" si="2"/>
        <v>50520</v>
      </c>
      <c r="M52" s="7">
        <f t="shared" si="2"/>
        <v>122690</v>
      </c>
      <c r="N52" s="7">
        <f t="shared" si="2"/>
        <v>0</v>
      </c>
      <c r="O52" s="7">
        <f t="shared" si="2"/>
        <v>0</v>
      </c>
      <c r="P52" s="7">
        <f t="shared" si="2"/>
        <v>0</v>
      </c>
      <c r="Q52" s="7">
        <f t="shared" si="2"/>
        <v>0</v>
      </c>
      <c r="R52" s="7">
        <f t="shared" si="2"/>
        <v>59332</v>
      </c>
      <c r="S52" s="7">
        <f t="shared" si="2"/>
        <v>0</v>
      </c>
      <c r="T52" s="7">
        <f t="shared" si="2"/>
        <v>32343</v>
      </c>
      <c r="U52" s="7">
        <f t="shared" si="2"/>
        <v>27222</v>
      </c>
      <c r="V52" s="7">
        <f t="shared" si="2"/>
        <v>156528</v>
      </c>
      <c r="W52" s="7">
        <f t="shared" si="2"/>
        <v>96382</v>
      </c>
      <c r="X52" s="7">
        <f t="shared" si="2"/>
        <v>36100</v>
      </c>
      <c r="Y52" s="7">
        <f t="shared" si="2"/>
        <v>34000</v>
      </c>
      <c r="Z52" s="7">
        <f t="shared" si="2"/>
        <v>0</v>
      </c>
      <c r="AA52" s="7">
        <f t="shared" si="2"/>
        <v>294379</v>
      </c>
      <c r="AB52" s="7">
        <f t="shared" si="2"/>
        <v>0</v>
      </c>
      <c r="AC52" s="7">
        <f t="shared" si="2"/>
        <v>0</v>
      </c>
    </row>
    <row r="53" spans="1:29" x14ac:dyDescent="0.55000000000000004">
      <c r="A53" s="2" t="s">
        <v>35</v>
      </c>
      <c r="B53">
        <v>8</v>
      </c>
      <c r="D53" s="7">
        <f t="shared" si="3"/>
        <v>0</v>
      </c>
      <c r="E53" s="7">
        <f t="shared" si="2"/>
        <v>0</v>
      </c>
      <c r="F53" s="7">
        <f t="shared" si="2"/>
        <v>15402</v>
      </c>
      <c r="G53" s="7">
        <f t="shared" si="2"/>
        <v>241950</v>
      </c>
      <c r="H53" s="7">
        <f t="shared" si="2"/>
        <v>150562</v>
      </c>
      <c r="I53" s="7">
        <f t="shared" si="2"/>
        <v>71565</v>
      </c>
      <c r="J53" s="7">
        <f t="shared" si="2"/>
        <v>3295</v>
      </c>
      <c r="K53" s="7">
        <f t="shared" si="2"/>
        <v>118024</v>
      </c>
      <c r="L53" s="7">
        <f t="shared" si="2"/>
        <v>0</v>
      </c>
      <c r="M53" s="7">
        <f t="shared" si="2"/>
        <v>64776</v>
      </c>
      <c r="N53" s="7">
        <f t="shared" si="2"/>
        <v>39980</v>
      </c>
      <c r="O53" s="7">
        <f t="shared" si="2"/>
        <v>59775</v>
      </c>
      <c r="P53" s="7">
        <f t="shared" si="2"/>
        <v>80001</v>
      </c>
      <c r="Q53" s="7">
        <f t="shared" si="2"/>
        <v>15126</v>
      </c>
      <c r="R53" s="7">
        <f t="shared" si="2"/>
        <v>6950</v>
      </c>
      <c r="S53" s="7">
        <f t="shared" si="2"/>
        <v>55000</v>
      </c>
      <c r="T53" s="7">
        <f t="shared" si="2"/>
        <v>8406</v>
      </c>
      <c r="U53" s="7">
        <f t="shared" si="2"/>
        <v>3468</v>
      </c>
      <c r="V53" s="7">
        <f t="shared" si="2"/>
        <v>28944</v>
      </c>
      <c r="W53" s="7">
        <f t="shared" si="2"/>
        <v>28194</v>
      </c>
      <c r="X53" s="7">
        <f t="shared" si="2"/>
        <v>45527</v>
      </c>
      <c r="Y53" s="7">
        <f t="shared" si="2"/>
        <v>4000</v>
      </c>
      <c r="Z53" s="7">
        <f t="shared" si="2"/>
        <v>226731</v>
      </c>
      <c r="AA53" s="7">
        <f t="shared" si="2"/>
        <v>15730</v>
      </c>
      <c r="AB53" s="7">
        <f t="shared" si="2"/>
        <v>0</v>
      </c>
      <c r="AC53" s="7">
        <f t="shared" si="2"/>
        <v>0</v>
      </c>
    </row>
    <row r="54" spans="1:29" x14ac:dyDescent="0.55000000000000004">
      <c r="A54" s="2" t="s">
        <v>36</v>
      </c>
      <c r="B54">
        <v>9</v>
      </c>
      <c r="D54" s="7">
        <f t="shared" si="3"/>
        <v>0</v>
      </c>
      <c r="E54" s="7">
        <f t="shared" si="2"/>
        <v>0</v>
      </c>
      <c r="F54" s="7">
        <f t="shared" si="2"/>
        <v>0</v>
      </c>
      <c r="G54" s="7">
        <f t="shared" si="2"/>
        <v>171268</v>
      </c>
      <c r="H54" s="7">
        <f t="shared" si="2"/>
        <v>0</v>
      </c>
      <c r="I54" s="7">
        <f t="shared" si="2"/>
        <v>0</v>
      </c>
      <c r="J54" s="7">
        <f t="shared" si="2"/>
        <v>0</v>
      </c>
      <c r="K54" s="7">
        <f t="shared" si="2"/>
        <v>29730</v>
      </c>
      <c r="L54" s="7">
        <f t="shared" si="2"/>
        <v>0</v>
      </c>
      <c r="M54" s="7">
        <f t="shared" si="2"/>
        <v>10000</v>
      </c>
      <c r="N54" s="7">
        <f t="shared" si="2"/>
        <v>0</v>
      </c>
      <c r="O54" s="7">
        <f t="shared" si="2"/>
        <v>0</v>
      </c>
      <c r="P54" s="7">
        <f t="shared" si="2"/>
        <v>0</v>
      </c>
      <c r="Q54" s="7">
        <f t="shared" si="2"/>
        <v>0</v>
      </c>
      <c r="R54" s="7">
        <f t="shared" si="2"/>
        <v>0</v>
      </c>
      <c r="S54" s="7">
        <f t="shared" si="2"/>
        <v>0</v>
      </c>
      <c r="T54" s="7">
        <f t="shared" si="2"/>
        <v>0</v>
      </c>
      <c r="U54" s="7">
        <f t="shared" si="2"/>
        <v>0</v>
      </c>
      <c r="V54" s="7">
        <f t="shared" si="2"/>
        <v>0</v>
      </c>
      <c r="W54" s="7">
        <f t="shared" si="2"/>
        <v>0</v>
      </c>
      <c r="X54" s="7">
        <f t="shared" si="2"/>
        <v>0</v>
      </c>
      <c r="Y54" s="7">
        <f t="shared" si="2"/>
        <v>0</v>
      </c>
      <c r="Z54" s="7">
        <f t="shared" si="2"/>
        <v>0</v>
      </c>
      <c r="AA54" s="7">
        <f t="shared" si="2"/>
        <v>0</v>
      </c>
      <c r="AB54" s="7">
        <f t="shared" si="2"/>
        <v>0</v>
      </c>
      <c r="AC54" s="7">
        <f t="shared" si="2"/>
        <v>0</v>
      </c>
    </row>
    <row r="55" spans="1:29" x14ac:dyDescent="0.55000000000000004">
      <c r="A55" s="2"/>
    </row>
    <row r="56" spans="1:29" x14ac:dyDescent="0.55000000000000004">
      <c r="A56" s="1" t="s">
        <v>38</v>
      </c>
      <c r="B56" s="1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spans="1:29" x14ac:dyDescent="0.55000000000000004">
      <c r="A57" s="1" t="s">
        <v>28</v>
      </c>
      <c r="B57" s="1" t="s">
        <v>41</v>
      </c>
      <c r="D57" s="4" t="s">
        <v>20</v>
      </c>
      <c r="E57" s="4" t="s">
        <v>17</v>
      </c>
      <c r="F57" s="4" t="s">
        <v>16</v>
      </c>
      <c r="G57" s="4" t="s">
        <v>3</v>
      </c>
      <c r="H57" s="4" t="s">
        <v>14</v>
      </c>
      <c r="I57" s="4" t="s">
        <v>13</v>
      </c>
      <c r="J57" s="4" t="s">
        <v>11</v>
      </c>
      <c r="K57" s="4" t="s">
        <v>26</v>
      </c>
      <c r="L57" s="4" t="s">
        <v>9</v>
      </c>
      <c r="M57" s="4" t="s">
        <v>19</v>
      </c>
      <c r="N57" s="4" t="s">
        <v>27</v>
      </c>
      <c r="O57" s="4" t="s">
        <v>4</v>
      </c>
      <c r="P57" s="4" t="s">
        <v>25</v>
      </c>
      <c r="Q57" s="4" t="s">
        <v>8</v>
      </c>
      <c r="R57" s="4" t="s">
        <v>7</v>
      </c>
      <c r="S57" s="4" t="s">
        <v>18</v>
      </c>
      <c r="T57" s="4" t="s">
        <v>15</v>
      </c>
      <c r="U57" s="4" t="s">
        <v>12</v>
      </c>
      <c r="V57" s="4" t="s">
        <v>6</v>
      </c>
      <c r="W57" s="4" t="s">
        <v>21</v>
      </c>
      <c r="X57" s="4" t="s">
        <v>22</v>
      </c>
      <c r="Y57" s="4" t="s">
        <v>5</v>
      </c>
      <c r="Z57" s="4" t="s">
        <v>23</v>
      </c>
      <c r="AA57" s="4" t="s">
        <v>24</v>
      </c>
      <c r="AB57" s="4" t="s">
        <v>10</v>
      </c>
      <c r="AC57" s="4" t="s">
        <v>2</v>
      </c>
    </row>
    <row r="58" spans="1:29" x14ac:dyDescent="0.55000000000000004">
      <c r="A58" s="2" t="s">
        <v>29</v>
      </c>
      <c r="B58">
        <v>2</v>
      </c>
      <c r="D58" s="7">
        <f>HLOOKUP(D$57,$D$24:$AC$32,$B58,FALSE)</f>
        <v>0</v>
      </c>
      <c r="E58" s="7">
        <f t="shared" ref="E58:AC65" si="4">HLOOKUP(E$57,$D$24:$AC$32,$B58,FALSE)</f>
        <v>0</v>
      </c>
      <c r="F58" s="7">
        <f t="shared" si="4"/>
        <v>0</v>
      </c>
      <c r="G58" s="7">
        <f t="shared" si="4"/>
        <v>0</v>
      </c>
      <c r="H58" s="7">
        <f t="shared" si="4"/>
        <v>0</v>
      </c>
      <c r="I58" s="7">
        <f t="shared" si="4"/>
        <v>0</v>
      </c>
      <c r="J58" s="7">
        <f t="shared" si="4"/>
        <v>0</v>
      </c>
      <c r="K58" s="7">
        <f t="shared" si="4"/>
        <v>0</v>
      </c>
      <c r="L58" s="7">
        <f t="shared" si="4"/>
        <v>0</v>
      </c>
      <c r="M58" s="7">
        <f t="shared" si="4"/>
        <v>0</v>
      </c>
      <c r="N58" s="7">
        <f t="shared" si="4"/>
        <v>0</v>
      </c>
      <c r="O58" s="7">
        <f t="shared" si="4"/>
        <v>0</v>
      </c>
      <c r="P58" s="7">
        <f t="shared" si="4"/>
        <v>0</v>
      </c>
      <c r="Q58" s="7">
        <f t="shared" si="4"/>
        <v>0</v>
      </c>
      <c r="R58" s="7">
        <f t="shared" si="4"/>
        <v>5000</v>
      </c>
      <c r="S58" s="7">
        <f t="shared" si="4"/>
        <v>0</v>
      </c>
      <c r="T58" s="7">
        <f t="shared" si="4"/>
        <v>0</v>
      </c>
      <c r="U58" s="7">
        <f t="shared" si="4"/>
        <v>0</v>
      </c>
      <c r="V58" s="7">
        <f t="shared" si="4"/>
        <v>0</v>
      </c>
      <c r="W58" s="7">
        <f t="shared" si="4"/>
        <v>0</v>
      </c>
      <c r="X58" s="7">
        <f t="shared" si="4"/>
        <v>0</v>
      </c>
      <c r="Y58" s="7">
        <f t="shared" si="4"/>
        <v>0</v>
      </c>
      <c r="Z58" s="7">
        <f t="shared" si="4"/>
        <v>0</v>
      </c>
      <c r="AA58" s="7">
        <f t="shared" si="4"/>
        <v>0</v>
      </c>
      <c r="AB58" s="7">
        <f t="shared" si="4"/>
        <v>0</v>
      </c>
      <c r="AC58" s="7">
        <f t="shared" si="4"/>
        <v>0</v>
      </c>
    </row>
    <row r="59" spans="1:29" x14ac:dyDescent="0.55000000000000004">
      <c r="A59" s="2" t="s">
        <v>30</v>
      </c>
      <c r="B59">
        <v>3</v>
      </c>
      <c r="D59" s="7">
        <f t="shared" ref="D59:D65" si="5">HLOOKUP(D$57,$D$24:$AC$32,$B59,FALSE)</f>
        <v>0</v>
      </c>
      <c r="E59" s="7">
        <f t="shared" si="4"/>
        <v>0</v>
      </c>
      <c r="F59" s="7">
        <f t="shared" si="4"/>
        <v>0</v>
      </c>
      <c r="G59" s="7">
        <f t="shared" si="4"/>
        <v>4500</v>
      </c>
      <c r="H59" s="7">
        <f t="shared" si="4"/>
        <v>5625</v>
      </c>
      <c r="I59" s="7">
        <f t="shared" si="4"/>
        <v>0</v>
      </c>
      <c r="J59" s="7">
        <f t="shared" si="4"/>
        <v>17493</v>
      </c>
      <c r="K59" s="7">
        <f t="shared" si="4"/>
        <v>0</v>
      </c>
      <c r="L59" s="7">
        <f t="shared" si="4"/>
        <v>0</v>
      </c>
      <c r="M59" s="7">
        <f t="shared" si="4"/>
        <v>15400</v>
      </c>
      <c r="N59" s="7">
        <f t="shared" si="4"/>
        <v>0</v>
      </c>
      <c r="O59" s="7">
        <f t="shared" si="4"/>
        <v>0</v>
      </c>
      <c r="P59" s="7">
        <f t="shared" si="4"/>
        <v>0</v>
      </c>
      <c r="Q59" s="7">
        <f t="shared" si="4"/>
        <v>0</v>
      </c>
      <c r="R59" s="7">
        <f t="shared" si="4"/>
        <v>0</v>
      </c>
      <c r="S59" s="7">
        <f t="shared" si="4"/>
        <v>0</v>
      </c>
      <c r="T59" s="7">
        <f t="shared" si="4"/>
        <v>0</v>
      </c>
      <c r="U59" s="7">
        <f t="shared" si="4"/>
        <v>6648</v>
      </c>
      <c r="V59" s="7">
        <f t="shared" si="4"/>
        <v>4300</v>
      </c>
      <c r="W59" s="7">
        <f t="shared" si="4"/>
        <v>24000</v>
      </c>
      <c r="X59" s="7">
        <f t="shared" si="4"/>
        <v>0</v>
      </c>
      <c r="Y59" s="7">
        <f t="shared" si="4"/>
        <v>0</v>
      </c>
      <c r="Z59" s="7">
        <f t="shared" si="4"/>
        <v>21985</v>
      </c>
      <c r="AA59" s="7">
        <f t="shared" si="4"/>
        <v>0</v>
      </c>
      <c r="AB59" s="7">
        <f t="shared" si="4"/>
        <v>0</v>
      </c>
      <c r="AC59" s="7">
        <f t="shared" si="4"/>
        <v>0</v>
      </c>
    </row>
    <row r="60" spans="1:29" x14ac:dyDescent="0.55000000000000004">
      <c r="A60" s="2" t="s">
        <v>31</v>
      </c>
      <c r="B60">
        <v>4</v>
      </c>
      <c r="D60" s="7">
        <f t="shared" si="5"/>
        <v>0</v>
      </c>
      <c r="E60" s="7">
        <f t="shared" si="4"/>
        <v>0</v>
      </c>
      <c r="F60" s="7">
        <f t="shared" si="4"/>
        <v>0</v>
      </c>
      <c r="G60" s="7">
        <f t="shared" si="4"/>
        <v>17820</v>
      </c>
      <c r="H60" s="7">
        <f t="shared" si="4"/>
        <v>125000</v>
      </c>
      <c r="I60" s="7">
        <f t="shared" si="4"/>
        <v>0</v>
      </c>
      <c r="J60" s="7">
        <f t="shared" si="4"/>
        <v>18820</v>
      </c>
      <c r="K60" s="7">
        <f t="shared" si="4"/>
        <v>0</v>
      </c>
      <c r="L60" s="7">
        <f t="shared" si="4"/>
        <v>0</v>
      </c>
      <c r="M60" s="7">
        <f t="shared" si="4"/>
        <v>397500</v>
      </c>
      <c r="N60" s="7">
        <f t="shared" si="4"/>
        <v>30000</v>
      </c>
      <c r="O60" s="7">
        <f t="shared" si="4"/>
        <v>0</v>
      </c>
      <c r="P60" s="7">
        <f t="shared" si="4"/>
        <v>0</v>
      </c>
      <c r="Q60" s="7">
        <f t="shared" si="4"/>
        <v>0</v>
      </c>
      <c r="R60" s="7">
        <f t="shared" si="4"/>
        <v>0</v>
      </c>
      <c r="S60" s="7">
        <f t="shared" si="4"/>
        <v>13448</v>
      </c>
      <c r="T60" s="7">
        <f t="shared" si="4"/>
        <v>0</v>
      </c>
      <c r="U60" s="7">
        <f t="shared" si="4"/>
        <v>0</v>
      </c>
      <c r="V60" s="7">
        <f t="shared" si="4"/>
        <v>49239</v>
      </c>
      <c r="W60" s="7">
        <f t="shared" si="4"/>
        <v>41660</v>
      </c>
      <c r="X60" s="7">
        <f t="shared" si="4"/>
        <v>0</v>
      </c>
      <c r="Y60" s="7">
        <f t="shared" si="4"/>
        <v>0</v>
      </c>
      <c r="Z60" s="7">
        <f t="shared" si="4"/>
        <v>66292.2</v>
      </c>
      <c r="AA60" s="7">
        <f t="shared" si="4"/>
        <v>27224</v>
      </c>
      <c r="AB60" s="7">
        <f t="shared" si="4"/>
        <v>0</v>
      </c>
      <c r="AC60" s="7">
        <f t="shared" si="4"/>
        <v>0</v>
      </c>
    </row>
    <row r="61" spans="1:29" x14ac:dyDescent="0.55000000000000004">
      <c r="A61" s="2" t="s">
        <v>32</v>
      </c>
      <c r="B61">
        <v>5</v>
      </c>
      <c r="D61" s="7">
        <f t="shared" si="5"/>
        <v>0</v>
      </c>
      <c r="E61" s="7">
        <f t="shared" si="4"/>
        <v>0</v>
      </c>
      <c r="F61" s="7">
        <f t="shared" si="4"/>
        <v>0</v>
      </c>
      <c r="G61" s="7">
        <f t="shared" si="4"/>
        <v>47100</v>
      </c>
      <c r="H61" s="7">
        <f t="shared" si="4"/>
        <v>0</v>
      </c>
      <c r="I61" s="7">
        <f t="shared" si="4"/>
        <v>0</v>
      </c>
      <c r="J61" s="7">
        <f t="shared" si="4"/>
        <v>22360</v>
      </c>
      <c r="K61" s="7">
        <f t="shared" si="4"/>
        <v>39000</v>
      </c>
      <c r="L61" s="7">
        <f t="shared" si="4"/>
        <v>4000</v>
      </c>
      <c r="M61" s="7">
        <f t="shared" si="4"/>
        <v>13328</v>
      </c>
      <c r="N61" s="7">
        <f t="shared" si="4"/>
        <v>0</v>
      </c>
      <c r="O61" s="7">
        <f t="shared" si="4"/>
        <v>0</v>
      </c>
      <c r="P61" s="7">
        <f t="shared" si="4"/>
        <v>8225</v>
      </c>
      <c r="Q61" s="7">
        <f t="shared" si="4"/>
        <v>0</v>
      </c>
      <c r="R61" s="7">
        <f t="shared" si="4"/>
        <v>0</v>
      </c>
      <c r="S61" s="7">
        <f t="shared" si="4"/>
        <v>9600</v>
      </c>
      <c r="T61" s="7">
        <f t="shared" si="4"/>
        <v>0</v>
      </c>
      <c r="U61" s="7">
        <f t="shared" si="4"/>
        <v>0</v>
      </c>
      <c r="V61" s="7">
        <f t="shared" si="4"/>
        <v>0</v>
      </c>
      <c r="W61" s="7">
        <f t="shared" si="4"/>
        <v>39213</v>
      </c>
      <c r="X61" s="7">
        <f t="shared" si="4"/>
        <v>0</v>
      </c>
      <c r="Y61" s="7">
        <f t="shared" si="4"/>
        <v>0</v>
      </c>
      <c r="Z61" s="7">
        <f t="shared" si="4"/>
        <v>16000</v>
      </c>
      <c r="AA61" s="7">
        <f t="shared" si="4"/>
        <v>24789</v>
      </c>
      <c r="AB61" s="7">
        <f t="shared" si="4"/>
        <v>0</v>
      </c>
      <c r="AC61" s="7">
        <f t="shared" si="4"/>
        <v>0</v>
      </c>
    </row>
    <row r="62" spans="1:29" x14ac:dyDescent="0.55000000000000004">
      <c r="A62" s="2" t="s">
        <v>33</v>
      </c>
      <c r="B62">
        <v>6</v>
      </c>
      <c r="D62" s="7">
        <f t="shared" si="5"/>
        <v>0</v>
      </c>
      <c r="E62" s="7">
        <f t="shared" si="4"/>
        <v>0</v>
      </c>
      <c r="F62" s="7">
        <f t="shared" si="4"/>
        <v>0</v>
      </c>
      <c r="G62" s="7">
        <f t="shared" si="4"/>
        <v>22260</v>
      </c>
      <c r="H62" s="7">
        <f t="shared" si="4"/>
        <v>0</v>
      </c>
      <c r="I62" s="7">
        <f t="shared" si="4"/>
        <v>0</v>
      </c>
      <c r="J62" s="7">
        <f t="shared" si="4"/>
        <v>32450</v>
      </c>
      <c r="K62" s="7">
        <f t="shared" si="4"/>
        <v>0</v>
      </c>
      <c r="L62" s="7">
        <f t="shared" si="4"/>
        <v>0</v>
      </c>
      <c r="M62" s="7">
        <f t="shared" si="4"/>
        <v>238400</v>
      </c>
      <c r="N62" s="7">
        <f t="shared" si="4"/>
        <v>0</v>
      </c>
      <c r="O62" s="7">
        <f t="shared" si="4"/>
        <v>0</v>
      </c>
      <c r="P62" s="7">
        <f t="shared" si="4"/>
        <v>0</v>
      </c>
      <c r="Q62" s="7">
        <f t="shared" si="4"/>
        <v>0</v>
      </c>
      <c r="R62" s="7">
        <f t="shared" si="4"/>
        <v>0</v>
      </c>
      <c r="S62" s="7">
        <f t="shared" si="4"/>
        <v>69708</v>
      </c>
      <c r="T62" s="7">
        <f t="shared" si="4"/>
        <v>18125</v>
      </c>
      <c r="U62" s="7">
        <f t="shared" si="4"/>
        <v>0</v>
      </c>
      <c r="V62" s="7">
        <f t="shared" si="4"/>
        <v>0</v>
      </c>
      <c r="W62" s="7">
        <f t="shared" si="4"/>
        <v>131100</v>
      </c>
      <c r="X62" s="7">
        <f t="shared" si="4"/>
        <v>0</v>
      </c>
      <c r="Y62" s="7">
        <f t="shared" si="4"/>
        <v>0</v>
      </c>
      <c r="Z62" s="7">
        <f t="shared" si="4"/>
        <v>10000</v>
      </c>
      <c r="AA62" s="7">
        <f t="shared" si="4"/>
        <v>0</v>
      </c>
      <c r="AB62" s="7">
        <f t="shared" si="4"/>
        <v>0</v>
      </c>
      <c r="AC62" s="7">
        <f t="shared" si="4"/>
        <v>0</v>
      </c>
    </row>
    <row r="63" spans="1:29" x14ac:dyDescent="0.55000000000000004">
      <c r="A63" s="2" t="s">
        <v>34</v>
      </c>
      <c r="B63">
        <v>7</v>
      </c>
      <c r="D63" s="7">
        <f t="shared" si="5"/>
        <v>0</v>
      </c>
      <c r="E63" s="7">
        <f t="shared" si="4"/>
        <v>0</v>
      </c>
      <c r="F63" s="7">
        <f t="shared" si="4"/>
        <v>0</v>
      </c>
      <c r="G63" s="7">
        <f t="shared" si="4"/>
        <v>183950</v>
      </c>
      <c r="H63" s="7">
        <f t="shared" si="4"/>
        <v>10400</v>
      </c>
      <c r="I63" s="7">
        <f t="shared" si="4"/>
        <v>17550</v>
      </c>
      <c r="J63" s="7">
        <f t="shared" si="4"/>
        <v>129707</v>
      </c>
      <c r="K63" s="7">
        <f t="shared" si="4"/>
        <v>0</v>
      </c>
      <c r="L63" s="7">
        <f t="shared" si="4"/>
        <v>14800</v>
      </c>
      <c r="M63" s="7">
        <f t="shared" si="4"/>
        <v>189155</v>
      </c>
      <c r="N63" s="7">
        <f t="shared" si="4"/>
        <v>0</v>
      </c>
      <c r="O63" s="7">
        <f t="shared" si="4"/>
        <v>0</v>
      </c>
      <c r="P63" s="7">
        <f t="shared" si="4"/>
        <v>7925</v>
      </c>
      <c r="Q63" s="7">
        <f t="shared" si="4"/>
        <v>0</v>
      </c>
      <c r="R63" s="7">
        <f t="shared" si="4"/>
        <v>5000</v>
      </c>
      <c r="S63" s="7">
        <f t="shared" si="4"/>
        <v>0</v>
      </c>
      <c r="T63" s="7">
        <f t="shared" si="4"/>
        <v>54293</v>
      </c>
      <c r="U63" s="7">
        <f t="shared" si="4"/>
        <v>0</v>
      </c>
      <c r="V63" s="7">
        <f t="shared" si="4"/>
        <v>26975</v>
      </c>
      <c r="W63" s="7">
        <f t="shared" si="4"/>
        <v>173700</v>
      </c>
      <c r="X63" s="7">
        <f t="shared" si="4"/>
        <v>12750</v>
      </c>
      <c r="Y63" s="7">
        <f t="shared" si="4"/>
        <v>0</v>
      </c>
      <c r="Z63" s="7">
        <f t="shared" si="4"/>
        <v>0</v>
      </c>
      <c r="AA63" s="7">
        <f t="shared" si="4"/>
        <v>60300</v>
      </c>
      <c r="AB63" s="7">
        <f t="shared" si="4"/>
        <v>0</v>
      </c>
      <c r="AC63" s="7">
        <f t="shared" si="4"/>
        <v>0</v>
      </c>
    </row>
    <row r="64" spans="1:29" x14ac:dyDescent="0.55000000000000004">
      <c r="A64" s="2" t="s">
        <v>35</v>
      </c>
      <c r="B64">
        <v>8</v>
      </c>
      <c r="D64" s="7">
        <f t="shared" si="5"/>
        <v>0</v>
      </c>
      <c r="E64" s="7">
        <f t="shared" si="4"/>
        <v>0</v>
      </c>
      <c r="F64" s="7">
        <f t="shared" si="4"/>
        <v>0</v>
      </c>
      <c r="G64" s="7">
        <f t="shared" si="4"/>
        <v>0</v>
      </c>
      <c r="H64" s="7">
        <f t="shared" si="4"/>
        <v>0</v>
      </c>
      <c r="I64" s="7">
        <f t="shared" si="4"/>
        <v>0</v>
      </c>
      <c r="J64" s="7">
        <f t="shared" si="4"/>
        <v>66370</v>
      </c>
      <c r="K64" s="7">
        <f t="shared" si="4"/>
        <v>0</v>
      </c>
      <c r="L64" s="7">
        <f t="shared" si="4"/>
        <v>0</v>
      </c>
      <c r="M64" s="7">
        <f t="shared" si="4"/>
        <v>0</v>
      </c>
      <c r="N64" s="7">
        <f t="shared" si="4"/>
        <v>21838</v>
      </c>
      <c r="O64" s="7">
        <f t="shared" si="4"/>
        <v>9368</v>
      </c>
      <c r="P64" s="7">
        <f t="shared" si="4"/>
        <v>6902</v>
      </c>
      <c r="Q64" s="7">
        <f t="shared" si="4"/>
        <v>0</v>
      </c>
      <c r="R64" s="7">
        <f t="shared" si="4"/>
        <v>0</v>
      </c>
      <c r="S64" s="7">
        <f t="shared" si="4"/>
        <v>0</v>
      </c>
      <c r="T64" s="7">
        <f t="shared" si="4"/>
        <v>0</v>
      </c>
      <c r="U64" s="7">
        <f t="shared" si="4"/>
        <v>0</v>
      </c>
      <c r="V64" s="7">
        <f t="shared" si="4"/>
        <v>0</v>
      </c>
      <c r="W64" s="7">
        <f t="shared" si="4"/>
        <v>0</v>
      </c>
      <c r="X64" s="7">
        <f t="shared" si="4"/>
        <v>0</v>
      </c>
      <c r="Y64" s="7">
        <f t="shared" si="4"/>
        <v>0</v>
      </c>
      <c r="Z64" s="7">
        <f t="shared" si="4"/>
        <v>13288</v>
      </c>
      <c r="AA64" s="7">
        <f t="shared" si="4"/>
        <v>0</v>
      </c>
      <c r="AB64" s="7">
        <f t="shared" si="4"/>
        <v>0</v>
      </c>
      <c r="AC64" s="7">
        <f t="shared" si="4"/>
        <v>0</v>
      </c>
    </row>
    <row r="65" spans="1:29" x14ac:dyDescent="0.55000000000000004">
      <c r="A65" s="2" t="s">
        <v>36</v>
      </c>
      <c r="B65">
        <v>9</v>
      </c>
      <c r="D65" s="7">
        <f t="shared" si="5"/>
        <v>0</v>
      </c>
      <c r="E65" s="7">
        <f t="shared" si="4"/>
        <v>0</v>
      </c>
      <c r="F65" s="7">
        <f t="shared" si="4"/>
        <v>0</v>
      </c>
      <c r="G65" s="7">
        <f t="shared" si="4"/>
        <v>0</v>
      </c>
      <c r="H65" s="7">
        <f t="shared" si="4"/>
        <v>0</v>
      </c>
      <c r="I65" s="7">
        <f t="shared" si="4"/>
        <v>0</v>
      </c>
      <c r="J65" s="7">
        <f t="shared" si="4"/>
        <v>0</v>
      </c>
      <c r="K65" s="7">
        <f t="shared" si="4"/>
        <v>0</v>
      </c>
      <c r="L65" s="7">
        <f t="shared" si="4"/>
        <v>0</v>
      </c>
      <c r="M65" s="7">
        <f t="shared" si="4"/>
        <v>0</v>
      </c>
      <c r="N65" s="7">
        <f t="shared" si="4"/>
        <v>0</v>
      </c>
      <c r="O65" s="7">
        <f t="shared" si="4"/>
        <v>0</v>
      </c>
      <c r="P65" s="7">
        <f t="shared" si="4"/>
        <v>0</v>
      </c>
      <c r="Q65" s="7">
        <f t="shared" si="4"/>
        <v>0</v>
      </c>
      <c r="R65" s="7">
        <f t="shared" si="4"/>
        <v>0</v>
      </c>
      <c r="S65" s="7">
        <f t="shared" si="4"/>
        <v>0</v>
      </c>
      <c r="T65" s="7">
        <f t="shared" si="4"/>
        <v>0</v>
      </c>
      <c r="U65" s="7">
        <f t="shared" si="4"/>
        <v>0</v>
      </c>
      <c r="V65" s="7">
        <f t="shared" si="4"/>
        <v>0</v>
      </c>
      <c r="W65" s="7">
        <f t="shared" si="4"/>
        <v>0</v>
      </c>
      <c r="X65" s="7">
        <f t="shared" si="4"/>
        <v>0</v>
      </c>
      <c r="Y65" s="7">
        <f t="shared" si="4"/>
        <v>0</v>
      </c>
      <c r="Z65" s="7">
        <f t="shared" si="4"/>
        <v>0</v>
      </c>
      <c r="AA65" s="7">
        <f t="shared" si="4"/>
        <v>0</v>
      </c>
      <c r="AB65" s="7">
        <f t="shared" si="4"/>
        <v>0</v>
      </c>
      <c r="AC65" s="7">
        <f t="shared" si="4"/>
        <v>0</v>
      </c>
    </row>
    <row r="67" spans="1:29" x14ac:dyDescent="0.55000000000000004">
      <c r="C67" t="s">
        <v>42</v>
      </c>
      <c r="D67" s="5">
        <f>SUM(D39:D40,D50:D51,D61:D62)/1000</f>
        <v>0</v>
      </c>
      <c r="E67" s="5">
        <f t="shared" ref="E67:AC67" si="6">SUM(E39:E40,E50:E51,E61:E62)/1000</f>
        <v>74.11</v>
      </c>
      <c r="F67" s="5">
        <f t="shared" si="6"/>
        <v>91.497</v>
      </c>
      <c r="G67" s="5">
        <f t="shared" si="6"/>
        <v>3051.66</v>
      </c>
      <c r="H67" s="5">
        <f t="shared" si="6"/>
        <v>150.678</v>
      </c>
      <c r="I67" s="5">
        <f t="shared" si="6"/>
        <v>438.11500000000001</v>
      </c>
      <c r="J67" s="5">
        <f t="shared" si="6"/>
        <v>1845.3025</v>
      </c>
      <c r="K67" s="5">
        <f t="shared" si="6"/>
        <v>1016.659</v>
      </c>
      <c r="L67" s="5">
        <f t="shared" si="6"/>
        <v>230.405</v>
      </c>
      <c r="M67" s="5">
        <f t="shared" si="6"/>
        <v>1131.5740000000001</v>
      </c>
      <c r="N67" s="5">
        <f t="shared" si="6"/>
        <v>152.07400000000001</v>
      </c>
      <c r="O67" s="5">
        <f t="shared" si="6"/>
        <v>937.02499999999998</v>
      </c>
      <c r="P67" s="5">
        <f t="shared" si="6"/>
        <v>71.164000000000001</v>
      </c>
      <c r="Q67" s="5">
        <f t="shared" si="6"/>
        <v>166.47900000000001</v>
      </c>
      <c r="R67" s="5">
        <f t="shared" si="6"/>
        <v>81.180000000000007</v>
      </c>
      <c r="S67" s="5">
        <f t="shared" si="6"/>
        <v>2177.7153499999999</v>
      </c>
      <c r="T67" s="5">
        <f t="shared" si="6"/>
        <v>246.125</v>
      </c>
      <c r="U67" s="5">
        <f t="shared" si="6"/>
        <v>303.166</v>
      </c>
      <c r="V67" s="5">
        <f t="shared" si="6"/>
        <v>77.061999999999998</v>
      </c>
      <c r="W67" s="5">
        <f t="shared" si="6"/>
        <v>1698.9190000000001</v>
      </c>
      <c r="X67" s="5">
        <f t="shared" si="6"/>
        <v>704.06700000000001</v>
      </c>
      <c r="Y67" s="5">
        <f t="shared" si="6"/>
        <v>227.48</v>
      </c>
      <c r="Z67" s="5">
        <f t="shared" si="6"/>
        <v>3142.9549999999999</v>
      </c>
      <c r="AA67" s="5">
        <f t="shared" si="6"/>
        <v>1667.6969999999999</v>
      </c>
      <c r="AB67" s="5">
        <f t="shared" si="6"/>
        <v>0</v>
      </c>
      <c r="AC67" s="5">
        <f t="shared" si="6"/>
        <v>0</v>
      </c>
    </row>
    <row r="68" spans="1:29" x14ac:dyDescent="0.55000000000000004">
      <c r="C68" t="s">
        <v>45</v>
      </c>
      <c r="D68" s="5">
        <f>SUM(D36:D37,D47:D48,D58:D59)/1000</f>
        <v>0</v>
      </c>
      <c r="E68" s="5">
        <f t="shared" ref="E68:AC68" si="7">SUM(E36:E37,E47:E48,E58:E59)/1000</f>
        <v>8</v>
      </c>
      <c r="F68" s="5">
        <f t="shared" si="7"/>
        <v>50.182000000000002</v>
      </c>
      <c r="G68" s="5">
        <f t="shared" si="7"/>
        <v>484</v>
      </c>
      <c r="H68" s="5">
        <f t="shared" si="7"/>
        <v>117.803</v>
      </c>
      <c r="I68" s="5">
        <f t="shared" si="7"/>
        <v>172.3</v>
      </c>
      <c r="J68" s="5">
        <f t="shared" si="7"/>
        <v>103.879</v>
      </c>
      <c r="K68" s="5">
        <f t="shared" si="7"/>
        <v>0</v>
      </c>
      <c r="L68" s="5">
        <f t="shared" si="7"/>
        <v>54.3</v>
      </c>
      <c r="M68" s="5">
        <f t="shared" si="7"/>
        <v>182.64</v>
      </c>
      <c r="N68" s="5">
        <f t="shared" si="7"/>
        <v>274.30500000000001</v>
      </c>
      <c r="O68" s="5">
        <f t="shared" si="7"/>
        <v>0</v>
      </c>
      <c r="P68" s="5">
        <f t="shared" si="7"/>
        <v>87.713999999999999</v>
      </c>
      <c r="Q68" s="5">
        <f t="shared" si="7"/>
        <v>24.222999999999999</v>
      </c>
      <c r="R68" s="5">
        <f t="shared" si="7"/>
        <v>30</v>
      </c>
      <c r="S68" s="5">
        <f t="shared" si="7"/>
        <v>5</v>
      </c>
      <c r="T68" s="5">
        <f t="shared" si="7"/>
        <v>112</v>
      </c>
      <c r="U68" s="5">
        <f t="shared" si="7"/>
        <v>121.501</v>
      </c>
      <c r="V68" s="5">
        <f t="shared" si="7"/>
        <v>18.053000000000001</v>
      </c>
      <c r="W68" s="5">
        <f t="shared" si="7"/>
        <v>187</v>
      </c>
      <c r="X68" s="5">
        <f t="shared" si="7"/>
        <v>0</v>
      </c>
      <c r="Y68" s="5">
        <f t="shared" si="7"/>
        <v>72</v>
      </c>
      <c r="Z68" s="5">
        <f t="shared" si="7"/>
        <v>918.726</v>
      </c>
      <c r="AA68" s="5">
        <f t="shared" si="7"/>
        <v>32.314999999999998</v>
      </c>
      <c r="AB68" s="5">
        <f t="shared" si="7"/>
        <v>0</v>
      </c>
      <c r="AC68" s="5">
        <f t="shared" si="7"/>
        <v>0</v>
      </c>
    </row>
    <row r="69" spans="1:29" x14ac:dyDescent="0.55000000000000004">
      <c r="C69" t="s">
        <v>35</v>
      </c>
      <c r="D69" s="5">
        <f>SUM(D42,D53,D64)/1000</f>
        <v>0</v>
      </c>
      <c r="E69" s="5">
        <f t="shared" ref="E69:AC69" si="8">SUM(E42,E53,E64)/1000</f>
        <v>8.875</v>
      </c>
      <c r="F69" s="5">
        <f t="shared" si="8"/>
        <v>53.655000000000001</v>
      </c>
      <c r="G69" s="5">
        <f t="shared" si="8"/>
        <v>475.85</v>
      </c>
      <c r="H69" s="5">
        <f t="shared" si="8"/>
        <v>245.952</v>
      </c>
      <c r="I69" s="5">
        <f t="shared" si="8"/>
        <v>104.971</v>
      </c>
      <c r="J69" s="5">
        <f t="shared" si="8"/>
        <v>149.72300000000001</v>
      </c>
      <c r="K69" s="5">
        <f t="shared" si="8"/>
        <v>184.39</v>
      </c>
      <c r="L69" s="5">
        <f t="shared" si="8"/>
        <v>37.375999999999998</v>
      </c>
      <c r="M69" s="5">
        <f t="shared" si="8"/>
        <v>137.893</v>
      </c>
      <c r="N69" s="5">
        <f t="shared" si="8"/>
        <v>133.876</v>
      </c>
      <c r="O69" s="5">
        <f t="shared" si="8"/>
        <v>124.962</v>
      </c>
      <c r="P69" s="5">
        <f t="shared" si="8"/>
        <v>152.02799999999999</v>
      </c>
      <c r="Q69" s="5">
        <f t="shared" si="8"/>
        <v>15.125999999999999</v>
      </c>
      <c r="R69" s="5">
        <f t="shared" si="8"/>
        <v>13.175000000000001</v>
      </c>
      <c r="S69" s="5">
        <f t="shared" si="8"/>
        <v>186.5</v>
      </c>
      <c r="T69" s="5">
        <f t="shared" si="8"/>
        <v>8.4060000000000006</v>
      </c>
      <c r="U69" s="5">
        <f t="shared" si="8"/>
        <v>78.840999999999994</v>
      </c>
      <c r="V69" s="5">
        <f t="shared" si="8"/>
        <v>40.219000000000001</v>
      </c>
      <c r="W69" s="5">
        <f t="shared" si="8"/>
        <v>102.34399999999999</v>
      </c>
      <c r="X69" s="5">
        <f t="shared" si="8"/>
        <v>147.44</v>
      </c>
      <c r="Y69" s="5">
        <f t="shared" si="8"/>
        <v>8</v>
      </c>
      <c r="Z69" s="5">
        <f t="shared" si="8"/>
        <v>885.84100000000001</v>
      </c>
      <c r="AA69" s="5">
        <f t="shared" si="8"/>
        <v>48.134999999999998</v>
      </c>
      <c r="AB69" s="5">
        <f t="shared" si="8"/>
        <v>0</v>
      </c>
      <c r="AC69" s="5">
        <f t="shared" si="8"/>
        <v>0</v>
      </c>
    </row>
    <row r="70" spans="1:29" x14ac:dyDescent="0.55000000000000004"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</row>
    <row r="71" spans="1:29" x14ac:dyDescent="0.55000000000000004">
      <c r="B71">
        <v>15</v>
      </c>
      <c r="C71" t="s">
        <v>56</v>
      </c>
      <c r="D71" s="5">
        <f>SUM(D39:D40)/1000</f>
        <v>0</v>
      </c>
      <c r="E71" s="5">
        <f t="shared" ref="E71:AC71" si="9">SUM(E39:E40)/1000</f>
        <v>55.095999999999997</v>
      </c>
      <c r="F71" s="5">
        <f t="shared" si="9"/>
        <v>56.52</v>
      </c>
      <c r="G71" s="5">
        <f t="shared" si="9"/>
        <v>2530.13</v>
      </c>
      <c r="H71" s="5">
        <f t="shared" si="9"/>
        <v>147.87799999999999</v>
      </c>
      <c r="I71" s="5">
        <f t="shared" si="9"/>
        <v>340.97699999999998</v>
      </c>
      <c r="J71" s="5">
        <f t="shared" si="9"/>
        <v>1570.4445000000001</v>
      </c>
      <c r="K71" s="5">
        <f t="shared" si="9"/>
        <v>967.51900000000001</v>
      </c>
      <c r="L71" s="5">
        <f t="shared" si="9"/>
        <v>199.245</v>
      </c>
      <c r="M71" s="5">
        <f t="shared" si="9"/>
        <v>635.14599999999996</v>
      </c>
      <c r="N71" s="5">
        <f t="shared" si="9"/>
        <v>134.774</v>
      </c>
      <c r="O71" s="5">
        <f t="shared" si="9"/>
        <v>521.57299999999998</v>
      </c>
      <c r="P71" s="5">
        <f t="shared" si="9"/>
        <v>43.235999999999997</v>
      </c>
      <c r="Q71" s="5">
        <f t="shared" si="9"/>
        <v>80.334999999999994</v>
      </c>
      <c r="R71" s="5">
        <f t="shared" si="9"/>
        <v>45</v>
      </c>
      <c r="S71" s="5">
        <f t="shared" si="9"/>
        <v>1891.7429999999999</v>
      </c>
      <c r="T71" s="5">
        <f t="shared" si="9"/>
        <v>218</v>
      </c>
      <c r="U71" s="5">
        <f t="shared" si="9"/>
        <v>219.27099999999999</v>
      </c>
      <c r="V71" s="5">
        <f t="shared" si="9"/>
        <v>56.37</v>
      </c>
      <c r="W71" s="5">
        <f t="shared" si="9"/>
        <v>1181.5</v>
      </c>
      <c r="X71" s="5">
        <f t="shared" si="9"/>
        <v>659.02499999999998</v>
      </c>
      <c r="Y71" s="5">
        <f t="shared" si="9"/>
        <v>143</v>
      </c>
      <c r="Z71" s="5">
        <f t="shared" si="9"/>
        <v>2977.34</v>
      </c>
      <c r="AA71" s="5">
        <f t="shared" si="9"/>
        <v>1364.248</v>
      </c>
      <c r="AB71" s="5">
        <f t="shared" si="9"/>
        <v>0</v>
      </c>
      <c r="AC71" s="5">
        <f t="shared" si="9"/>
        <v>0</v>
      </c>
    </row>
    <row r="72" spans="1:29" x14ac:dyDescent="0.55000000000000004">
      <c r="B72">
        <v>16</v>
      </c>
      <c r="C72" t="s">
        <v>58</v>
      </c>
      <c r="D72" s="5">
        <f>SUM(D50:D51)/1000</f>
        <v>0</v>
      </c>
      <c r="E72" s="5">
        <f t="shared" ref="E72:AC72" si="10">SUM(E50:E51)/1000</f>
        <v>19.013999999999999</v>
      </c>
      <c r="F72" s="5">
        <f t="shared" si="10"/>
        <v>34.976999999999997</v>
      </c>
      <c r="G72" s="5">
        <f t="shared" si="10"/>
        <v>452.17</v>
      </c>
      <c r="H72" s="5">
        <f t="shared" si="10"/>
        <v>2.8</v>
      </c>
      <c r="I72" s="5">
        <f t="shared" si="10"/>
        <v>97.138000000000005</v>
      </c>
      <c r="J72" s="5">
        <f t="shared" si="10"/>
        <v>220.048</v>
      </c>
      <c r="K72" s="5">
        <f t="shared" si="10"/>
        <v>10.14</v>
      </c>
      <c r="L72" s="5">
        <f t="shared" si="10"/>
        <v>27.16</v>
      </c>
      <c r="M72" s="5">
        <f t="shared" si="10"/>
        <v>244.7</v>
      </c>
      <c r="N72" s="5">
        <f t="shared" si="10"/>
        <v>17.3</v>
      </c>
      <c r="O72" s="5">
        <f t="shared" si="10"/>
        <v>415.452</v>
      </c>
      <c r="P72" s="5">
        <f t="shared" si="10"/>
        <v>19.702999999999999</v>
      </c>
      <c r="Q72" s="5">
        <f t="shared" si="10"/>
        <v>86.144000000000005</v>
      </c>
      <c r="R72" s="5">
        <f t="shared" si="10"/>
        <v>36.18</v>
      </c>
      <c r="S72" s="5">
        <f t="shared" si="10"/>
        <v>206.66435000000001</v>
      </c>
      <c r="T72" s="5">
        <f t="shared" si="10"/>
        <v>10</v>
      </c>
      <c r="U72" s="5">
        <f t="shared" si="10"/>
        <v>83.894999999999996</v>
      </c>
      <c r="V72" s="5">
        <f t="shared" si="10"/>
        <v>20.692</v>
      </c>
      <c r="W72" s="5">
        <f t="shared" si="10"/>
        <v>347.10599999999999</v>
      </c>
      <c r="X72" s="5">
        <f t="shared" si="10"/>
        <v>45.042000000000002</v>
      </c>
      <c r="Y72" s="5">
        <f t="shared" si="10"/>
        <v>84.48</v>
      </c>
      <c r="Z72" s="5">
        <f t="shared" si="10"/>
        <v>139.61500000000001</v>
      </c>
      <c r="AA72" s="5">
        <f t="shared" si="10"/>
        <v>278.66000000000003</v>
      </c>
      <c r="AB72" s="5">
        <f t="shared" si="10"/>
        <v>0</v>
      </c>
      <c r="AC72" s="5">
        <f t="shared" si="10"/>
        <v>0</v>
      </c>
    </row>
    <row r="73" spans="1:29" x14ac:dyDescent="0.55000000000000004">
      <c r="B73">
        <v>17</v>
      </c>
      <c r="C73" t="s">
        <v>57</v>
      </c>
      <c r="D73" s="5">
        <f>SUM(D61:D62)/1000</f>
        <v>0</v>
      </c>
      <c r="E73" s="5">
        <f t="shared" ref="E73:AC73" si="11">SUM(E61:E62)/1000</f>
        <v>0</v>
      </c>
      <c r="F73" s="5">
        <f t="shared" si="11"/>
        <v>0</v>
      </c>
      <c r="G73" s="5">
        <f t="shared" si="11"/>
        <v>69.36</v>
      </c>
      <c r="H73" s="5">
        <f t="shared" si="11"/>
        <v>0</v>
      </c>
      <c r="I73" s="5">
        <f t="shared" si="11"/>
        <v>0</v>
      </c>
      <c r="J73" s="5">
        <f t="shared" si="11"/>
        <v>54.81</v>
      </c>
      <c r="K73" s="5">
        <f t="shared" si="11"/>
        <v>39</v>
      </c>
      <c r="L73" s="5">
        <f t="shared" si="11"/>
        <v>4</v>
      </c>
      <c r="M73" s="5">
        <f t="shared" si="11"/>
        <v>251.72800000000001</v>
      </c>
      <c r="N73" s="5">
        <f t="shared" si="11"/>
        <v>0</v>
      </c>
      <c r="O73" s="5">
        <f t="shared" si="11"/>
        <v>0</v>
      </c>
      <c r="P73" s="5">
        <f t="shared" si="11"/>
        <v>8.2249999999999996</v>
      </c>
      <c r="Q73" s="5">
        <f t="shared" si="11"/>
        <v>0</v>
      </c>
      <c r="R73" s="5">
        <f t="shared" si="11"/>
        <v>0</v>
      </c>
      <c r="S73" s="5">
        <f t="shared" si="11"/>
        <v>79.308000000000007</v>
      </c>
      <c r="T73" s="5">
        <f t="shared" si="11"/>
        <v>18.125</v>
      </c>
      <c r="U73" s="5">
        <f t="shared" si="11"/>
        <v>0</v>
      </c>
      <c r="V73" s="5">
        <f t="shared" si="11"/>
        <v>0</v>
      </c>
      <c r="W73" s="5">
        <f t="shared" si="11"/>
        <v>170.31299999999999</v>
      </c>
      <c r="X73" s="5">
        <f t="shared" si="11"/>
        <v>0</v>
      </c>
      <c r="Y73" s="5">
        <f t="shared" si="11"/>
        <v>0</v>
      </c>
      <c r="Z73" s="5">
        <f t="shared" si="11"/>
        <v>26</v>
      </c>
      <c r="AA73" s="5">
        <f t="shared" si="11"/>
        <v>24.789000000000001</v>
      </c>
      <c r="AB73" s="5">
        <f t="shared" si="11"/>
        <v>0</v>
      </c>
      <c r="AC73" s="5">
        <f t="shared" si="11"/>
        <v>0</v>
      </c>
    </row>
    <row r="74" spans="1:29" x14ac:dyDescent="0.55000000000000004"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 spans="1:29" x14ac:dyDescent="0.55000000000000004">
      <c r="C75" t="s">
        <v>43</v>
      </c>
      <c r="D75" s="7">
        <f>SUM(D36:D43,D47:D54,D58:D65)/1000</f>
        <v>0</v>
      </c>
      <c r="E75" s="7">
        <f t="shared" ref="E75:AC75" si="12">SUM(E36:E43,E47:E54,E58:E65)/1000</f>
        <v>90.984999999999999</v>
      </c>
      <c r="F75" s="7">
        <f t="shared" si="12"/>
        <v>261.87700000000001</v>
      </c>
      <c r="G75" s="7">
        <f t="shared" si="12"/>
        <v>5139.848</v>
      </c>
      <c r="H75" s="7">
        <f t="shared" si="12"/>
        <v>734.702</v>
      </c>
      <c r="I75" s="7">
        <f t="shared" si="12"/>
        <v>1338.164</v>
      </c>
      <c r="J75" s="7">
        <f t="shared" si="12"/>
        <v>2802.8020000000001</v>
      </c>
      <c r="K75" s="7">
        <f t="shared" si="12"/>
        <v>1230.779</v>
      </c>
      <c r="L75" s="7">
        <f t="shared" si="12"/>
        <v>408.25099999999998</v>
      </c>
      <c r="M75" s="7">
        <f t="shared" si="12"/>
        <v>2196.4520000000002</v>
      </c>
      <c r="N75" s="7">
        <f t="shared" si="12"/>
        <v>590.255</v>
      </c>
      <c r="O75" s="7">
        <f t="shared" si="12"/>
        <v>1061.9870000000001</v>
      </c>
      <c r="P75" s="7">
        <f t="shared" si="12"/>
        <v>322.96199999999999</v>
      </c>
      <c r="Q75" s="7">
        <f t="shared" si="12"/>
        <v>210.16800000000001</v>
      </c>
      <c r="R75" s="7">
        <f t="shared" si="12"/>
        <v>226.68700000000001</v>
      </c>
      <c r="S75" s="7">
        <f t="shared" si="12"/>
        <v>2382.6633500000003</v>
      </c>
      <c r="T75" s="7">
        <f t="shared" si="12"/>
        <v>597.16700000000003</v>
      </c>
      <c r="U75" s="7">
        <f t="shared" si="12"/>
        <v>547.37599999999998</v>
      </c>
      <c r="V75" s="7">
        <f t="shared" si="12"/>
        <v>537.96100000000001</v>
      </c>
      <c r="W75" s="7">
        <f t="shared" si="12"/>
        <v>2454.0050000000001</v>
      </c>
      <c r="X75" s="7">
        <f t="shared" si="12"/>
        <v>916.20699999999999</v>
      </c>
      <c r="Y75" s="7">
        <f t="shared" si="12"/>
        <v>349.48</v>
      </c>
      <c r="Z75" s="7">
        <f t="shared" si="12"/>
        <v>5061.8472000000002</v>
      </c>
      <c r="AA75" s="7">
        <f t="shared" si="12"/>
        <v>2154.3319999999999</v>
      </c>
      <c r="AB75" s="7">
        <f t="shared" si="12"/>
        <v>0</v>
      </c>
      <c r="AC75" s="7">
        <f t="shared" si="12"/>
        <v>0</v>
      </c>
    </row>
    <row r="77" spans="1:29" x14ac:dyDescent="0.55000000000000004">
      <c r="A77" s="9" t="s">
        <v>46</v>
      </c>
      <c r="B77" s="9" t="s">
        <v>47</v>
      </c>
      <c r="C77" s="6" t="s">
        <v>1</v>
      </c>
      <c r="D77" s="6" t="s">
        <v>2</v>
      </c>
      <c r="E77" s="6" t="s">
        <v>3</v>
      </c>
      <c r="F77" s="6" t="s">
        <v>4</v>
      </c>
      <c r="G77" s="6" t="s">
        <v>5</v>
      </c>
      <c r="H77" s="6" t="s">
        <v>6</v>
      </c>
      <c r="I77" s="6" t="s">
        <v>7</v>
      </c>
      <c r="J77" s="6" t="s">
        <v>8</v>
      </c>
      <c r="K77" s="6" t="s">
        <v>9</v>
      </c>
      <c r="L77" s="6" t="s">
        <v>10</v>
      </c>
      <c r="M77" s="6" t="s">
        <v>11</v>
      </c>
      <c r="N77" s="6" t="s">
        <v>12</v>
      </c>
      <c r="O77" s="6" t="s">
        <v>13</v>
      </c>
      <c r="P77" s="6" t="s">
        <v>14</v>
      </c>
      <c r="Q77" s="6" t="s">
        <v>15</v>
      </c>
      <c r="R77" s="6" t="s">
        <v>16</v>
      </c>
      <c r="S77" s="6" t="s">
        <v>17</v>
      </c>
      <c r="T77" s="6" t="s">
        <v>18</v>
      </c>
      <c r="U77" s="6" t="s">
        <v>19</v>
      </c>
      <c r="V77" s="6" t="s">
        <v>20</v>
      </c>
      <c r="W77" s="6" t="s">
        <v>21</v>
      </c>
      <c r="X77" s="6" t="s">
        <v>22</v>
      </c>
      <c r="Y77" s="6" t="s">
        <v>23</v>
      </c>
      <c r="Z77" s="6" t="s">
        <v>24</v>
      </c>
      <c r="AA77" s="6" t="s">
        <v>25</v>
      </c>
      <c r="AB77" s="6" t="s">
        <v>26</v>
      </c>
      <c r="AC77" s="6" t="s">
        <v>27</v>
      </c>
    </row>
    <row r="78" spans="1:29" x14ac:dyDescent="0.55000000000000004">
      <c r="A78" s="2" t="s">
        <v>48</v>
      </c>
      <c r="B78" s="10" t="s">
        <v>0</v>
      </c>
      <c r="C78" s="7">
        <v>21100</v>
      </c>
      <c r="D78" s="7">
        <v>0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3000</v>
      </c>
      <c r="Q78" s="7">
        <v>0</v>
      </c>
      <c r="R78" s="7">
        <v>0</v>
      </c>
      <c r="S78" s="7">
        <v>0</v>
      </c>
      <c r="T78" s="7">
        <v>0</v>
      </c>
      <c r="U78" s="7">
        <v>2500</v>
      </c>
      <c r="V78" s="7">
        <v>0</v>
      </c>
      <c r="W78" s="7">
        <v>0</v>
      </c>
      <c r="X78" s="7">
        <v>0</v>
      </c>
      <c r="Y78" s="7">
        <v>13600</v>
      </c>
      <c r="Z78" s="7">
        <v>0</v>
      </c>
      <c r="AA78" s="7">
        <v>0</v>
      </c>
      <c r="AB78" s="7">
        <v>0</v>
      </c>
      <c r="AC78" s="7">
        <v>2000</v>
      </c>
    </row>
    <row r="79" spans="1:29" x14ac:dyDescent="0.55000000000000004">
      <c r="A79" s="2" t="s">
        <v>49</v>
      </c>
      <c r="B79" s="10" t="s">
        <v>0</v>
      </c>
      <c r="C79" s="7">
        <v>14200</v>
      </c>
      <c r="D79" s="7">
        <v>0</v>
      </c>
      <c r="E79" s="7">
        <v>0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1200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13000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</row>
    <row r="80" spans="1:29" x14ac:dyDescent="0.55000000000000004">
      <c r="A80" s="2" t="s">
        <v>50</v>
      </c>
      <c r="B80" s="10" t="s">
        <v>0</v>
      </c>
      <c r="C80" s="7">
        <v>114060</v>
      </c>
      <c r="D80" s="7">
        <v>0</v>
      </c>
      <c r="E80" s="7">
        <v>17900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18500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3500</v>
      </c>
      <c r="X80" s="7">
        <v>0</v>
      </c>
      <c r="Y80" s="7">
        <v>49160</v>
      </c>
      <c r="Z80" s="7">
        <v>0</v>
      </c>
      <c r="AA80" s="7">
        <v>10500</v>
      </c>
      <c r="AB80" s="7">
        <v>0</v>
      </c>
      <c r="AC80" s="7">
        <v>14500</v>
      </c>
    </row>
    <row r="81" spans="1:29" x14ac:dyDescent="0.55000000000000004">
      <c r="A81" s="2" t="s">
        <v>51</v>
      </c>
      <c r="B81" s="10" t="s">
        <v>0</v>
      </c>
      <c r="C81" s="7">
        <v>0</v>
      </c>
      <c r="D81" s="7">
        <v>0</v>
      </c>
      <c r="E81" s="7">
        <v>0</v>
      </c>
      <c r="F81" s="7">
        <v>0</v>
      </c>
      <c r="G81" s="7">
        <v>0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</row>
    <row r="82" spans="1:29" x14ac:dyDescent="0.55000000000000004">
      <c r="A82" s="2" t="s">
        <v>52</v>
      </c>
      <c r="B82" s="10" t="s">
        <v>0</v>
      </c>
      <c r="C82" s="7">
        <v>2416949</v>
      </c>
      <c r="D82" s="7">
        <v>433510</v>
      </c>
      <c r="E82" s="7">
        <v>170400</v>
      </c>
      <c r="F82" s="7">
        <v>182675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18697</v>
      </c>
      <c r="N82" s="7">
        <v>21990</v>
      </c>
      <c r="O82" s="7">
        <v>0</v>
      </c>
      <c r="P82" s="7">
        <v>567899</v>
      </c>
      <c r="Q82" s="7">
        <v>0</v>
      </c>
      <c r="R82" s="7">
        <v>0</v>
      </c>
      <c r="S82" s="7">
        <v>0</v>
      </c>
      <c r="T82" s="7">
        <v>17261</v>
      </c>
      <c r="U82" s="7">
        <v>165940</v>
      </c>
      <c r="V82" s="7">
        <v>196065</v>
      </c>
      <c r="W82" s="7">
        <v>313000</v>
      </c>
      <c r="X82" s="7">
        <v>85000</v>
      </c>
      <c r="Y82" s="7">
        <v>172082</v>
      </c>
      <c r="Z82" s="7">
        <v>0</v>
      </c>
      <c r="AA82" s="7">
        <v>47430</v>
      </c>
      <c r="AB82" s="7">
        <v>0</v>
      </c>
      <c r="AC82" s="7">
        <v>25000</v>
      </c>
    </row>
    <row r="83" spans="1:29" x14ac:dyDescent="0.55000000000000004">
      <c r="A83" s="2" t="s">
        <v>53</v>
      </c>
      <c r="B83" s="10" t="s">
        <v>0</v>
      </c>
      <c r="C83" s="7">
        <v>396323</v>
      </c>
      <c r="D83" s="7">
        <v>0</v>
      </c>
      <c r="E83" s="7">
        <v>0</v>
      </c>
      <c r="F83" s="7">
        <v>101883</v>
      </c>
      <c r="G83" s="7">
        <v>0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294440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</row>
    <row r="84" spans="1:29" x14ac:dyDescent="0.55000000000000004">
      <c r="A84" s="2" t="s">
        <v>32</v>
      </c>
      <c r="B84" s="10" t="s">
        <v>0</v>
      </c>
      <c r="C84" s="7">
        <v>133380</v>
      </c>
      <c r="D84" s="7">
        <v>0</v>
      </c>
      <c r="E84" s="7">
        <v>43560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15000</v>
      </c>
      <c r="N84" s="7">
        <v>0</v>
      </c>
      <c r="O84" s="7">
        <v>0</v>
      </c>
      <c r="P84" s="7">
        <v>4000</v>
      </c>
      <c r="Q84" s="7">
        <v>0</v>
      </c>
      <c r="R84" s="7">
        <v>0</v>
      </c>
      <c r="S84" s="7">
        <v>0</v>
      </c>
      <c r="T84" s="7">
        <v>11500</v>
      </c>
      <c r="U84" s="7">
        <v>1500</v>
      </c>
      <c r="V84" s="7">
        <v>0</v>
      </c>
      <c r="W84" s="7">
        <v>29000</v>
      </c>
      <c r="X84" s="7">
        <v>6306</v>
      </c>
      <c r="Y84" s="7">
        <v>4000</v>
      </c>
      <c r="Z84" s="7">
        <v>16514</v>
      </c>
      <c r="AA84" s="7">
        <v>2000</v>
      </c>
      <c r="AB84" s="7">
        <v>0</v>
      </c>
      <c r="AC84" s="7">
        <v>0</v>
      </c>
    </row>
    <row r="85" spans="1:29" x14ac:dyDescent="0.55000000000000004">
      <c r="A85" s="2" t="s">
        <v>33</v>
      </c>
      <c r="B85" s="10" t="s">
        <v>0</v>
      </c>
      <c r="C85" s="7">
        <v>327147</v>
      </c>
      <c r="D85" s="7">
        <v>0</v>
      </c>
      <c r="E85" s="7">
        <v>13900</v>
      </c>
      <c r="F85" s="7">
        <v>0</v>
      </c>
      <c r="G85" s="7">
        <v>30700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18000</v>
      </c>
      <c r="N85" s="7">
        <v>0</v>
      </c>
      <c r="O85" s="7">
        <v>0</v>
      </c>
      <c r="P85" s="7">
        <v>71100</v>
      </c>
      <c r="Q85" s="7">
        <v>0</v>
      </c>
      <c r="R85" s="7">
        <v>12000</v>
      </c>
      <c r="S85" s="7">
        <v>0</v>
      </c>
      <c r="T85" s="7">
        <v>28300</v>
      </c>
      <c r="U85" s="7">
        <v>5000</v>
      </c>
      <c r="V85" s="7">
        <v>3000</v>
      </c>
      <c r="W85" s="7">
        <v>38197</v>
      </c>
      <c r="X85" s="7">
        <v>0</v>
      </c>
      <c r="Y85" s="7">
        <v>66430</v>
      </c>
      <c r="Z85" s="7">
        <v>0</v>
      </c>
      <c r="AA85" s="7">
        <v>0</v>
      </c>
      <c r="AB85" s="7">
        <v>32520</v>
      </c>
      <c r="AC85" s="7">
        <v>8000</v>
      </c>
    </row>
    <row r="86" spans="1:29" x14ac:dyDescent="0.55000000000000004">
      <c r="A86" s="8" t="s">
        <v>35</v>
      </c>
      <c r="B86" s="10" t="s">
        <v>0</v>
      </c>
      <c r="C86" s="7">
        <v>16036</v>
      </c>
      <c r="D86" s="7">
        <v>0</v>
      </c>
      <c r="E86" s="7">
        <v>2300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2186</v>
      </c>
      <c r="Q86" s="7">
        <v>0</v>
      </c>
      <c r="R86" s="7">
        <v>0</v>
      </c>
      <c r="S86" s="7">
        <v>0</v>
      </c>
      <c r="T86" s="7">
        <v>4350</v>
      </c>
      <c r="U86" s="7">
        <v>0</v>
      </c>
      <c r="V86" s="7">
        <v>0</v>
      </c>
      <c r="W86" s="7">
        <v>0</v>
      </c>
      <c r="X86" s="7">
        <v>0</v>
      </c>
      <c r="Y86" s="7">
        <v>7200</v>
      </c>
      <c r="Z86" s="7">
        <v>0</v>
      </c>
      <c r="AA86" s="7">
        <v>0</v>
      </c>
      <c r="AB86" s="7">
        <v>0</v>
      </c>
      <c r="AC86" s="7">
        <v>0</v>
      </c>
    </row>
    <row r="87" spans="1:29" x14ac:dyDescent="0.55000000000000004">
      <c r="A87" s="8" t="s">
        <v>35</v>
      </c>
      <c r="B87" s="10" t="s">
        <v>0</v>
      </c>
      <c r="C87" s="7">
        <v>222728</v>
      </c>
      <c r="D87" s="7">
        <v>37713</v>
      </c>
      <c r="E87" s="7">
        <v>40700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45776</v>
      </c>
      <c r="N87" s="7">
        <v>0</v>
      </c>
      <c r="O87" s="7">
        <v>0</v>
      </c>
      <c r="P87" s="7">
        <v>18650</v>
      </c>
      <c r="Q87" s="7">
        <v>0</v>
      </c>
      <c r="R87" s="7">
        <v>0</v>
      </c>
      <c r="S87" s="7">
        <v>0</v>
      </c>
      <c r="T87" s="7">
        <v>3000</v>
      </c>
      <c r="U87" s="7">
        <v>5600</v>
      </c>
      <c r="V87" s="7">
        <v>0</v>
      </c>
      <c r="W87" s="7">
        <v>2632</v>
      </c>
      <c r="X87" s="7">
        <v>3704</v>
      </c>
      <c r="Y87" s="7">
        <v>53658</v>
      </c>
      <c r="Z87" s="7">
        <v>0</v>
      </c>
      <c r="AA87" s="7">
        <v>1500</v>
      </c>
      <c r="AB87" s="7">
        <v>9795</v>
      </c>
      <c r="AC87" s="7">
        <v>0</v>
      </c>
    </row>
    <row r="88" spans="1:29" x14ac:dyDescent="0.55000000000000004">
      <c r="A88" s="8" t="s">
        <v>35</v>
      </c>
      <c r="B88" s="10" t="s">
        <v>0</v>
      </c>
      <c r="C88" s="7">
        <v>0</v>
      </c>
      <c r="D88" s="7">
        <v>0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</row>
    <row r="89" spans="1:29" x14ac:dyDescent="0.55000000000000004">
      <c r="A89" s="2" t="s">
        <v>36</v>
      </c>
      <c r="B89" s="10" t="s">
        <v>0</v>
      </c>
      <c r="C89" s="7">
        <v>10950</v>
      </c>
      <c r="D89" s="7">
        <v>0</v>
      </c>
      <c r="E89" s="7">
        <v>0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10950</v>
      </c>
      <c r="AC89" s="7">
        <v>0</v>
      </c>
    </row>
    <row r="90" spans="1:29" x14ac:dyDescent="0.55000000000000004">
      <c r="A90" s="8" t="s">
        <v>54</v>
      </c>
      <c r="B90" s="10" t="s">
        <v>0</v>
      </c>
      <c r="C90" s="7">
        <v>2427803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35</v>
      </c>
      <c r="U90" s="7">
        <v>0</v>
      </c>
      <c r="V90" s="7">
        <v>0</v>
      </c>
      <c r="W90" s="7">
        <v>42968</v>
      </c>
      <c r="X90" s="7">
        <v>0</v>
      </c>
      <c r="Y90" s="7">
        <v>0</v>
      </c>
      <c r="Z90" s="7">
        <v>219800</v>
      </c>
      <c r="AA90" s="7">
        <v>75000</v>
      </c>
      <c r="AB90" s="7">
        <v>2090000</v>
      </c>
      <c r="AC90" s="7">
        <v>0</v>
      </c>
    </row>
    <row r="93" spans="1:29" x14ac:dyDescent="0.55000000000000004">
      <c r="A93" s="1" t="s">
        <v>28</v>
      </c>
      <c r="B93" s="1" t="s">
        <v>41</v>
      </c>
      <c r="D93" s="4" t="s">
        <v>20</v>
      </c>
      <c r="E93" s="4" t="s">
        <v>17</v>
      </c>
      <c r="F93" s="4" t="s">
        <v>16</v>
      </c>
      <c r="G93" s="4" t="s">
        <v>3</v>
      </c>
      <c r="H93" s="4" t="s">
        <v>14</v>
      </c>
      <c r="I93" s="4" t="s">
        <v>13</v>
      </c>
      <c r="J93" s="4" t="s">
        <v>11</v>
      </c>
      <c r="K93" s="4" t="s">
        <v>26</v>
      </c>
      <c r="L93" s="4" t="s">
        <v>9</v>
      </c>
      <c r="M93" s="4" t="s">
        <v>19</v>
      </c>
      <c r="N93" s="4" t="s">
        <v>27</v>
      </c>
      <c r="O93" s="4" t="s">
        <v>4</v>
      </c>
      <c r="P93" s="4" t="s">
        <v>25</v>
      </c>
      <c r="Q93" s="4" t="s">
        <v>8</v>
      </c>
      <c r="R93" s="4" t="s">
        <v>7</v>
      </c>
      <c r="S93" s="4" t="s">
        <v>18</v>
      </c>
      <c r="T93" s="4" t="s">
        <v>15</v>
      </c>
      <c r="U93" s="4" t="s">
        <v>12</v>
      </c>
      <c r="V93" s="4" t="s">
        <v>6</v>
      </c>
      <c r="W93" s="4" t="s">
        <v>21</v>
      </c>
      <c r="X93" s="4" t="s">
        <v>22</v>
      </c>
      <c r="Y93" s="4" t="s">
        <v>5</v>
      </c>
      <c r="Z93" s="4" t="s">
        <v>23</v>
      </c>
      <c r="AA93" s="4" t="s">
        <v>24</v>
      </c>
      <c r="AB93" s="4" t="s">
        <v>10</v>
      </c>
      <c r="AC93" s="4" t="s">
        <v>2</v>
      </c>
    </row>
    <row r="94" spans="1:29" x14ac:dyDescent="0.55000000000000004">
      <c r="A94" s="2" t="s">
        <v>48</v>
      </c>
      <c r="B94">
        <v>2</v>
      </c>
      <c r="D94" s="7">
        <f>HLOOKUP(D$93,$D$77:$AC$90,$B94,FALSE)</f>
        <v>0</v>
      </c>
      <c r="E94" s="7">
        <f t="shared" ref="E94:AC104" si="13">HLOOKUP(E$93,$D$77:$AC$90,$B94,FALSE)</f>
        <v>0</v>
      </c>
      <c r="F94" s="7">
        <f t="shared" si="13"/>
        <v>0</v>
      </c>
      <c r="G94" s="7">
        <f t="shared" si="13"/>
        <v>0</v>
      </c>
      <c r="H94" s="7">
        <f t="shared" si="13"/>
        <v>3000</v>
      </c>
      <c r="I94" s="7">
        <f t="shared" si="13"/>
        <v>0</v>
      </c>
      <c r="J94" s="7">
        <f t="shared" si="13"/>
        <v>0</v>
      </c>
      <c r="K94" s="7">
        <f t="shared" si="13"/>
        <v>0</v>
      </c>
      <c r="L94" s="7">
        <f t="shared" si="13"/>
        <v>0</v>
      </c>
      <c r="M94" s="7">
        <f t="shared" si="13"/>
        <v>2500</v>
      </c>
      <c r="N94" s="7">
        <f t="shared" si="13"/>
        <v>2000</v>
      </c>
      <c r="O94" s="7">
        <f t="shared" si="13"/>
        <v>0</v>
      </c>
      <c r="P94" s="7">
        <f t="shared" si="13"/>
        <v>0</v>
      </c>
      <c r="Q94" s="7">
        <f t="shared" si="13"/>
        <v>0</v>
      </c>
      <c r="R94" s="7">
        <f t="shared" si="13"/>
        <v>0</v>
      </c>
      <c r="S94" s="7">
        <f t="shared" si="13"/>
        <v>0</v>
      </c>
      <c r="T94" s="7">
        <f t="shared" si="13"/>
        <v>0</v>
      </c>
      <c r="U94" s="7">
        <f t="shared" si="13"/>
        <v>0</v>
      </c>
      <c r="V94" s="7">
        <f t="shared" si="13"/>
        <v>0</v>
      </c>
      <c r="W94" s="7">
        <f t="shared" si="13"/>
        <v>0</v>
      </c>
      <c r="X94" s="7">
        <f t="shared" si="13"/>
        <v>0</v>
      </c>
      <c r="Y94" s="7">
        <f t="shared" si="13"/>
        <v>0</v>
      </c>
      <c r="Z94" s="7">
        <f t="shared" si="13"/>
        <v>13600</v>
      </c>
      <c r="AA94" s="7">
        <f t="shared" si="13"/>
        <v>0</v>
      </c>
      <c r="AB94" s="7">
        <f t="shared" si="13"/>
        <v>0</v>
      </c>
      <c r="AC94" s="7">
        <f t="shared" si="13"/>
        <v>0</v>
      </c>
    </row>
    <row r="95" spans="1:29" x14ac:dyDescent="0.55000000000000004">
      <c r="A95" s="2" t="s">
        <v>49</v>
      </c>
      <c r="B95">
        <v>3</v>
      </c>
      <c r="D95" s="7">
        <f t="shared" ref="D95:S106" si="14">HLOOKUP(D$93,$D$77:$AC$90,$B95,FALSE)</f>
        <v>0</v>
      </c>
      <c r="E95" s="7">
        <f t="shared" si="14"/>
        <v>0</v>
      </c>
      <c r="F95" s="7">
        <f t="shared" si="14"/>
        <v>0</v>
      </c>
      <c r="G95" s="7">
        <f t="shared" si="14"/>
        <v>0</v>
      </c>
      <c r="H95" s="7">
        <f t="shared" si="14"/>
        <v>1200</v>
      </c>
      <c r="I95" s="7">
        <f t="shared" si="14"/>
        <v>0</v>
      </c>
      <c r="J95" s="7">
        <f t="shared" si="14"/>
        <v>0</v>
      </c>
      <c r="K95" s="7">
        <f t="shared" si="14"/>
        <v>0</v>
      </c>
      <c r="L95" s="7">
        <f t="shared" si="14"/>
        <v>0</v>
      </c>
      <c r="M95" s="7">
        <f t="shared" si="14"/>
        <v>0</v>
      </c>
      <c r="N95" s="7">
        <f t="shared" si="14"/>
        <v>0</v>
      </c>
      <c r="O95" s="7">
        <f t="shared" si="14"/>
        <v>0</v>
      </c>
      <c r="P95" s="7">
        <f t="shared" si="14"/>
        <v>0</v>
      </c>
      <c r="Q95" s="7">
        <f t="shared" si="14"/>
        <v>0</v>
      </c>
      <c r="R95" s="7">
        <f t="shared" si="14"/>
        <v>0</v>
      </c>
      <c r="S95" s="7">
        <f t="shared" si="14"/>
        <v>0</v>
      </c>
      <c r="T95" s="7">
        <f t="shared" si="13"/>
        <v>0</v>
      </c>
      <c r="U95" s="7">
        <f t="shared" si="13"/>
        <v>0</v>
      </c>
      <c r="V95" s="7">
        <f t="shared" si="13"/>
        <v>0</v>
      </c>
      <c r="W95" s="7">
        <f t="shared" si="13"/>
        <v>13000</v>
      </c>
      <c r="X95" s="7">
        <f t="shared" si="13"/>
        <v>0</v>
      </c>
      <c r="Y95" s="7">
        <f t="shared" si="13"/>
        <v>0</v>
      </c>
      <c r="Z95" s="7">
        <f t="shared" si="13"/>
        <v>0</v>
      </c>
      <c r="AA95" s="7">
        <f t="shared" si="13"/>
        <v>0</v>
      </c>
      <c r="AB95" s="7">
        <f t="shared" si="13"/>
        <v>0</v>
      </c>
      <c r="AC95" s="7">
        <f t="shared" si="13"/>
        <v>0</v>
      </c>
    </row>
    <row r="96" spans="1:29" x14ac:dyDescent="0.55000000000000004">
      <c r="A96" s="2" t="s">
        <v>50</v>
      </c>
      <c r="B96">
        <v>4</v>
      </c>
      <c r="D96" s="7">
        <f t="shared" si="14"/>
        <v>0</v>
      </c>
      <c r="E96" s="7">
        <f t="shared" si="13"/>
        <v>0</v>
      </c>
      <c r="F96" s="7">
        <f t="shared" si="13"/>
        <v>0</v>
      </c>
      <c r="G96" s="7">
        <f t="shared" si="13"/>
        <v>17900</v>
      </c>
      <c r="H96" s="7">
        <f t="shared" si="13"/>
        <v>18500</v>
      </c>
      <c r="I96" s="7">
        <f t="shared" si="13"/>
        <v>0</v>
      </c>
      <c r="J96" s="7">
        <f t="shared" si="13"/>
        <v>0</v>
      </c>
      <c r="K96" s="7">
        <f t="shared" si="13"/>
        <v>0</v>
      </c>
      <c r="L96" s="7">
        <f t="shared" si="13"/>
        <v>0</v>
      </c>
      <c r="M96" s="7">
        <f t="shared" si="13"/>
        <v>0</v>
      </c>
      <c r="N96" s="7">
        <f t="shared" si="13"/>
        <v>14500</v>
      </c>
      <c r="O96" s="7">
        <f t="shared" si="13"/>
        <v>0</v>
      </c>
      <c r="P96" s="7">
        <f t="shared" si="13"/>
        <v>10500</v>
      </c>
      <c r="Q96" s="7">
        <f t="shared" si="13"/>
        <v>0</v>
      </c>
      <c r="R96" s="7">
        <f t="shared" si="13"/>
        <v>0</v>
      </c>
      <c r="S96" s="7">
        <f t="shared" si="13"/>
        <v>0</v>
      </c>
      <c r="T96" s="7">
        <f t="shared" si="13"/>
        <v>0</v>
      </c>
      <c r="U96" s="7">
        <f t="shared" si="13"/>
        <v>0</v>
      </c>
      <c r="V96" s="7">
        <f t="shared" si="13"/>
        <v>0</v>
      </c>
      <c r="W96" s="7">
        <f t="shared" si="13"/>
        <v>3500</v>
      </c>
      <c r="X96" s="7">
        <f t="shared" si="13"/>
        <v>0</v>
      </c>
      <c r="Y96" s="7">
        <f t="shared" si="13"/>
        <v>0</v>
      </c>
      <c r="Z96" s="7">
        <f t="shared" si="13"/>
        <v>49160</v>
      </c>
      <c r="AA96" s="7">
        <f t="shared" si="13"/>
        <v>0</v>
      </c>
      <c r="AB96" s="7">
        <f t="shared" si="13"/>
        <v>0</v>
      </c>
      <c r="AC96" s="7">
        <f t="shared" si="13"/>
        <v>0</v>
      </c>
    </row>
    <row r="97" spans="1:29" x14ac:dyDescent="0.55000000000000004">
      <c r="A97" s="2" t="s">
        <v>51</v>
      </c>
      <c r="B97">
        <v>5</v>
      </c>
      <c r="D97" s="7">
        <f t="shared" si="14"/>
        <v>0</v>
      </c>
      <c r="E97" s="7">
        <f t="shared" si="13"/>
        <v>0</v>
      </c>
      <c r="F97" s="7">
        <f t="shared" si="13"/>
        <v>0</v>
      </c>
      <c r="G97" s="7">
        <f t="shared" si="13"/>
        <v>0</v>
      </c>
      <c r="H97" s="7">
        <f t="shared" si="13"/>
        <v>0</v>
      </c>
      <c r="I97" s="7">
        <f t="shared" si="13"/>
        <v>0</v>
      </c>
      <c r="J97" s="7">
        <f t="shared" si="13"/>
        <v>0</v>
      </c>
      <c r="K97" s="7">
        <f t="shared" si="13"/>
        <v>0</v>
      </c>
      <c r="L97" s="7">
        <f t="shared" si="13"/>
        <v>0</v>
      </c>
      <c r="M97" s="7">
        <f t="shared" si="13"/>
        <v>0</v>
      </c>
      <c r="N97" s="7">
        <f t="shared" si="13"/>
        <v>0</v>
      </c>
      <c r="O97" s="7">
        <f t="shared" si="13"/>
        <v>0</v>
      </c>
      <c r="P97" s="7">
        <f t="shared" si="13"/>
        <v>0</v>
      </c>
      <c r="Q97" s="7">
        <f t="shared" si="13"/>
        <v>0</v>
      </c>
      <c r="R97" s="7">
        <f t="shared" si="13"/>
        <v>0</v>
      </c>
      <c r="S97" s="7">
        <f t="shared" si="13"/>
        <v>0</v>
      </c>
      <c r="T97" s="7">
        <f t="shared" si="13"/>
        <v>0</v>
      </c>
      <c r="U97" s="7">
        <f t="shared" si="13"/>
        <v>0</v>
      </c>
      <c r="V97" s="7">
        <f t="shared" si="13"/>
        <v>0</v>
      </c>
      <c r="W97" s="7">
        <f t="shared" si="13"/>
        <v>0</v>
      </c>
      <c r="X97" s="7">
        <f t="shared" si="13"/>
        <v>0</v>
      </c>
      <c r="Y97" s="7">
        <f t="shared" si="13"/>
        <v>0</v>
      </c>
      <c r="Z97" s="7">
        <f t="shared" si="13"/>
        <v>0</v>
      </c>
      <c r="AA97" s="7">
        <f t="shared" si="13"/>
        <v>0</v>
      </c>
      <c r="AB97" s="7">
        <f t="shared" si="13"/>
        <v>0</v>
      </c>
      <c r="AC97" s="7">
        <f t="shared" si="13"/>
        <v>0</v>
      </c>
    </row>
    <row r="98" spans="1:29" x14ac:dyDescent="0.55000000000000004">
      <c r="A98" s="2" t="s">
        <v>52</v>
      </c>
      <c r="B98">
        <v>6</v>
      </c>
      <c r="D98" s="7">
        <f t="shared" si="14"/>
        <v>196065</v>
      </c>
      <c r="E98" s="7">
        <f t="shared" si="13"/>
        <v>0</v>
      </c>
      <c r="F98" s="7">
        <f t="shared" si="13"/>
        <v>0</v>
      </c>
      <c r="G98" s="7">
        <f t="shared" si="13"/>
        <v>170400</v>
      </c>
      <c r="H98" s="7">
        <f t="shared" si="13"/>
        <v>567899</v>
      </c>
      <c r="I98" s="7">
        <f t="shared" si="13"/>
        <v>0</v>
      </c>
      <c r="J98" s="7">
        <f t="shared" si="13"/>
        <v>18697</v>
      </c>
      <c r="K98" s="7">
        <f t="shared" si="13"/>
        <v>0</v>
      </c>
      <c r="L98" s="7">
        <f t="shared" si="13"/>
        <v>0</v>
      </c>
      <c r="M98" s="7">
        <f t="shared" si="13"/>
        <v>165940</v>
      </c>
      <c r="N98" s="7">
        <f t="shared" si="13"/>
        <v>25000</v>
      </c>
      <c r="O98" s="7">
        <f t="shared" si="13"/>
        <v>182675</v>
      </c>
      <c r="P98" s="7">
        <f t="shared" si="13"/>
        <v>47430</v>
      </c>
      <c r="Q98" s="7">
        <f t="shared" si="13"/>
        <v>0</v>
      </c>
      <c r="R98" s="7">
        <f t="shared" si="13"/>
        <v>0</v>
      </c>
      <c r="S98" s="7">
        <f t="shared" si="13"/>
        <v>17261</v>
      </c>
      <c r="T98" s="7">
        <f t="shared" si="13"/>
        <v>0</v>
      </c>
      <c r="U98" s="7">
        <f t="shared" si="13"/>
        <v>21990</v>
      </c>
      <c r="V98" s="7">
        <f t="shared" si="13"/>
        <v>0</v>
      </c>
      <c r="W98" s="7">
        <f t="shared" si="13"/>
        <v>313000</v>
      </c>
      <c r="X98" s="7">
        <f t="shared" si="13"/>
        <v>85000</v>
      </c>
      <c r="Y98" s="7">
        <f t="shared" si="13"/>
        <v>0</v>
      </c>
      <c r="Z98" s="7">
        <f t="shared" si="13"/>
        <v>172082</v>
      </c>
      <c r="AA98" s="7">
        <f t="shared" si="13"/>
        <v>0</v>
      </c>
      <c r="AB98" s="7">
        <f t="shared" si="13"/>
        <v>0</v>
      </c>
      <c r="AC98" s="7">
        <f t="shared" si="13"/>
        <v>433510</v>
      </c>
    </row>
    <row r="99" spans="1:29" x14ac:dyDescent="0.55000000000000004">
      <c r="A99" s="2" t="s">
        <v>53</v>
      </c>
      <c r="B99">
        <v>7</v>
      </c>
      <c r="D99" s="7">
        <f t="shared" si="14"/>
        <v>0</v>
      </c>
      <c r="E99" s="7">
        <f t="shared" si="13"/>
        <v>0</v>
      </c>
      <c r="F99" s="7">
        <f t="shared" si="13"/>
        <v>0</v>
      </c>
      <c r="G99" s="7">
        <f t="shared" si="13"/>
        <v>0</v>
      </c>
      <c r="H99" s="7">
        <f t="shared" si="13"/>
        <v>0</v>
      </c>
      <c r="I99" s="7">
        <f t="shared" si="13"/>
        <v>0</v>
      </c>
      <c r="J99" s="7">
        <f t="shared" si="13"/>
        <v>0</v>
      </c>
      <c r="K99" s="7">
        <f t="shared" si="13"/>
        <v>0</v>
      </c>
      <c r="L99" s="7">
        <f t="shared" si="13"/>
        <v>0</v>
      </c>
      <c r="M99" s="7">
        <f t="shared" si="13"/>
        <v>0</v>
      </c>
      <c r="N99" s="7">
        <f t="shared" si="13"/>
        <v>0</v>
      </c>
      <c r="O99" s="7">
        <f t="shared" si="13"/>
        <v>101883</v>
      </c>
      <c r="P99" s="7">
        <f t="shared" si="13"/>
        <v>0</v>
      </c>
      <c r="Q99" s="7">
        <f t="shared" si="13"/>
        <v>0</v>
      </c>
      <c r="R99" s="7">
        <f t="shared" si="13"/>
        <v>0</v>
      </c>
      <c r="S99" s="7">
        <f t="shared" si="13"/>
        <v>0</v>
      </c>
      <c r="T99" s="7">
        <f t="shared" si="13"/>
        <v>0</v>
      </c>
      <c r="U99" s="7">
        <f t="shared" si="13"/>
        <v>0</v>
      </c>
      <c r="V99" s="7">
        <f t="shared" si="13"/>
        <v>0</v>
      </c>
      <c r="W99" s="7">
        <f t="shared" si="13"/>
        <v>294440</v>
      </c>
      <c r="X99" s="7">
        <f t="shared" si="13"/>
        <v>0</v>
      </c>
      <c r="Y99" s="7">
        <f t="shared" si="13"/>
        <v>0</v>
      </c>
      <c r="Z99" s="7">
        <f t="shared" si="13"/>
        <v>0</v>
      </c>
      <c r="AA99" s="7">
        <f t="shared" si="13"/>
        <v>0</v>
      </c>
      <c r="AB99" s="7">
        <f t="shared" si="13"/>
        <v>0</v>
      </c>
      <c r="AC99" s="7">
        <f t="shared" si="13"/>
        <v>0</v>
      </c>
    </row>
    <row r="100" spans="1:29" x14ac:dyDescent="0.55000000000000004">
      <c r="A100" s="2" t="s">
        <v>32</v>
      </c>
      <c r="B100">
        <v>8</v>
      </c>
      <c r="D100" s="7">
        <f t="shared" si="14"/>
        <v>0</v>
      </c>
      <c r="E100" s="7">
        <f t="shared" si="13"/>
        <v>0</v>
      </c>
      <c r="F100" s="7">
        <f t="shared" si="13"/>
        <v>0</v>
      </c>
      <c r="G100" s="7">
        <f t="shared" si="13"/>
        <v>43560</v>
      </c>
      <c r="H100" s="7">
        <f t="shared" si="13"/>
        <v>4000</v>
      </c>
      <c r="I100" s="7">
        <f t="shared" si="13"/>
        <v>0</v>
      </c>
      <c r="J100" s="7">
        <f t="shared" si="13"/>
        <v>15000</v>
      </c>
      <c r="K100" s="7">
        <f t="shared" si="13"/>
        <v>0</v>
      </c>
      <c r="L100" s="7">
        <f t="shared" si="13"/>
        <v>0</v>
      </c>
      <c r="M100" s="7">
        <f t="shared" si="13"/>
        <v>1500</v>
      </c>
      <c r="N100" s="7">
        <f t="shared" si="13"/>
        <v>0</v>
      </c>
      <c r="O100" s="7">
        <f t="shared" si="13"/>
        <v>0</v>
      </c>
      <c r="P100" s="7">
        <f t="shared" si="13"/>
        <v>2000</v>
      </c>
      <c r="Q100" s="7">
        <f t="shared" si="13"/>
        <v>0</v>
      </c>
      <c r="R100" s="7">
        <f t="shared" si="13"/>
        <v>0</v>
      </c>
      <c r="S100" s="7">
        <f t="shared" si="13"/>
        <v>11500</v>
      </c>
      <c r="T100" s="7">
        <f t="shared" si="13"/>
        <v>0</v>
      </c>
      <c r="U100" s="7">
        <f t="shared" si="13"/>
        <v>0</v>
      </c>
      <c r="V100" s="7">
        <f t="shared" si="13"/>
        <v>0</v>
      </c>
      <c r="W100" s="7">
        <f t="shared" si="13"/>
        <v>29000</v>
      </c>
      <c r="X100" s="7">
        <f t="shared" si="13"/>
        <v>6306</v>
      </c>
      <c r="Y100" s="7">
        <f t="shared" si="13"/>
        <v>0</v>
      </c>
      <c r="Z100" s="7">
        <f t="shared" si="13"/>
        <v>4000</v>
      </c>
      <c r="AA100" s="7">
        <f t="shared" si="13"/>
        <v>16514</v>
      </c>
      <c r="AB100" s="7">
        <f t="shared" si="13"/>
        <v>0</v>
      </c>
      <c r="AC100" s="7">
        <f t="shared" si="13"/>
        <v>0</v>
      </c>
    </row>
    <row r="101" spans="1:29" x14ac:dyDescent="0.55000000000000004">
      <c r="A101" s="2" t="s">
        <v>33</v>
      </c>
      <c r="B101">
        <v>9</v>
      </c>
      <c r="D101" s="7">
        <f t="shared" si="14"/>
        <v>3000</v>
      </c>
      <c r="E101" s="7">
        <f t="shared" si="13"/>
        <v>0</v>
      </c>
      <c r="F101" s="7">
        <f t="shared" si="13"/>
        <v>12000</v>
      </c>
      <c r="G101" s="7">
        <f t="shared" si="13"/>
        <v>13900</v>
      </c>
      <c r="H101" s="7">
        <f t="shared" si="13"/>
        <v>71100</v>
      </c>
      <c r="I101" s="7">
        <f t="shared" si="13"/>
        <v>0</v>
      </c>
      <c r="J101" s="7">
        <f t="shared" si="13"/>
        <v>18000</v>
      </c>
      <c r="K101" s="7">
        <f t="shared" si="13"/>
        <v>32520</v>
      </c>
      <c r="L101" s="7">
        <f t="shared" si="13"/>
        <v>0</v>
      </c>
      <c r="M101" s="7">
        <f t="shared" si="13"/>
        <v>5000</v>
      </c>
      <c r="N101" s="7">
        <f t="shared" si="13"/>
        <v>8000</v>
      </c>
      <c r="O101" s="7">
        <f t="shared" si="13"/>
        <v>0</v>
      </c>
      <c r="P101" s="7">
        <f t="shared" si="13"/>
        <v>0</v>
      </c>
      <c r="Q101" s="7">
        <f t="shared" si="13"/>
        <v>0</v>
      </c>
      <c r="R101" s="7">
        <f t="shared" si="13"/>
        <v>0</v>
      </c>
      <c r="S101" s="7">
        <f t="shared" si="13"/>
        <v>28300</v>
      </c>
      <c r="T101" s="7">
        <f t="shared" si="13"/>
        <v>0</v>
      </c>
      <c r="U101" s="7">
        <f t="shared" si="13"/>
        <v>0</v>
      </c>
      <c r="V101" s="7">
        <f t="shared" si="13"/>
        <v>0</v>
      </c>
      <c r="W101" s="7">
        <f t="shared" si="13"/>
        <v>38197</v>
      </c>
      <c r="X101" s="7">
        <f t="shared" si="13"/>
        <v>0</v>
      </c>
      <c r="Y101" s="7">
        <f t="shared" si="13"/>
        <v>30700</v>
      </c>
      <c r="Z101" s="7">
        <f t="shared" si="13"/>
        <v>66430</v>
      </c>
      <c r="AA101" s="7">
        <f t="shared" si="13"/>
        <v>0</v>
      </c>
      <c r="AB101" s="7">
        <f t="shared" si="13"/>
        <v>0</v>
      </c>
      <c r="AC101" s="7">
        <f t="shared" si="13"/>
        <v>0</v>
      </c>
    </row>
    <row r="102" spans="1:29" x14ac:dyDescent="0.55000000000000004">
      <c r="A102" s="8" t="s">
        <v>35</v>
      </c>
      <c r="B102">
        <v>10</v>
      </c>
      <c r="D102" s="7">
        <f t="shared" si="14"/>
        <v>0</v>
      </c>
      <c r="E102" s="7">
        <f t="shared" si="13"/>
        <v>0</v>
      </c>
      <c r="F102" s="7">
        <f t="shared" si="13"/>
        <v>0</v>
      </c>
      <c r="G102" s="7">
        <f t="shared" si="13"/>
        <v>2300</v>
      </c>
      <c r="H102" s="7">
        <f t="shared" si="13"/>
        <v>2186</v>
      </c>
      <c r="I102" s="7">
        <f t="shared" si="13"/>
        <v>0</v>
      </c>
      <c r="J102" s="7">
        <f t="shared" si="13"/>
        <v>0</v>
      </c>
      <c r="K102" s="7">
        <f t="shared" si="13"/>
        <v>0</v>
      </c>
      <c r="L102" s="7">
        <f t="shared" si="13"/>
        <v>0</v>
      </c>
      <c r="M102" s="7">
        <f t="shared" si="13"/>
        <v>0</v>
      </c>
      <c r="N102" s="7">
        <f t="shared" si="13"/>
        <v>0</v>
      </c>
      <c r="O102" s="7">
        <f t="shared" si="13"/>
        <v>0</v>
      </c>
      <c r="P102" s="7">
        <f t="shared" si="13"/>
        <v>0</v>
      </c>
      <c r="Q102" s="7">
        <f t="shared" si="13"/>
        <v>0</v>
      </c>
      <c r="R102" s="7">
        <f t="shared" si="13"/>
        <v>0</v>
      </c>
      <c r="S102" s="7">
        <f t="shared" si="13"/>
        <v>4350</v>
      </c>
      <c r="T102" s="7">
        <f t="shared" si="13"/>
        <v>0</v>
      </c>
      <c r="U102" s="7">
        <f t="shared" si="13"/>
        <v>0</v>
      </c>
      <c r="V102" s="7">
        <f t="shared" si="13"/>
        <v>0</v>
      </c>
      <c r="W102" s="7">
        <f t="shared" si="13"/>
        <v>0</v>
      </c>
      <c r="X102" s="7">
        <f t="shared" si="13"/>
        <v>0</v>
      </c>
      <c r="Y102" s="7">
        <f t="shared" si="13"/>
        <v>0</v>
      </c>
      <c r="Z102" s="7">
        <f t="shared" si="13"/>
        <v>7200</v>
      </c>
      <c r="AA102" s="7">
        <f t="shared" si="13"/>
        <v>0</v>
      </c>
      <c r="AB102" s="7">
        <f t="shared" si="13"/>
        <v>0</v>
      </c>
      <c r="AC102" s="7">
        <f t="shared" si="13"/>
        <v>0</v>
      </c>
    </row>
    <row r="103" spans="1:29" x14ac:dyDescent="0.55000000000000004">
      <c r="A103" s="8" t="s">
        <v>35</v>
      </c>
      <c r="B103">
        <v>11</v>
      </c>
      <c r="D103" s="7">
        <f t="shared" si="14"/>
        <v>0</v>
      </c>
      <c r="E103" s="7">
        <f t="shared" si="13"/>
        <v>0</v>
      </c>
      <c r="F103" s="7">
        <f t="shared" si="13"/>
        <v>0</v>
      </c>
      <c r="G103" s="7">
        <f t="shared" si="13"/>
        <v>40700</v>
      </c>
      <c r="H103" s="7">
        <f t="shared" si="13"/>
        <v>18650</v>
      </c>
      <c r="I103" s="7">
        <f t="shared" si="13"/>
        <v>0</v>
      </c>
      <c r="J103" s="7">
        <f t="shared" si="13"/>
        <v>45776</v>
      </c>
      <c r="K103" s="7">
        <f t="shared" si="13"/>
        <v>9795</v>
      </c>
      <c r="L103" s="7">
        <f t="shared" si="13"/>
        <v>0</v>
      </c>
      <c r="M103" s="7">
        <f t="shared" si="13"/>
        <v>5600</v>
      </c>
      <c r="N103" s="7">
        <f t="shared" si="13"/>
        <v>0</v>
      </c>
      <c r="O103" s="7">
        <f t="shared" si="13"/>
        <v>0</v>
      </c>
      <c r="P103" s="7">
        <f t="shared" si="13"/>
        <v>1500</v>
      </c>
      <c r="Q103" s="7">
        <f t="shared" si="13"/>
        <v>0</v>
      </c>
      <c r="R103" s="7">
        <f t="shared" si="13"/>
        <v>0</v>
      </c>
      <c r="S103" s="7">
        <f t="shared" si="13"/>
        <v>3000</v>
      </c>
      <c r="T103" s="7">
        <f t="shared" si="13"/>
        <v>0</v>
      </c>
      <c r="U103" s="7">
        <f t="shared" si="13"/>
        <v>0</v>
      </c>
      <c r="V103" s="7">
        <f t="shared" si="13"/>
        <v>0</v>
      </c>
      <c r="W103" s="7">
        <f t="shared" si="13"/>
        <v>2632</v>
      </c>
      <c r="X103" s="7">
        <f t="shared" si="13"/>
        <v>3704</v>
      </c>
      <c r="Y103" s="7">
        <f t="shared" si="13"/>
        <v>0</v>
      </c>
      <c r="Z103" s="7">
        <f t="shared" si="13"/>
        <v>53658</v>
      </c>
      <c r="AA103" s="7">
        <f t="shared" si="13"/>
        <v>0</v>
      </c>
      <c r="AB103" s="7">
        <f t="shared" si="13"/>
        <v>0</v>
      </c>
      <c r="AC103" s="7">
        <f t="shared" si="13"/>
        <v>37713</v>
      </c>
    </row>
    <row r="104" spans="1:29" x14ac:dyDescent="0.55000000000000004">
      <c r="A104" s="8" t="s">
        <v>35</v>
      </c>
      <c r="B104">
        <v>12</v>
      </c>
      <c r="D104" s="7">
        <f t="shared" si="14"/>
        <v>0</v>
      </c>
      <c r="E104" s="7">
        <f t="shared" si="13"/>
        <v>0</v>
      </c>
      <c r="F104" s="7">
        <f t="shared" si="13"/>
        <v>0</v>
      </c>
      <c r="G104" s="7">
        <f t="shared" si="13"/>
        <v>0</v>
      </c>
      <c r="H104" s="7">
        <f t="shared" si="13"/>
        <v>0</v>
      </c>
      <c r="I104" s="7">
        <f t="shared" si="13"/>
        <v>0</v>
      </c>
      <c r="J104" s="7">
        <f t="shared" si="13"/>
        <v>0</v>
      </c>
      <c r="K104" s="7">
        <f t="shared" si="13"/>
        <v>0</v>
      </c>
      <c r="L104" s="7">
        <f t="shared" si="13"/>
        <v>0</v>
      </c>
      <c r="M104" s="7">
        <f t="shared" si="13"/>
        <v>0</v>
      </c>
      <c r="N104" s="7">
        <f t="shared" si="13"/>
        <v>0</v>
      </c>
      <c r="O104" s="7">
        <f t="shared" si="13"/>
        <v>0</v>
      </c>
      <c r="P104" s="7">
        <f t="shared" si="13"/>
        <v>0</v>
      </c>
      <c r="Q104" s="7">
        <f t="shared" si="13"/>
        <v>0</v>
      </c>
      <c r="R104" s="7">
        <f t="shared" si="13"/>
        <v>0</v>
      </c>
      <c r="S104" s="7">
        <f t="shared" si="13"/>
        <v>0</v>
      </c>
      <c r="T104" s="7">
        <f t="shared" si="13"/>
        <v>0</v>
      </c>
      <c r="U104" s="7">
        <f t="shared" si="13"/>
        <v>0</v>
      </c>
      <c r="V104" s="7">
        <f t="shared" si="13"/>
        <v>0</v>
      </c>
      <c r="W104" s="7">
        <f t="shared" si="13"/>
        <v>0</v>
      </c>
      <c r="X104" s="7">
        <f t="shared" si="13"/>
        <v>0</v>
      </c>
      <c r="Y104" s="7">
        <f t="shared" ref="Y104:AC104" si="15">HLOOKUP(Y$93,$D$77:$AC$90,$B104,FALSE)</f>
        <v>0</v>
      </c>
      <c r="Z104" s="7">
        <f t="shared" si="15"/>
        <v>0</v>
      </c>
      <c r="AA104" s="7">
        <f t="shared" si="15"/>
        <v>0</v>
      </c>
      <c r="AB104" s="7">
        <f t="shared" si="15"/>
        <v>0</v>
      </c>
      <c r="AC104" s="7">
        <f t="shared" si="15"/>
        <v>0</v>
      </c>
    </row>
    <row r="105" spans="1:29" x14ac:dyDescent="0.55000000000000004">
      <c r="A105" s="2" t="s">
        <v>36</v>
      </c>
      <c r="B105">
        <v>13</v>
      </c>
      <c r="D105" s="7">
        <f t="shared" si="14"/>
        <v>0</v>
      </c>
      <c r="E105" s="7">
        <f t="shared" si="14"/>
        <v>0</v>
      </c>
      <c r="F105" s="7">
        <f t="shared" si="14"/>
        <v>0</v>
      </c>
      <c r="G105" s="7">
        <f t="shared" si="14"/>
        <v>0</v>
      </c>
      <c r="H105" s="7">
        <f t="shared" si="14"/>
        <v>0</v>
      </c>
      <c r="I105" s="7">
        <f t="shared" si="14"/>
        <v>0</v>
      </c>
      <c r="J105" s="7">
        <f t="shared" si="14"/>
        <v>0</v>
      </c>
      <c r="K105" s="7">
        <f t="shared" si="14"/>
        <v>10950</v>
      </c>
      <c r="L105" s="7">
        <f t="shared" si="14"/>
        <v>0</v>
      </c>
      <c r="M105" s="7">
        <f t="shared" si="14"/>
        <v>0</v>
      </c>
      <c r="N105" s="7">
        <f t="shared" si="14"/>
        <v>0</v>
      </c>
      <c r="O105" s="7">
        <f t="shared" si="14"/>
        <v>0</v>
      </c>
      <c r="P105" s="7">
        <f t="shared" si="14"/>
        <v>0</v>
      </c>
      <c r="Q105" s="7">
        <f t="shared" si="14"/>
        <v>0</v>
      </c>
      <c r="R105" s="7">
        <f t="shared" si="14"/>
        <v>0</v>
      </c>
      <c r="S105" s="7">
        <f t="shared" si="14"/>
        <v>0</v>
      </c>
      <c r="T105" s="7">
        <f t="shared" ref="T105:AC106" si="16">HLOOKUP(T$93,$D$77:$AC$90,$B105,FALSE)</f>
        <v>0</v>
      </c>
      <c r="U105" s="7">
        <f t="shared" si="16"/>
        <v>0</v>
      </c>
      <c r="V105" s="7">
        <f t="shared" si="16"/>
        <v>0</v>
      </c>
      <c r="W105" s="7">
        <f t="shared" si="16"/>
        <v>0</v>
      </c>
      <c r="X105" s="7">
        <f t="shared" si="16"/>
        <v>0</v>
      </c>
      <c r="Y105" s="7">
        <f t="shared" si="16"/>
        <v>0</v>
      </c>
      <c r="Z105" s="7">
        <f t="shared" si="16"/>
        <v>0</v>
      </c>
      <c r="AA105" s="7">
        <f t="shared" si="16"/>
        <v>0</v>
      </c>
      <c r="AB105" s="7">
        <f t="shared" si="16"/>
        <v>0</v>
      </c>
      <c r="AC105" s="7">
        <f t="shared" si="16"/>
        <v>0</v>
      </c>
    </row>
    <row r="106" spans="1:29" x14ac:dyDescent="0.55000000000000004">
      <c r="A106" s="8" t="s">
        <v>54</v>
      </c>
      <c r="B106">
        <v>14</v>
      </c>
      <c r="D106" s="7">
        <f t="shared" si="14"/>
        <v>0</v>
      </c>
      <c r="E106" s="7">
        <f t="shared" si="14"/>
        <v>0</v>
      </c>
      <c r="F106" s="7">
        <f t="shared" si="14"/>
        <v>0</v>
      </c>
      <c r="G106" s="7">
        <f t="shared" si="14"/>
        <v>0</v>
      </c>
      <c r="H106" s="7">
        <f t="shared" si="14"/>
        <v>0</v>
      </c>
      <c r="I106" s="7">
        <f t="shared" si="14"/>
        <v>0</v>
      </c>
      <c r="J106" s="7">
        <f t="shared" si="14"/>
        <v>0</v>
      </c>
      <c r="K106" s="7">
        <f t="shared" si="14"/>
        <v>2090000</v>
      </c>
      <c r="L106" s="7">
        <f t="shared" si="14"/>
        <v>0</v>
      </c>
      <c r="M106" s="7">
        <f t="shared" si="14"/>
        <v>0</v>
      </c>
      <c r="N106" s="7">
        <f t="shared" si="14"/>
        <v>0</v>
      </c>
      <c r="O106" s="7">
        <f t="shared" si="14"/>
        <v>0</v>
      </c>
      <c r="P106" s="7">
        <f t="shared" si="14"/>
        <v>75000</v>
      </c>
      <c r="Q106" s="7">
        <f t="shared" si="14"/>
        <v>0</v>
      </c>
      <c r="R106" s="7">
        <f t="shared" si="14"/>
        <v>0</v>
      </c>
      <c r="S106" s="7">
        <f t="shared" si="14"/>
        <v>35</v>
      </c>
      <c r="T106" s="7">
        <f t="shared" si="16"/>
        <v>0</v>
      </c>
      <c r="U106" s="7">
        <f t="shared" si="16"/>
        <v>0</v>
      </c>
      <c r="V106" s="7">
        <f t="shared" si="16"/>
        <v>0</v>
      </c>
      <c r="W106" s="7">
        <f t="shared" si="16"/>
        <v>42968</v>
      </c>
      <c r="X106" s="7">
        <f t="shared" si="16"/>
        <v>0</v>
      </c>
      <c r="Y106" s="7">
        <f t="shared" si="16"/>
        <v>0</v>
      </c>
      <c r="Z106" s="7">
        <f t="shared" si="16"/>
        <v>0</v>
      </c>
      <c r="AA106" s="7">
        <f t="shared" si="16"/>
        <v>219800</v>
      </c>
      <c r="AB106" s="7">
        <f t="shared" si="16"/>
        <v>0</v>
      </c>
      <c r="AC106" s="7">
        <f t="shared" si="16"/>
        <v>0</v>
      </c>
    </row>
    <row r="108" spans="1:29" x14ac:dyDescent="0.55000000000000004">
      <c r="C108" t="s">
        <v>42</v>
      </c>
      <c r="D108" s="7">
        <f>SUM(D100:D101)/1000</f>
        <v>3</v>
      </c>
      <c r="E108" s="7">
        <f t="shared" ref="E108:AC108" si="17">SUM(E100:E101)/1000</f>
        <v>0</v>
      </c>
      <c r="F108" s="7">
        <f t="shared" si="17"/>
        <v>12</v>
      </c>
      <c r="G108" s="7">
        <f t="shared" si="17"/>
        <v>57.46</v>
      </c>
      <c r="H108" s="7">
        <f t="shared" si="17"/>
        <v>75.099999999999994</v>
      </c>
      <c r="I108" s="7">
        <f t="shared" si="17"/>
        <v>0</v>
      </c>
      <c r="J108" s="7">
        <f t="shared" si="17"/>
        <v>33</v>
      </c>
      <c r="K108" s="7">
        <f t="shared" si="17"/>
        <v>32.520000000000003</v>
      </c>
      <c r="L108" s="7">
        <f t="shared" si="17"/>
        <v>0</v>
      </c>
      <c r="M108" s="7">
        <f t="shared" si="17"/>
        <v>6.5</v>
      </c>
      <c r="N108" s="7">
        <f t="shared" si="17"/>
        <v>8</v>
      </c>
      <c r="O108" s="7">
        <f t="shared" si="17"/>
        <v>0</v>
      </c>
      <c r="P108" s="7">
        <f t="shared" si="17"/>
        <v>2</v>
      </c>
      <c r="Q108" s="7">
        <f t="shared" si="17"/>
        <v>0</v>
      </c>
      <c r="R108" s="7">
        <f t="shared" si="17"/>
        <v>0</v>
      </c>
      <c r="S108" s="7">
        <f t="shared" si="17"/>
        <v>39.799999999999997</v>
      </c>
      <c r="T108" s="7">
        <f t="shared" si="17"/>
        <v>0</v>
      </c>
      <c r="U108" s="7">
        <f t="shared" si="17"/>
        <v>0</v>
      </c>
      <c r="V108" s="7">
        <f t="shared" si="17"/>
        <v>0</v>
      </c>
      <c r="W108" s="7">
        <f t="shared" si="17"/>
        <v>67.197000000000003</v>
      </c>
      <c r="X108" s="7">
        <f t="shared" si="17"/>
        <v>6.306</v>
      </c>
      <c r="Y108" s="7">
        <f t="shared" si="17"/>
        <v>30.7</v>
      </c>
      <c r="Z108" s="7">
        <f t="shared" si="17"/>
        <v>70.430000000000007</v>
      </c>
      <c r="AA108" s="7">
        <f t="shared" si="17"/>
        <v>16.513999999999999</v>
      </c>
      <c r="AB108" s="7">
        <f t="shared" si="17"/>
        <v>0</v>
      </c>
      <c r="AC108" s="7">
        <f t="shared" si="17"/>
        <v>0</v>
      </c>
    </row>
    <row r="109" spans="1:29" x14ac:dyDescent="0.55000000000000004">
      <c r="C109" t="s">
        <v>45</v>
      </c>
      <c r="D109" s="7">
        <f>SUM(D94:D97)/1000</f>
        <v>0</v>
      </c>
      <c r="E109" s="7">
        <f t="shared" ref="E109:AC109" si="18">SUM(E94:E97)/1000</f>
        <v>0</v>
      </c>
      <c r="F109" s="7">
        <f t="shared" si="18"/>
        <v>0</v>
      </c>
      <c r="G109" s="7">
        <f t="shared" si="18"/>
        <v>17.899999999999999</v>
      </c>
      <c r="H109" s="7">
        <f t="shared" si="18"/>
        <v>22.7</v>
      </c>
      <c r="I109" s="7">
        <f t="shared" si="18"/>
        <v>0</v>
      </c>
      <c r="J109" s="7">
        <f t="shared" si="18"/>
        <v>0</v>
      </c>
      <c r="K109" s="7">
        <f t="shared" si="18"/>
        <v>0</v>
      </c>
      <c r="L109" s="7">
        <f t="shared" si="18"/>
        <v>0</v>
      </c>
      <c r="M109" s="7">
        <f t="shared" si="18"/>
        <v>2.5</v>
      </c>
      <c r="N109" s="7">
        <f t="shared" si="18"/>
        <v>16.5</v>
      </c>
      <c r="O109" s="7">
        <f t="shared" si="18"/>
        <v>0</v>
      </c>
      <c r="P109" s="7">
        <f t="shared" si="18"/>
        <v>10.5</v>
      </c>
      <c r="Q109" s="7">
        <f t="shared" si="18"/>
        <v>0</v>
      </c>
      <c r="R109" s="7">
        <f t="shared" si="18"/>
        <v>0</v>
      </c>
      <c r="S109" s="7">
        <f t="shared" si="18"/>
        <v>0</v>
      </c>
      <c r="T109" s="7">
        <f t="shared" si="18"/>
        <v>0</v>
      </c>
      <c r="U109" s="7">
        <f t="shared" si="18"/>
        <v>0</v>
      </c>
      <c r="V109" s="7">
        <f t="shared" si="18"/>
        <v>0</v>
      </c>
      <c r="W109" s="7">
        <f t="shared" si="18"/>
        <v>16.5</v>
      </c>
      <c r="X109" s="7">
        <f t="shared" si="18"/>
        <v>0</v>
      </c>
      <c r="Y109" s="7">
        <f t="shared" si="18"/>
        <v>0</v>
      </c>
      <c r="Z109" s="7">
        <f t="shared" si="18"/>
        <v>62.76</v>
      </c>
      <c r="AA109" s="7">
        <f t="shared" si="18"/>
        <v>0</v>
      </c>
      <c r="AB109" s="7">
        <f t="shared" si="18"/>
        <v>0</v>
      </c>
      <c r="AC109" s="7">
        <f t="shared" si="18"/>
        <v>0</v>
      </c>
    </row>
    <row r="110" spans="1:29" x14ac:dyDescent="0.55000000000000004">
      <c r="C110" t="s">
        <v>35</v>
      </c>
      <c r="D110" s="7">
        <f>SUM(D102:D104)/1000</f>
        <v>0</v>
      </c>
      <c r="E110" s="7">
        <f t="shared" ref="E110:AC110" si="19">SUM(E102:E104)/1000</f>
        <v>0</v>
      </c>
      <c r="F110" s="7">
        <f t="shared" si="19"/>
        <v>0</v>
      </c>
      <c r="G110" s="7">
        <f t="shared" si="19"/>
        <v>43</v>
      </c>
      <c r="H110" s="7">
        <f t="shared" si="19"/>
        <v>20.835999999999999</v>
      </c>
      <c r="I110" s="7">
        <f t="shared" si="19"/>
        <v>0</v>
      </c>
      <c r="J110" s="7">
        <f t="shared" si="19"/>
        <v>45.776000000000003</v>
      </c>
      <c r="K110" s="7">
        <f t="shared" si="19"/>
        <v>9.7949999999999999</v>
      </c>
      <c r="L110" s="7">
        <f t="shared" si="19"/>
        <v>0</v>
      </c>
      <c r="M110" s="7">
        <f t="shared" si="19"/>
        <v>5.6</v>
      </c>
      <c r="N110" s="7">
        <f t="shared" si="19"/>
        <v>0</v>
      </c>
      <c r="O110" s="7">
        <f t="shared" si="19"/>
        <v>0</v>
      </c>
      <c r="P110" s="7">
        <f t="shared" si="19"/>
        <v>1.5</v>
      </c>
      <c r="Q110" s="7">
        <f t="shared" si="19"/>
        <v>0</v>
      </c>
      <c r="R110" s="7">
        <f t="shared" si="19"/>
        <v>0</v>
      </c>
      <c r="S110" s="7">
        <f t="shared" si="19"/>
        <v>7.35</v>
      </c>
      <c r="T110" s="7">
        <f t="shared" si="19"/>
        <v>0</v>
      </c>
      <c r="U110" s="7">
        <f t="shared" si="19"/>
        <v>0</v>
      </c>
      <c r="V110" s="7">
        <f t="shared" si="19"/>
        <v>0</v>
      </c>
      <c r="W110" s="7">
        <f t="shared" si="19"/>
        <v>2.6320000000000001</v>
      </c>
      <c r="X110" s="7">
        <f t="shared" si="19"/>
        <v>3.7040000000000002</v>
      </c>
      <c r="Y110" s="7">
        <f t="shared" si="19"/>
        <v>0</v>
      </c>
      <c r="Z110" s="7">
        <f t="shared" si="19"/>
        <v>60.857999999999997</v>
      </c>
      <c r="AA110" s="7">
        <f t="shared" si="19"/>
        <v>0</v>
      </c>
      <c r="AB110" s="7">
        <f t="shared" si="19"/>
        <v>0</v>
      </c>
      <c r="AC110" s="7">
        <f t="shared" si="19"/>
        <v>37.713000000000001</v>
      </c>
    </row>
    <row r="111" spans="1:29" x14ac:dyDescent="0.55000000000000004"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 spans="1:29" x14ac:dyDescent="0.55000000000000004">
      <c r="C112" t="s">
        <v>43</v>
      </c>
      <c r="D112" s="7">
        <f>SUM(D94:D106)/1000</f>
        <v>199.065</v>
      </c>
      <c r="E112" s="7">
        <f t="shared" ref="E112:AC112" si="20">SUM(E94:E106)/1000</f>
        <v>0</v>
      </c>
      <c r="F112" s="7">
        <f t="shared" si="20"/>
        <v>12</v>
      </c>
      <c r="G112" s="7">
        <f t="shared" si="20"/>
        <v>288.76</v>
      </c>
      <c r="H112" s="7">
        <f t="shared" si="20"/>
        <v>686.53499999999997</v>
      </c>
      <c r="I112" s="7">
        <f t="shared" si="20"/>
        <v>0</v>
      </c>
      <c r="J112" s="7">
        <f t="shared" si="20"/>
        <v>97.472999999999999</v>
      </c>
      <c r="K112" s="7">
        <f t="shared" si="20"/>
        <v>2143.2649999999999</v>
      </c>
      <c r="L112" s="7">
        <f t="shared" si="20"/>
        <v>0</v>
      </c>
      <c r="M112" s="7">
        <f t="shared" si="20"/>
        <v>180.54</v>
      </c>
      <c r="N112" s="7">
        <f t="shared" si="20"/>
        <v>49.5</v>
      </c>
      <c r="O112" s="7">
        <f t="shared" si="20"/>
        <v>284.55799999999999</v>
      </c>
      <c r="P112" s="7">
        <f t="shared" si="20"/>
        <v>136.43</v>
      </c>
      <c r="Q112" s="7">
        <f t="shared" si="20"/>
        <v>0</v>
      </c>
      <c r="R112" s="7">
        <f t="shared" si="20"/>
        <v>0</v>
      </c>
      <c r="S112" s="7">
        <f t="shared" si="20"/>
        <v>64.445999999999998</v>
      </c>
      <c r="T112" s="7">
        <f t="shared" si="20"/>
        <v>0</v>
      </c>
      <c r="U112" s="7">
        <f t="shared" si="20"/>
        <v>21.99</v>
      </c>
      <c r="V112" s="7">
        <f t="shared" si="20"/>
        <v>0</v>
      </c>
      <c r="W112" s="7">
        <f t="shared" si="20"/>
        <v>736.73699999999997</v>
      </c>
      <c r="X112" s="7">
        <f t="shared" si="20"/>
        <v>95.01</v>
      </c>
      <c r="Y112" s="7">
        <f t="shared" si="20"/>
        <v>30.7</v>
      </c>
      <c r="Z112" s="7">
        <f t="shared" si="20"/>
        <v>366.13</v>
      </c>
      <c r="AA112" s="7">
        <f t="shared" si="20"/>
        <v>236.31399999999999</v>
      </c>
      <c r="AB112" s="7">
        <f t="shared" si="20"/>
        <v>0</v>
      </c>
      <c r="AC112" s="7">
        <f t="shared" si="20"/>
        <v>471.22300000000001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7C55E-B8DD-411D-891C-06CE53D2D505}">
  <dimension ref="A1:AC71"/>
  <sheetViews>
    <sheetView topLeftCell="A41" workbookViewId="0">
      <selection activeCell="C67" sqref="C67:AC69"/>
    </sheetView>
  </sheetViews>
  <sheetFormatPr defaultRowHeight="14.4" x14ac:dyDescent="0.55000000000000004"/>
  <cols>
    <col min="1" max="1" width="34.41796875" bestFit="1" customWidth="1"/>
    <col min="2" max="2" width="3.89453125" bestFit="1" customWidth="1"/>
  </cols>
  <sheetData>
    <row r="1" spans="1:29" x14ac:dyDescent="0.55000000000000004">
      <c r="A1" s="1" t="s">
        <v>37</v>
      </c>
      <c r="B1" s="2"/>
    </row>
    <row r="2" spans="1:29" x14ac:dyDescent="0.55000000000000004">
      <c r="A2" s="1" t="s">
        <v>28</v>
      </c>
      <c r="B2" s="1" t="s">
        <v>40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  <c r="L2" s="6" t="s">
        <v>10</v>
      </c>
      <c r="M2" s="6" t="s">
        <v>11</v>
      </c>
      <c r="N2" s="6" t="s">
        <v>12</v>
      </c>
      <c r="O2" s="6" t="s">
        <v>13</v>
      </c>
      <c r="P2" s="6" t="s">
        <v>14</v>
      </c>
      <c r="Q2" s="6" t="s">
        <v>15</v>
      </c>
      <c r="R2" s="6" t="s">
        <v>16</v>
      </c>
      <c r="S2" s="6" t="s">
        <v>17</v>
      </c>
      <c r="T2" s="6" t="s">
        <v>18</v>
      </c>
      <c r="U2" s="6" t="s">
        <v>19</v>
      </c>
      <c r="V2" s="6" t="s">
        <v>20</v>
      </c>
      <c r="W2" s="6" t="s">
        <v>21</v>
      </c>
      <c r="X2" s="6" t="s">
        <v>22</v>
      </c>
      <c r="Y2" s="6" t="s">
        <v>23</v>
      </c>
      <c r="Z2" s="6" t="s">
        <v>24</v>
      </c>
      <c r="AA2" s="6" t="s">
        <v>25</v>
      </c>
      <c r="AB2" s="6" t="s">
        <v>26</v>
      </c>
      <c r="AC2" s="6" t="s">
        <v>27</v>
      </c>
    </row>
    <row r="3" spans="1:29" x14ac:dyDescent="0.55000000000000004">
      <c r="A3" s="2" t="s">
        <v>29</v>
      </c>
      <c r="B3" s="3" t="s">
        <v>55</v>
      </c>
      <c r="C3" s="7">
        <v>48</v>
      </c>
      <c r="D3" s="7">
        <v>0</v>
      </c>
      <c r="E3" s="7">
        <v>0</v>
      </c>
      <c r="F3" s="7">
        <v>0</v>
      </c>
      <c r="G3" s="7">
        <v>1</v>
      </c>
      <c r="H3" s="7">
        <v>0</v>
      </c>
      <c r="I3" s="7">
        <v>0</v>
      </c>
      <c r="J3" s="7">
        <v>0</v>
      </c>
      <c r="K3" s="7">
        <v>4</v>
      </c>
      <c r="L3" s="7">
        <v>0</v>
      </c>
      <c r="M3" s="7">
        <v>5</v>
      </c>
      <c r="N3" s="7">
        <v>5</v>
      </c>
      <c r="O3" s="7">
        <v>0</v>
      </c>
      <c r="P3" s="7">
        <v>6</v>
      </c>
      <c r="Q3" s="7">
        <v>0</v>
      </c>
      <c r="R3" s="7">
        <v>1</v>
      </c>
      <c r="S3" s="7">
        <v>3</v>
      </c>
      <c r="T3" s="7">
        <v>0</v>
      </c>
      <c r="U3" s="7">
        <v>6</v>
      </c>
      <c r="V3" s="7">
        <v>0</v>
      </c>
      <c r="W3" s="7">
        <v>0</v>
      </c>
      <c r="X3" s="7">
        <v>0</v>
      </c>
      <c r="Y3" s="7">
        <v>9</v>
      </c>
      <c r="Z3" s="7">
        <v>0</v>
      </c>
      <c r="AA3" s="7">
        <v>0</v>
      </c>
      <c r="AB3" s="7">
        <v>1</v>
      </c>
      <c r="AC3" s="7">
        <v>7</v>
      </c>
    </row>
    <row r="4" spans="1:29" x14ac:dyDescent="0.55000000000000004">
      <c r="A4" s="2" t="s">
        <v>30</v>
      </c>
      <c r="B4" s="3" t="s">
        <v>55</v>
      </c>
      <c r="C4" s="7">
        <v>167</v>
      </c>
      <c r="D4" s="7">
        <v>0</v>
      </c>
      <c r="E4" s="7">
        <v>40</v>
      </c>
      <c r="F4" s="7">
        <v>0</v>
      </c>
      <c r="G4" s="7">
        <v>3</v>
      </c>
      <c r="H4" s="7">
        <v>1</v>
      </c>
      <c r="I4" s="7">
        <v>1</v>
      </c>
      <c r="J4" s="7">
        <v>0</v>
      </c>
      <c r="K4" s="7">
        <v>1</v>
      </c>
      <c r="L4" s="7">
        <v>0</v>
      </c>
      <c r="M4" s="7">
        <v>7</v>
      </c>
      <c r="N4" s="7">
        <v>17</v>
      </c>
      <c r="O4" s="7">
        <v>4</v>
      </c>
      <c r="P4" s="7">
        <v>6</v>
      </c>
      <c r="Q4" s="7">
        <v>7</v>
      </c>
      <c r="R4" s="7">
        <v>3</v>
      </c>
      <c r="S4" s="7">
        <v>0</v>
      </c>
      <c r="T4" s="7">
        <v>0</v>
      </c>
      <c r="U4" s="7">
        <v>6</v>
      </c>
      <c r="V4" s="7">
        <v>0</v>
      </c>
      <c r="W4" s="7">
        <v>12</v>
      </c>
      <c r="X4" s="7">
        <v>0</v>
      </c>
      <c r="Y4" s="7">
        <v>30</v>
      </c>
      <c r="Z4" s="7">
        <v>0</v>
      </c>
      <c r="AA4" s="7">
        <v>17</v>
      </c>
      <c r="AB4" s="7">
        <v>0</v>
      </c>
      <c r="AC4" s="7">
        <v>12</v>
      </c>
    </row>
    <row r="5" spans="1:29" x14ac:dyDescent="0.55000000000000004">
      <c r="A5" s="2" t="s">
        <v>31</v>
      </c>
      <c r="B5" s="3" t="s">
        <v>55</v>
      </c>
      <c r="C5" s="7">
        <v>1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1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</row>
    <row r="6" spans="1:29" x14ac:dyDescent="0.55000000000000004">
      <c r="A6" s="2" t="s">
        <v>32</v>
      </c>
      <c r="B6" s="3" t="s">
        <v>55</v>
      </c>
      <c r="C6" s="7">
        <v>1227</v>
      </c>
      <c r="D6" s="7">
        <v>0</v>
      </c>
      <c r="E6" s="7">
        <v>242</v>
      </c>
      <c r="F6" s="7">
        <v>0</v>
      </c>
      <c r="G6" s="7">
        <v>6</v>
      </c>
      <c r="H6" s="7">
        <v>14</v>
      </c>
      <c r="I6" s="7">
        <v>3</v>
      </c>
      <c r="J6" s="7">
        <v>11</v>
      </c>
      <c r="K6" s="7">
        <v>27</v>
      </c>
      <c r="L6" s="7">
        <v>0</v>
      </c>
      <c r="M6" s="7">
        <v>127</v>
      </c>
      <c r="N6" s="7">
        <v>27</v>
      </c>
      <c r="O6" s="7">
        <v>7</v>
      </c>
      <c r="P6" s="7">
        <v>30</v>
      </c>
      <c r="Q6" s="7">
        <v>11</v>
      </c>
      <c r="R6" s="7">
        <v>7</v>
      </c>
      <c r="S6" s="7">
        <v>4</v>
      </c>
      <c r="T6" s="7">
        <v>223</v>
      </c>
      <c r="U6" s="7">
        <v>36</v>
      </c>
      <c r="V6" s="7">
        <v>0</v>
      </c>
      <c r="W6" s="7">
        <v>124</v>
      </c>
      <c r="X6" s="7">
        <v>30</v>
      </c>
      <c r="Y6" s="7">
        <v>99</v>
      </c>
      <c r="Z6" s="7">
        <v>109</v>
      </c>
      <c r="AA6" s="7">
        <v>4</v>
      </c>
      <c r="AB6" s="7">
        <v>75</v>
      </c>
      <c r="AC6" s="7">
        <v>11</v>
      </c>
    </row>
    <row r="7" spans="1:29" x14ac:dyDescent="0.55000000000000004">
      <c r="A7" s="2" t="s">
        <v>33</v>
      </c>
      <c r="B7" s="3" t="s">
        <v>55</v>
      </c>
      <c r="C7" s="7">
        <v>457</v>
      </c>
      <c r="D7" s="7">
        <v>0</v>
      </c>
      <c r="E7" s="7">
        <v>90</v>
      </c>
      <c r="F7" s="7">
        <v>0</v>
      </c>
      <c r="G7" s="7">
        <v>5</v>
      </c>
      <c r="H7" s="7">
        <v>1</v>
      </c>
      <c r="I7" s="7">
        <v>1</v>
      </c>
      <c r="J7" s="7">
        <v>2</v>
      </c>
      <c r="K7" s="7">
        <v>0</v>
      </c>
      <c r="L7" s="7">
        <v>0</v>
      </c>
      <c r="M7" s="7">
        <v>57</v>
      </c>
      <c r="N7" s="7">
        <v>18</v>
      </c>
      <c r="O7" s="7">
        <v>2</v>
      </c>
      <c r="P7" s="7">
        <v>12</v>
      </c>
      <c r="Q7" s="7">
        <v>1</v>
      </c>
      <c r="R7" s="7">
        <v>8</v>
      </c>
      <c r="S7" s="7">
        <v>3</v>
      </c>
      <c r="T7" s="7">
        <v>93</v>
      </c>
      <c r="U7" s="7">
        <v>31</v>
      </c>
      <c r="V7" s="7">
        <v>0</v>
      </c>
      <c r="W7" s="7">
        <v>63</v>
      </c>
      <c r="X7" s="7">
        <v>3</v>
      </c>
      <c r="Y7" s="7">
        <v>55</v>
      </c>
      <c r="Z7" s="7">
        <v>9</v>
      </c>
      <c r="AA7" s="7">
        <v>1</v>
      </c>
      <c r="AB7" s="7">
        <v>2</v>
      </c>
      <c r="AC7" s="7">
        <v>0</v>
      </c>
    </row>
    <row r="8" spans="1:29" x14ac:dyDescent="0.55000000000000004">
      <c r="A8" s="2" t="s">
        <v>34</v>
      </c>
      <c r="B8" s="3" t="s">
        <v>55</v>
      </c>
      <c r="C8" s="7">
        <v>227</v>
      </c>
      <c r="D8" s="7">
        <v>0</v>
      </c>
      <c r="E8" s="7">
        <v>54</v>
      </c>
      <c r="F8" s="7">
        <v>0</v>
      </c>
      <c r="G8" s="7">
        <v>3</v>
      </c>
      <c r="H8" s="7">
        <v>11</v>
      </c>
      <c r="I8" s="7">
        <v>7</v>
      </c>
      <c r="J8" s="7">
        <v>0</v>
      </c>
      <c r="K8" s="7">
        <v>10</v>
      </c>
      <c r="L8" s="7">
        <v>0</v>
      </c>
      <c r="M8" s="7">
        <v>15</v>
      </c>
      <c r="N8" s="7">
        <v>19</v>
      </c>
      <c r="O8" s="7">
        <v>17</v>
      </c>
      <c r="P8" s="7">
        <v>13</v>
      </c>
      <c r="Q8" s="7">
        <v>6</v>
      </c>
      <c r="R8" s="7">
        <v>2</v>
      </c>
      <c r="S8" s="7">
        <v>0</v>
      </c>
      <c r="T8" s="7">
        <v>0</v>
      </c>
      <c r="U8" s="7">
        <v>3</v>
      </c>
      <c r="V8" s="7">
        <v>0</v>
      </c>
      <c r="W8" s="7">
        <v>10</v>
      </c>
      <c r="X8" s="7">
        <v>48</v>
      </c>
      <c r="Y8" s="7">
        <v>0</v>
      </c>
      <c r="Z8" s="7">
        <v>6</v>
      </c>
      <c r="AA8" s="7">
        <v>3</v>
      </c>
      <c r="AB8" s="7">
        <v>0</v>
      </c>
      <c r="AC8" s="7">
        <v>0</v>
      </c>
    </row>
    <row r="9" spans="1:29" x14ac:dyDescent="0.55000000000000004">
      <c r="A9" s="2" t="s">
        <v>35</v>
      </c>
      <c r="B9" s="3" t="s">
        <v>55</v>
      </c>
      <c r="C9" s="7">
        <v>390</v>
      </c>
      <c r="D9" s="7">
        <v>0</v>
      </c>
      <c r="E9" s="7">
        <v>45</v>
      </c>
      <c r="F9" s="7">
        <v>5</v>
      </c>
      <c r="G9" s="7">
        <v>1</v>
      </c>
      <c r="H9" s="7">
        <v>5</v>
      </c>
      <c r="I9" s="7">
        <v>1</v>
      </c>
      <c r="J9" s="7">
        <v>1</v>
      </c>
      <c r="K9" s="7">
        <v>2</v>
      </c>
      <c r="L9" s="7">
        <v>0</v>
      </c>
      <c r="M9" s="7">
        <v>23</v>
      </c>
      <c r="N9" s="7">
        <v>18</v>
      </c>
      <c r="O9" s="7">
        <v>11</v>
      </c>
      <c r="P9" s="7">
        <v>25</v>
      </c>
      <c r="Q9" s="7">
        <v>0</v>
      </c>
      <c r="R9" s="7">
        <v>4</v>
      </c>
      <c r="S9" s="7">
        <v>3</v>
      </c>
      <c r="T9" s="7">
        <v>55</v>
      </c>
      <c r="U9" s="7">
        <v>17</v>
      </c>
      <c r="V9" s="7">
        <v>0</v>
      </c>
      <c r="W9" s="7">
        <v>20</v>
      </c>
      <c r="X9" s="7">
        <v>27</v>
      </c>
      <c r="Y9" s="7">
        <v>76</v>
      </c>
      <c r="Z9" s="7">
        <v>4</v>
      </c>
      <c r="AA9" s="7">
        <v>18</v>
      </c>
      <c r="AB9" s="7">
        <v>16</v>
      </c>
      <c r="AC9" s="7">
        <v>13</v>
      </c>
    </row>
    <row r="10" spans="1:29" x14ac:dyDescent="0.55000000000000004">
      <c r="A10" s="2" t="s">
        <v>36</v>
      </c>
      <c r="B10" s="3" t="s">
        <v>55</v>
      </c>
      <c r="C10" s="7">
        <v>7</v>
      </c>
      <c r="D10" s="7">
        <v>0</v>
      </c>
      <c r="E10" s="7">
        <v>1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2</v>
      </c>
      <c r="V10" s="7">
        <v>0</v>
      </c>
      <c r="W10" s="7">
        <v>4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</row>
    <row r="11" spans="1:29" x14ac:dyDescent="0.55000000000000004">
      <c r="A11" s="2"/>
      <c r="B11" s="3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8"/>
      <c r="Z11" s="8"/>
      <c r="AA11" s="8"/>
      <c r="AB11" s="8"/>
      <c r="AC11" s="8"/>
    </row>
    <row r="12" spans="1:29" x14ac:dyDescent="0.55000000000000004">
      <c r="A12" s="1" t="s">
        <v>39</v>
      </c>
      <c r="B12" s="2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</row>
    <row r="13" spans="1:29" x14ac:dyDescent="0.55000000000000004">
      <c r="A13" s="1" t="s">
        <v>28</v>
      </c>
      <c r="B13" s="1" t="s">
        <v>40</v>
      </c>
      <c r="C13" s="6" t="s">
        <v>1</v>
      </c>
      <c r="D13" s="6" t="s">
        <v>2</v>
      </c>
      <c r="E13" s="6" t="s">
        <v>3</v>
      </c>
      <c r="F13" s="6" t="s">
        <v>4</v>
      </c>
      <c r="G13" s="6" t="s">
        <v>5</v>
      </c>
      <c r="H13" s="6" t="s">
        <v>6</v>
      </c>
      <c r="I13" s="6" t="s">
        <v>7</v>
      </c>
      <c r="J13" s="6" t="s">
        <v>8</v>
      </c>
      <c r="K13" s="6" t="s">
        <v>9</v>
      </c>
      <c r="L13" s="6" t="s">
        <v>10</v>
      </c>
      <c r="M13" s="6" t="s">
        <v>11</v>
      </c>
      <c r="N13" s="6" t="s">
        <v>12</v>
      </c>
      <c r="O13" s="6" t="s">
        <v>13</v>
      </c>
      <c r="P13" s="6" t="s">
        <v>14</v>
      </c>
      <c r="Q13" s="6" t="s">
        <v>15</v>
      </c>
      <c r="R13" s="6" t="s">
        <v>16</v>
      </c>
      <c r="S13" s="6" t="s">
        <v>17</v>
      </c>
      <c r="T13" s="6" t="s">
        <v>18</v>
      </c>
      <c r="U13" s="6" t="s">
        <v>19</v>
      </c>
      <c r="V13" s="6" t="s">
        <v>20</v>
      </c>
      <c r="W13" s="6" t="s">
        <v>21</v>
      </c>
      <c r="X13" s="6" t="s">
        <v>22</v>
      </c>
      <c r="Y13" s="6" t="s">
        <v>23</v>
      </c>
      <c r="Z13" s="6" t="s">
        <v>24</v>
      </c>
      <c r="AA13" s="6" t="s">
        <v>25</v>
      </c>
      <c r="AB13" s="6" t="s">
        <v>26</v>
      </c>
      <c r="AC13" s="6" t="s">
        <v>27</v>
      </c>
    </row>
    <row r="14" spans="1:29" x14ac:dyDescent="0.55000000000000004">
      <c r="A14" s="2" t="s">
        <v>29</v>
      </c>
      <c r="B14" s="3" t="s">
        <v>55</v>
      </c>
      <c r="C14" s="7">
        <v>7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5</v>
      </c>
      <c r="V14" s="7">
        <v>0</v>
      </c>
      <c r="W14" s="7">
        <v>0</v>
      </c>
      <c r="X14" s="7">
        <v>0</v>
      </c>
      <c r="Y14" s="7">
        <v>2</v>
      </c>
      <c r="Z14" s="7">
        <v>0</v>
      </c>
      <c r="AA14" s="7">
        <v>0</v>
      </c>
      <c r="AB14" s="7">
        <v>0</v>
      </c>
      <c r="AC14" s="7">
        <v>0</v>
      </c>
    </row>
    <row r="15" spans="1:29" x14ac:dyDescent="0.55000000000000004">
      <c r="A15" s="2" t="s">
        <v>30</v>
      </c>
      <c r="B15" s="3" t="s">
        <v>55</v>
      </c>
      <c r="C15" s="7">
        <v>66</v>
      </c>
      <c r="D15" s="7">
        <v>0</v>
      </c>
      <c r="E15" s="7">
        <v>17</v>
      </c>
      <c r="F15" s="7">
        <v>0</v>
      </c>
      <c r="G15" s="7">
        <v>1</v>
      </c>
      <c r="H15" s="7">
        <v>0</v>
      </c>
      <c r="I15" s="7">
        <v>0</v>
      </c>
      <c r="J15" s="7">
        <v>4</v>
      </c>
      <c r="K15" s="7">
        <v>2</v>
      </c>
      <c r="L15" s="7">
        <v>0</v>
      </c>
      <c r="M15" s="7">
        <v>4</v>
      </c>
      <c r="N15" s="7">
        <v>9</v>
      </c>
      <c r="O15" s="7">
        <v>0</v>
      </c>
      <c r="P15" s="7">
        <v>3</v>
      </c>
      <c r="Q15" s="7">
        <v>0</v>
      </c>
      <c r="R15" s="7">
        <v>3</v>
      </c>
      <c r="S15" s="7">
        <v>0</v>
      </c>
      <c r="T15" s="7">
        <v>0</v>
      </c>
      <c r="U15" s="7">
        <v>3</v>
      </c>
      <c r="V15" s="7">
        <v>0</v>
      </c>
      <c r="W15" s="7">
        <v>1</v>
      </c>
      <c r="X15" s="7">
        <v>0</v>
      </c>
      <c r="Y15" s="7">
        <v>13</v>
      </c>
      <c r="Z15" s="7">
        <v>0</v>
      </c>
      <c r="AA15" s="7">
        <v>3</v>
      </c>
      <c r="AB15" s="7">
        <v>0</v>
      </c>
      <c r="AC15" s="7">
        <v>3</v>
      </c>
    </row>
    <row r="16" spans="1:29" x14ac:dyDescent="0.55000000000000004">
      <c r="A16" s="2" t="s">
        <v>31</v>
      </c>
      <c r="B16" s="3" t="s">
        <v>55</v>
      </c>
      <c r="C16" s="7">
        <v>1</v>
      </c>
      <c r="D16" s="7">
        <v>0</v>
      </c>
      <c r="E16" s="7">
        <v>1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</row>
    <row r="17" spans="1:29" x14ac:dyDescent="0.55000000000000004">
      <c r="A17" s="2" t="s">
        <v>32</v>
      </c>
      <c r="B17" s="3" t="s">
        <v>55</v>
      </c>
      <c r="C17" s="7">
        <v>115</v>
      </c>
      <c r="D17" s="7">
        <v>0</v>
      </c>
      <c r="E17" s="7">
        <v>38</v>
      </c>
      <c r="F17" s="7">
        <v>0</v>
      </c>
      <c r="G17" s="7">
        <v>2</v>
      </c>
      <c r="H17" s="7">
        <v>3</v>
      </c>
      <c r="I17" s="7">
        <v>2</v>
      </c>
      <c r="J17" s="7">
        <v>2</v>
      </c>
      <c r="K17" s="7">
        <v>2</v>
      </c>
      <c r="L17" s="7">
        <v>0</v>
      </c>
      <c r="M17" s="7">
        <v>4</v>
      </c>
      <c r="N17" s="7">
        <v>0</v>
      </c>
      <c r="O17" s="7">
        <v>1</v>
      </c>
      <c r="P17" s="7">
        <v>1</v>
      </c>
      <c r="Q17" s="7">
        <v>1</v>
      </c>
      <c r="R17" s="7">
        <v>0</v>
      </c>
      <c r="S17" s="7">
        <v>2</v>
      </c>
      <c r="T17" s="7">
        <v>4</v>
      </c>
      <c r="U17" s="7">
        <v>17</v>
      </c>
      <c r="V17" s="7">
        <v>0</v>
      </c>
      <c r="W17" s="7">
        <v>6</v>
      </c>
      <c r="X17" s="7">
        <v>7</v>
      </c>
      <c r="Y17" s="7">
        <v>5</v>
      </c>
      <c r="Z17" s="7">
        <v>15</v>
      </c>
      <c r="AA17" s="7">
        <v>1</v>
      </c>
      <c r="AB17" s="7">
        <v>0</v>
      </c>
      <c r="AC17" s="7">
        <v>2</v>
      </c>
    </row>
    <row r="18" spans="1:29" x14ac:dyDescent="0.55000000000000004">
      <c r="A18" s="2" t="s">
        <v>33</v>
      </c>
      <c r="B18" s="3" t="s">
        <v>55</v>
      </c>
      <c r="C18" s="7">
        <v>86</v>
      </c>
      <c r="D18" s="7">
        <v>0</v>
      </c>
      <c r="E18" s="7">
        <v>20</v>
      </c>
      <c r="F18" s="7">
        <v>0</v>
      </c>
      <c r="G18" s="7">
        <v>0</v>
      </c>
      <c r="H18" s="7">
        <v>2</v>
      </c>
      <c r="I18" s="7">
        <v>1</v>
      </c>
      <c r="J18" s="7">
        <v>7</v>
      </c>
      <c r="K18" s="7">
        <v>1</v>
      </c>
      <c r="L18" s="7">
        <v>0</v>
      </c>
      <c r="M18" s="7">
        <v>3</v>
      </c>
      <c r="N18" s="7">
        <v>11</v>
      </c>
      <c r="O18" s="7">
        <v>0</v>
      </c>
      <c r="P18" s="7">
        <v>0</v>
      </c>
      <c r="Q18" s="7">
        <v>1</v>
      </c>
      <c r="R18" s="7">
        <v>3</v>
      </c>
      <c r="S18" s="7">
        <v>2</v>
      </c>
      <c r="T18" s="7">
        <v>10</v>
      </c>
      <c r="U18" s="7">
        <v>13</v>
      </c>
      <c r="V18" s="7">
        <v>0</v>
      </c>
      <c r="W18" s="7">
        <v>6</v>
      </c>
      <c r="X18" s="7">
        <v>0</v>
      </c>
      <c r="Y18" s="7">
        <v>4</v>
      </c>
      <c r="Z18" s="7">
        <v>2</v>
      </c>
      <c r="AA18" s="7">
        <v>0</v>
      </c>
      <c r="AB18" s="7">
        <v>0</v>
      </c>
      <c r="AC18" s="7">
        <v>0</v>
      </c>
    </row>
    <row r="19" spans="1:29" x14ac:dyDescent="0.55000000000000004">
      <c r="A19" s="2" t="s">
        <v>34</v>
      </c>
      <c r="B19" s="3" t="s">
        <v>55</v>
      </c>
      <c r="C19" s="7">
        <v>164</v>
      </c>
      <c r="D19" s="7">
        <v>0</v>
      </c>
      <c r="E19" s="7">
        <v>33</v>
      </c>
      <c r="F19" s="7">
        <v>0</v>
      </c>
      <c r="G19" s="7">
        <v>8</v>
      </c>
      <c r="H19" s="7">
        <v>7</v>
      </c>
      <c r="I19" s="7">
        <v>5</v>
      </c>
      <c r="J19" s="7">
        <v>2</v>
      </c>
      <c r="K19" s="7">
        <v>2</v>
      </c>
      <c r="L19" s="7">
        <v>0</v>
      </c>
      <c r="M19" s="7">
        <v>42</v>
      </c>
      <c r="N19" s="7">
        <v>12</v>
      </c>
      <c r="O19" s="7">
        <v>15</v>
      </c>
      <c r="P19" s="7">
        <v>3</v>
      </c>
      <c r="Q19" s="7">
        <v>3</v>
      </c>
      <c r="R19" s="7">
        <v>5</v>
      </c>
      <c r="S19" s="7">
        <v>0</v>
      </c>
      <c r="T19" s="7">
        <v>0</v>
      </c>
      <c r="U19" s="7">
        <v>6</v>
      </c>
      <c r="V19" s="7">
        <v>0</v>
      </c>
      <c r="W19" s="7">
        <v>6</v>
      </c>
      <c r="X19" s="7">
        <v>5</v>
      </c>
      <c r="Y19" s="7">
        <v>0</v>
      </c>
      <c r="Z19" s="7">
        <v>9</v>
      </c>
      <c r="AA19" s="7">
        <v>1</v>
      </c>
      <c r="AB19" s="7">
        <v>0</v>
      </c>
      <c r="AC19" s="7">
        <v>0</v>
      </c>
    </row>
    <row r="20" spans="1:29" x14ac:dyDescent="0.55000000000000004">
      <c r="A20" s="2" t="s">
        <v>35</v>
      </c>
      <c r="B20" s="3" t="s">
        <v>55</v>
      </c>
      <c r="C20" s="7">
        <v>147</v>
      </c>
      <c r="D20" s="7">
        <v>0</v>
      </c>
      <c r="E20" s="7">
        <v>38</v>
      </c>
      <c r="F20" s="7">
        <v>5</v>
      </c>
      <c r="G20" s="7">
        <v>3</v>
      </c>
      <c r="H20" s="7">
        <v>1</v>
      </c>
      <c r="I20" s="7">
        <v>1</v>
      </c>
      <c r="J20" s="7">
        <v>2</v>
      </c>
      <c r="K20" s="7">
        <v>0</v>
      </c>
      <c r="L20" s="7">
        <v>0</v>
      </c>
      <c r="M20" s="7">
        <v>9</v>
      </c>
      <c r="N20" s="7">
        <v>6</v>
      </c>
      <c r="O20" s="7">
        <v>3</v>
      </c>
      <c r="P20" s="7">
        <v>13</v>
      </c>
      <c r="Q20" s="7">
        <v>1</v>
      </c>
      <c r="R20" s="7">
        <v>0</v>
      </c>
      <c r="S20" s="7">
        <v>0</v>
      </c>
      <c r="T20" s="7">
        <v>4</v>
      </c>
      <c r="U20" s="7">
        <v>15</v>
      </c>
      <c r="V20" s="7">
        <v>0</v>
      </c>
      <c r="W20" s="7">
        <v>4</v>
      </c>
      <c r="X20" s="7">
        <v>7</v>
      </c>
      <c r="Y20" s="7">
        <v>21</v>
      </c>
      <c r="Z20" s="7">
        <v>1</v>
      </c>
      <c r="AA20" s="7">
        <v>8</v>
      </c>
      <c r="AB20" s="7">
        <v>3</v>
      </c>
      <c r="AC20" s="7">
        <v>2</v>
      </c>
    </row>
    <row r="21" spans="1:29" x14ac:dyDescent="0.55000000000000004">
      <c r="A21" s="2" t="s">
        <v>36</v>
      </c>
      <c r="B21" s="3" t="s">
        <v>55</v>
      </c>
      <c r="C21" s="7">
        <v>4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4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</row>
    <row r="22" spans="1:29" x14ac:dyDescent="0.55000000000000004">
      <c r="A22" s="2"/>
      <c r="B22" s="3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8"/>
      <c r="Z22" s="8"/>
      <c r="AA22" s="8"/>
      <c r="AB22" s="8"/>
      <c r="AC22" s="8"/>
    </row>
    <row r="23" spans="1:29" x14ac:dyDescent="0.55000000000000004">
      <c r="A23" s="1" t="s">
        <v>38</v>
      </c>
      <c r="B23" s="2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</row>
    <row r="24" spans="1:29" x14ac:dyDescent="0.55000000000000004">
      <c r="A24" s="1" t="s">
        <v>28</v>
      </c>
      <c r="B24" s="1" t="s">
        <v>40</v>
      </c>
      <c r="C24" s="6" t="s">
        <v>1</v>
      </c>
      <c r="D24" s="6" t="s">
        <v>2</v>
      </c>
      <c r="E24" s="6" t="s">
        <v>3</v>
      </c>
      <c r="F24" s="6" t="s">
        <v>4</v>
      </c>
      <c r="G24" s="6" t="s">
        <v>5</v>
      </c>
      <c r="H24" s="6" t="s">
        <v>6</v>
      </c>
      <c r="I24" s="6" t="s">
        <v>7</v>
      </c>
      <c r="J24" s="6" t="s">
        <v>8</v>
      </c>
      <c r="K24" s="6" t="s">
        <v>9</v>
      </c>
      <c r="L24" s="6" t="s">
        <v>10</v>
      </c>
      <c r="M24" s="6" t="s">
        <v>11</v>
      </c>
      <c r="N24" s="6" t="s">
        <v>12</v>
      </c>
      <c r="O24" s="6" t="s">
        <v>13</v>
      </c>
      <c r="P24" s="6" t="s">
        <v>14</v>
      </c>
      <c r="Q24" s="6" t="s">
        <v>15</v>
      </c>
      <c r="R24" s="6" t="s">
        <v>16</v>
      </c>
      <c r="S24" s="6" t="s">
        <v>17</v>
      </c>
      <c r="T24" s="6" t="s">
        <v>18</v>
      </c>
      <c r="U24" s="6" t="s">
        <v>19</v>
      </c>
      <c r="V24" s="6" t="s">
        <v>20</v>
      </c>
      <c r="W24" s="6" t="s">
        <v>21</v>
      </c>
      <c r="X24" s="6" t="s">
        <v>22</v>
      </c>
      <c r="Y24" s="6" t="s">
        <v>23</v>
      </c>
      <c r="Z24" s="6" t="s">
        <v>24</v>
      </c>
      <c r="AA24" s="6" t="s">
        <v>25</v>
      </c>
      <c r="AB24" s="6" t="s">
        <v>26</v>
      </c>
      <c r="AC24" s="6" t="s">
        <v>27</v>
      </c>
    </row>
    <row r="25" spans="1:29" x14ac:dyDescent="0.55000000000000004">
      <c r="A25" s="2" t="s">
        <v>29</v>
      </c>
      <c r="B25" s="3" t="s">
        <v>55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</row>
    <row r="26" spans="1:29" x14ac:dyDescent="0.55000000000000004">
      <c r="A26" s="2" t="s">
        <v>30</v>
      </c>
      <c r="B26" s="3" t="s">
        <v>55</v>
      </c>
      <c r="C26" s="7">
        <v>11</v>
      </c>
      <c r="D26" s="7">
        <v>0</v>
      </c>
      <c r="E26" s="7">
        <v>3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2</v>
      </c>
      <c r="N26" s="7">
        <v>1</v>
      </c>
      <c r="O26" s="7">
        <v>0</v>
      </c>
      <c r="P26" s="7">
        <v>1</v>
      </c>
      <c r="Q26" s="7">
        <v>0</v>
      </c>
      <c r="R26" s="7">
        <v>1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3</v>
      </c>
    </row>
    <row r="27" spans="1:29" x14ac:dyDescent="0.55000000000000004">
      <c r="A27" s="2" t="s">
        <v>31</v>
      </c>
      <c r="B27" s="3" t="s">
        <v>55</v>
      </c>
      <c r="C27" s="7">
        <v>8</v>
      </c>
      <c r="D27" s="7">
        <v>0</v>
      </c>
      <c r="E27" s="7">
        <v>3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2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1</v>
      </c>
      <c r="U27" s="7">
        <v>0</v>
      </c>
      <c r="V27" s="7">
        <v>0</v>
      </c>
      <c r="W27" s="7">
        <v>1</v>
      </c>
      <c r="X27" s="7">
        <v>0</v>
      </c>
      <c r="Y27" s="7">
        <v>0</v>
      </c>
      <c r="Z27" s="7">
        <v>1</v>
      </c>
      <c r="AA27" s="7">
        <v>0</v>
      </c>
      <c r="AB27" s="7">
        <v>0</v>
      </c>
      <c r="AC27" s="7">
        <v>0</v>
      </c>
    </row>
    <row r="28" spans="1:29" x14ac:dyDescent="0.55000000000000004">
      <c r="A28" s="2" t="s">
        <v>32</v>
      </c>
      <c r="B28" s="3" t="s">
        <v>55</v>
      </c>
      <c r="C28" s="7">
        <v>12</v>
      </c>
      <c r="D28" s="7">
        <v>0</v>
      </c>
      <c r="E28" s="7">
        <v>3</v>
      </c>
      <c r="F28" s="7">
        <v>0</v>
      </c>
      <c r="G28" s="7">
        <v>0</v>
      </c>
      <c r="H28" s="7">
        <v>0</v>
      </c>
      <c r="I28" s="7">
        <v>0</v>
      </c>
      <c r="J28" s="7">
        <v>1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1</v>
      </c>
      <c r="U28" s="7">
        <v>0</v>
      </c>
      <c r="V28" s="7">
        <v>0</v>
      </c>
      <c r="W28" s="7">
        <v>3</v>
      </c>
      <c r="X28" s="7">
        <v>1</v>
      </c>
      <c r="Y28" s="7">
        <v>0</v>
      </c>
      <c r="Z28" s="7">
        <v>3</v>
      </c>
      <c r="AA28" s="7">
        <v>0</v>
      </c>
      <c r="AB28" s="7">
        <v>0</v>
      </c>
      <c r="AC28" s="7">
        <v>0</v>
      </c>
    </row>
    <row r="29" spans="1:29" x14ac:dyDescent="0.55000000000000004">
      <c r="A29" s="2" t="s">
        <v>33</v>
      </c>
      <c r="B29" s="3" t="s">
        <v>55</v>
      </c>
      <c r="C29" s="7">
        <v>12</v>
      </c>
      <c r="D29" s="7">
        <v>0</v>
      </c>
      <c r="E29" s="7">
        <v>3</v>
      </c>
      <c r="F29" s="7">
        <v>0</v>
      </c>
      <c r="G29" s="7">
        <v>1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1</v>
      </c>
      <c r="N29" s="7">
        <v>0</v>
      </c>
      <c r="O29" s="7">
        <v>0</v>
      </c>
      <c r="P29" s="7">
        <v>1</v>
      </c>
      <c r="Q29" s="7">
        <v>0</v>
      </c>
      <c r="R29" s="7">
        <v>0</v>
      </c>
      <c r="S29" s="7">
        <v>0</v>
      </c>
      <c r="T29" s="7">
        <v>0</v>
      </c>
      <c r="U29" s="7">
        <v>2</v>
      </c>
      <c r="V29" s="7">
        <v>0</v>
      </c>
      <c r="W29" s="7">
        <v>3</v>
      </c>
      <c r="X29" s="7">
        <v>0</v>
      </c>
      <c r="Y29" s="7">
        <v>0</v>
      </c>
      <c r="Z29" s="7">
        <v>1</v>
      </c>
      <c r="AA29" s="7">
        <v>0</v>
      </c>
      <c r="AB29" s="7">
        <v>0</v>
      </c>
      <c r="AC29" s="7">
        <v>0</v>
      </c>
    </row>
    <row r="30" spans="1:29" x14ac:dyDescent="0.55000000000000004">
      <c r="A30" s="2" t="s">
        <v>34</v>
      </c>
      <c r="B30" s="3" t="s">
        <v>55</v>
      </c>
      <c r="C30" s="7">
        <v>58</v>
      </c>
      <c r="D30" s="7">
        <v>0</v>
      </c>
      <c r="E30" s="7">
        <v>13</v>
      </c>
      <c r="F30" s="7">
        <v>0</v>
      </c>
      <c r="G30" s="7">
        <v>3</v>
      </c>
      <c r="H30" s="7">
        <v>1</v>
      </c>
      <c r="I30" s="7">
        <v>1</v>
      </c>
      <c r="J30" s="7">
        <v>0</v>
      </c>
      <c r="K30" s="7">
        <v>1</v>
      </c>
      <c r="L30" s="7">
        <v>0</v>
      </c>
      <c r="M30" s="7">
        <v>16</v>
      </c>
      <c r="N30" s="7">
        <v>5</v>
      </c>
      <c r="O30" s="7">
        <v>1</v>
      </c>
      <c r="P30" s="7">
        <v>1</v>
      </c>
      <c r="Q30" s="7">
        <v>1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10</v>
      </c>
      <c r="X30" s="7">
        <v>1</v>
      </c>
      <c r="Y30" s="7">
        <v>0</v>
      </c>
      <c r="Z30" s="7">
        <v>3</v>
      </c>
      <c r="AA30" s="7">
        <v>1</v>
      </c>
      <c r="AB30" s="7">
        <v>0</v>
      </c>
      <c r="AC30" s="7">
        <v>0</v>
      </c>
    </row>
    <row r="31" spans="1:29" x14ac:dyDescent="0.55000000000000004">
      <c r="A31" s="2" t="s">
        <v>35</v>
      </c>
      <c r="B31" s="3" t="s">
        <v>55</v>
      </c>
      <c r="C31" s="7">
        <v>8</v>
      </c>
      <c r="D31" s="7">
        <v>0</v>
      </c>
      <c r="E31" s="7">
        <v>3</v>
      </c>
      <c r="F31" s="7">
        <v>0</v>
      </c>
      <c r="G31" s="7">
        <v>0</v>
      </c>
      <c r="H31" s="7">
        <v>0</v>
      </c>
      <c r="I31" s="7">
        <v>0</v>
      </c>
      <c r="J31" s="7">
        <v>1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1</v>
      </c>
      <c r="U31" s="7">
        <v>1</v>
      </c>
      <c r="V31" s="7">
        <v>0</v>
      </c>
      <c r="W31" s="7">
        <v>1</v>
      </c>
      <c r="X31" s="7">
        <v>0</v>
      </c>
      <c r="Y31" s="7">
        <v>1</v>
      </c>
      <c r="Z31" s="7">
        <v>0</v>
      </c>
      <c r="AA31" s="7">
        <v>0</v>
      </c>
      <c r="AB31" s="7">
        <v>0</v>
      </c>
      <c r="AC31" s="7">
        <v>0</v>
      </c>
    </row>
    <row r="32" spans="1:29" x14ac:dyDescent="0.55000000000000004">
      <c r="A32" s="2" t="s">
        <v>36</v>
      </c>
      <c r="B32" s="3" t="s">
        <v>55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</row>
    <row r="34" spans="1:29" x14ac:dyDescent="0.55000000000000004">
      <c r="A34" s="1" t="s">
        <v>37</v>
      </c>
      <c r="B34" s="1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spans="1:29" x14ac:dyDescent="0.55000000000000004">
      <c r="A35" s="1" t="s">
        <v>28</v>
      </c>
      <c r="B35" s="1" t="s">
        <v>41</v>
      </c>
      <c r="D35" s="4" t="s">
        <v>20</v>
      </c>
      <c r="E35" s="4" t="s">
        <v>17</v>
      </c>
      <c r="F35" s="4" t="s">
        <v>16</v>
      </c>
      <c r="G35" s="4" t="s">
        <v>3</v>
      </c>
      <c r="H35" s="4" t="s">
        <v>14</v>
      </c>
      <c r="I35" s="4" t="s">
        <v>13</v>
      </c>
      <c r="J35" s="4" t="s">
        <v>11</v>
      </c>
      <c r="K35" s="4" t="s">
        <v>26</v>
      </c>
      <c r="L35" s="4" t="s">
        <v>9</v>
      </c>
      <c r="M35" s="4" t="s">
        <v>19</v>
      </c>
      <c r="N35" s="4" t="s">
        <v>27</v>
      </c>
      <c r="O35" s="4" t="s">
        <v>4</v>
      </c>
      <c r="P35" s="4" t="s">
        <v>25</v>
      </c>
      <c r="Q35" s="4" t="s">
        <v>8</v>
      </c>
      <c r="R35" s="4" t="s">
        <v>7</v>
      </c>
      <c r="S35" s="4" t="s">
        <v>18</v>
      </c>
      <c r="T35" s="4" t="s">
        <v>15</v>
      </c>
      <c r="U35" s="4" t="s">
        <v>12</v>
      </c>
      <c r="V35" s="4" t="s">
        <v>6</v>
      </c>
      <c r="W35" s="4" t="s">
        <v>21</v>
      </c>
      <c r="X35" s="4" t="s">
        <v>22</v>
      </c>
      <c r="Y35" s="4" t="s">
        <v>5</v>
      </c>
      <c r="Z35" s="4" t="s">
        <v>23</v>
      </c>
      <c r="AA35" s="4" t="s">
        <v>24</v>
      </c>
      <c r="AB35" s="4" t="s">
        <v>10</v>
      </c>
      <c r="AC35" s="4" t="s">
        <v>2</v>
      </c>
    </row>
    <row r="36" spans="1:29" x14ac:dyDescent="0.55000000000000004">
      <c r="A36" s="2" t="s">
        <v>29</v>
      </c>
      <c r="B36">
        <v>2</v>
      </c>
      <c r="D36" s="7">
        <f>HLOOKUP(D$35,$D$2:$AC$10,$B36,FALSE)</f>
        <v>0</v>
      </c>
      <c r="E36" s="7">
        <f t="shared" ref="E36:AC43" si="0">HLOOKUP(E$35,$D$2:$AC$10,$B36,FALSE)</f>
        <v>3</v>
      </c>
      <c r="F36" s="7">
        <f t="shared" si="0"/>
        <v>1</v>
      </c>
      <c r="G36" s="7">
        <f t="shared" si="0"/>
        <v>0</v>
      </c>
      <c r="H36" s="7">
        <f t="shared" si="0"/>
        <v>6</v>
      </c>
      <c r="I36" s="7">
        <f t="shared" si="0"/>
        <v>0</v>
      </c>
      <c r="J36" s="7">
        <f t="shared" si="0"/>
        <v>5</v>
      </c>
      <c r="K36" s="7">
        <f t="shared" si="0"/>
        <v>1</v>
      </c>
      <c r="L36" s="7">
        <f t="shared" si="0"/>
        <v>4</v>
      </c>
      <c r="M36" s="7">
        <f t="shared" si="0"/>
        <v>6</v>
      </c>
      <c r="N36" s="7">
        <f t="shared" si="0"/>
        <v>7</v>
      </c>
      <c r="O36" s="7">
        <f t="shared" si="0"/>
        <v>0</v>
      </c>
      <c r="P36" s="7">
        <f t="shared" si="0"/>
        <v>0</v>
      </c>
      <c r="Q36" s="7">
        <f t="shared" si="0"/>
        <v>0</v>
      </c>
      <c r="R36" s="7">
        <f t="shared" si="0"/>
        <v>0</v>
      </c>
      <c r="S36" s="7">
        <f t="shared" si="0"/>
        <v>0</v>
      </c>
      <c r="T36" s="7">
        <f t="shared" si="0"/>
        <v>0</v>
      </c>
      <c r="U36" s="7">
        <f t="shared" si="0"/>
        <v>5</v>
      </c>
      <c r="V36" s="7">
        <f t="shared" si="0"/>
        <v>0</v>
      </c>
      <c r="W36" s="7">
        <f t="shared" si="0"/>
        <v>0</v>
      </c>
      <c r="X36" s="7">
        <f t="shared" si="0"/>
        <v>0</v>
      </c>
      <c r="Y36" s="7">
        <f t="shared" si="0"/>
        <v>1</v>
      </c>
      <c r="Z36" s="7">
        <f t="shared" si="0"/>
        <v>9</v>
      </c>
      <c r="AA36" s="7">
        <f t="shared" si="0"/>
        <v>0</v>
      </c>
      <c r="AB36" s="7">
        <f t="shared" si="0"/>
        <v>0</v>
      </c>
      <c r="AC36" s="7">
        <f t="shared" si="0"/>
        <v>0</v>
      </c>
    </row>
    <row r="37" spans="1:29" x14ac:dyDescent="0.55000000000000004">
      <c r="A37" s="2" t="s">
        <v>30</v>
      </c>
      <c r="B37">
        <v>3</v>
      </c>
      <c r="D37" s="7">
        <f t="shared" ref="D37:D42" si="1">HLOOKUP(D$35,$D$2:$AC$10,$B37,FALSE)</f>
        <v>0</v>
      </c>
      <c r="E37" s="7">
        <f t="shared" si="0"/>
        <v>0</v>
      </c>
      <c r="F37" s="7">
        <f t="shared" si="0"/>
        <v>3</v>
      </c>
      <c r="G37" s="7">
        <f t="shared" si="0"/>
        <v>40</v>
      </c>
      <c r="H37" s="7">
        <f t="shared" si="0"/>
        <v>6</v>
      </c>
      <c r="I37" s="7">
        <f t="shared" si="0"/>
        <v>4</v>
      </c>
      <c r="J37" s="7">
        <f t="shared" si="0"/>
        <v>7</v>
      </c>
      <c r="K37" s="7">
        <f t="shared" si="0"/>
        <v>0</v>
      </c>
      <c r="L37" s="7">
        <f t="shared" si="0"/>
        <v>1</v>
      </c>
      <c r="M37" s="7">
        <f t="shared" si="0"/>
        <v>6</v>
      </c>
      <c r="N37" s="7">
        <f t="shared" si="0"/>
        <v>12</v>
      </c>
      <c r="O37" s="7">
        <f t="shared" si="0"/>
        <v>0</v>
      </c>
      <c r="P37" s="7">
        <f t="shared" si="0"/>
        <v>17</v>
      </c>
      <c r="Q37" s="7">
        <f t="shared" si="0"/>
        <v>0</v>
      </c>
      <c r="R37" s="7">
        <f t="shared" si="0"/>
        <v>1</v>
      </c>
      <c r="S37" s="7">
        <f t="shared" si="0"/>
        <v>0</v>
      </c>
      <c r="T37" s="7">
        <f t="shared" si="0"/>
        <v>7</v>
      </c>
      <c r="U37" s="7">
        <f t="shared" si="0"/>
        <v>17</v>
      </c>
      <c r="V37" s="7">
        <f t="shared" si="0"/>
        <v>1</v>
      </c>
      <c r="W37" s="7">
        <f t="shared" si="0"/>
        <v>12</v>
      </c>
      <c r="X37" s="7">
        <f t="shared" si="0"/>
        <v>0</v>
      </c>
      <c r="Y37" s="7">
        <f t="shared" si="0"/>
        <v>3</v>
      </c>
      <c r="Z37" s="7">
        <f t="shared" si="0"/>
        <v>30</v>
      </c>
      <c r="AA37" s="7">
        <f t="shared" si="0"/>
        <v>0</v>
      </c>
      <c r="AB37" s="7">
        <f t="shared" si="0"/>
        <v>0</v>
      </c>
      <c r="AC37" s="7">
        <f t="shared" si="0"/>
        <v>0</v>
      </c>
    </row>
    <row r="38" spans="1:29" x14ac:dyDescent="0.55000000000000004">
      <c r="A38" s="2" t="s">
        <v>31</v>
      </c>
      <c r="B38">
        <v>4</v>
      </c>
      <c r="D38" s="7">
        <f t="shared" si="1"/>
        <v>0</v>
      </c>
      <c r="E38" s="7">
        <f t="shared" si="0"/>
        <v>0</v>
      </c>
      <c r="F38" s="7">
        <f t="shared" si="0"/>
        <v>0</v>
      </c>
      <c r="G38" s="7">
        <f t="shared" si="0"/>
        <v>0</v>
      </c>
      <c r="H38" s="7">
        <f t="shared" si="0"/>
        <v>0</v>
      </c>
      <c r="I38" s="7">
        <f t="shared" si="0"/>
        <v>0</v>
      </c>
      <c r="J38" s="7">
        <f t="shared" si="0"/>
        <v>0</v>
      </c>
      <c r="K38" s="7">
        <f t="shared" si="0"/>
        <v>0</v>
      </c>
      <c r="L38" s="7">
        <f t="shared" si="0"/>
        <v>0</v>
      </c>
      <c r="M38" s="7">
        <f t="shared" si="0"/>
        <v>0</v>
      </c>
      <c r="N38" s="7">
        <f t="shared" si="0"/>
        <v>0</v>
      </c>
      <c r="O38" s="7">
        <f t="shared" si="0"/>
        <v>0</v>
      </c>
      <c r="P38" s="7">
        <f t="shared" si="0"/>
        <v>0</v>
      </c>
      <c r="Q38" s="7">
        <f t="shared" si="0"/>
        <v>0</v>
      </c>
      <c r="R38" s="7">
        <f t="shared" si="0"/>
        <v>0</v>
      </c>
      <c r="S38" s="7">
        <f t="shared" si="0"/>
        <v>0</v>
      </c>
      <c r="T38" s="7">
        <f t="shared" si="0"/>
        <v>0</v>
      </c>
      <c r="U38" s="7">
        <f t="shared" si="0"/>
        <v>1</v>
      </c>
      <c r="V38" s="7">
        <f t="shared" si="0"/>
        <v>0</v>
      </c>
      <c r="W38" s="7">
        <f t="shared" si="0"/>
        <v>0</v>
      </c>
      <c r="X38" s="7">
        <f t="shared" si="0"/>
        <v>0</v>
      </c>
      <c r="Y38" s="7">
        <f t="shared" si="0"/>
        <v>0</v>
      </c>
      <c r="Z38" s="7">
        <f t="shared" si="0"/>
        <v>0</v>
      </c>
      <c r="AA38" s="7">
        <f t="shared" si="0"/>
        <v>0</v>
      </c>
      <c r="AB38" s="7">
        <f t="shared" si="0"/>
        <v>0</v>
      </c>
      <c r="AC38" s="7">
        <f t="shared" si="0"/>
        <v>0</v>
      </c>
    </row>
    <row r="39" spans="1:29" x14ac:dyDescent="0.55000000000000004">
      <c r="A39" s="2" t="s">
        <v>32</v>
      </c>
      <c r="B39">
        <v>5</v>
      </c>
      <c r="D39" s="7">
        <f t="shared" si="1"/>
        <v>0</v>
      </c>
      <c r="E39" s="7">
        <f t="shared" si="0"/>
        <v>4</v>
      </c>
      <c r="F39" s="7">
        <f t="shared" si="0"/>
        <v>7</v>
      </c>
      <c r="G39" s="7">
        <f t="shared" si="0"/>
        <v>242</v>
      </c>
      <c r="H39" s="7">
        <f t="shared" si="0"/>
        <v>30</v>
      </c>
      <c r="I39" s="7">
        <f t="shared" si="0"/>
        <v>7</v>
      </c>
      <c r="J39" s="7">
        <f t="shared" si="0"/>
        <v>127</v>
      </c>
      <c r="K39" s="7">
        <f t="shared" si="0"/>
        <v>75</v>
      </c>
      <c r="L39" s="7">
        <f t="shared" si="0"/>
        <v>27</v>
      </c>
      <c r="M39" s="7">
        <f t="shared" si="0"/>
        <v>36</v>
      </c>
      <c r="N39" s="7">
        <f t="shared" si="0"/>
        <v>11</v>
      </c>
      <c r="O39" s="7">
        <f t="shared" si="0"/>
        <v>0</v>
      </c>
      <c r="P39" s="7">
        <f t="shared" si="0"/>
        <v>4</v>
      </c>
      <c r="Q39" s="7">
        <f t="shared" si="0"/>
        <v>11</v>
      </c>
      <c r="R39" s="7">
        <f t="shared" si="0"/>
        <v>3</v>
      </c>
      <c r="S39" s="7">
        <f t="shared" si="0"/>
        <v>223</v>
      </c>
      <c r="T39" s="7">
        <f t="shared" si="0"/>
        <v>11</v>
      </c>
      <c r="U39" s="7">
        <f t="shared" si="0"/>
        <v>27</v>
      </c>
      <c r="V39" s="7">
        <f t="shared" si="0"/>
        <v>14</v>
      </c>
      <c r="W39" s="7">
        <f t="shared" si="0"/>
        <v>124</v>
      </c>
      <c r="X39" s="7">
        <f t="shared" si="0"/>
        <v>30</v>
      </c>
      <c r="Y39" s="7">
        <f t="shared" si="0"/>
        <v>6</v>
      </c>
      <c r="Z39" s="7">
        <f t="shared" si="0"/>
        <v>99</v>
      </c>
      <c r="AA39" s="7">
        <f t="shared" si="0"/>
        <v>109</v>
      </c>
      <c r="AB39" s="7">
        <f t="shared" si="0"/>
        <v>0</v>
      </c>
      <c r="AC39" s="7">
        <f t="shared" si="0"/>
        <v>0</v>
      </c>
    </row>
    <row r="40" spans="1:29" x14ac:dyDescent="0.55000000000000004">
      <c r="A40" s="2" t="s">
        <v>33</v>
      </c>
      <c r="B40">
        <v>6</v>
      </c>
      <c r="D40" s="7">
        <f t="shared" si="1"/>
        <v>0</v>
      </c>
      <c r="E40" s="7">
        <f t="shared" si="0"/>
        <v>3</v>
      </c>
      <c r="F40" s="7">
        <f t="shared" si="0"/>
        <v>8</v>
      </c>
      <c r="G40" s="7">
        <f t="shared" si="0"/>
        <v>90</v>
      </c>
      <c r="H40" s="7">
        <f t="shared" si="0"/>
        <v>12</v>
      </c>
      <c r="I40" s="7">
        <f t="shared" si="0"/>
        <v>2</v>
      </c>
      <c r="J40" s="7">
        <f t="shared" si="0"/>
        <v>57</v>
      </c>
      <c r="K40" s="7">
        <f t="shared" si="0"/>
        <v>2</v>
      </c>
      <c r="L40" s="7">
        <f t="shared" si="0"/>
        <v>0</v>
      </c>
      <c r="M40" s="7">
        <f t="shared" si="0"/>
        <v>31</v>
      </c>
      <c r="N40" s="7">
        <f t="shared" si="0"/>
        <v>0</v>
      </c>
      <c r="O40" s="7">
        <f t="shared" si="0"/>
        <v>0</v>
      </c>
      <c r="P40" s="7">
        <f t="shared" si="0"/>
        <v>1</v>
      </c>
      <c r="Q40" s="7">
        <f t="shared" si="0"/>
        <v>2</v>
      </c>
      <c r="R40" s="7">
        <f t="shared" si="0"/>
        <v>1</v>
      </c>
      <c r="S40" s="7">
        <f t="shared" si="0"/>
        <v>93</v>
      </c>
      <c r="T40" s="7">
        <f t="shared" si="0"/>
        <v>1</v>
      </c>
      <c r="U40" s="7">
        <f t="shared" si="0"/>
        <v>18</v>
      </c>
      <c r="V40" s="7">
        <f t="shared" si="0"/>
        <v>1</v>
      </c>
      <c r="W40" s="7">
        <f t="shared" si="0"/>
        <v>63</v>
      </c>
      <c r="X40" s="7">
        <f t="shared" si="0"/>
        <v>3</v>
      </c>
      <c r="Y40" s="7">
        <f t="shared" si="0"/>
        <v>5</v>
      </c>
      <c r="Z40" s="7">
        <f t="shared" si="0"/>
        <v>55</v>
      </c>
      <c r="AA40" s="7">
        <f t="shared" si="0"/>
        <v>9</v>
      </c>
      <c r="AB40" s="7">
        <f t="shared" si="0"/>
        <v>0</v>
      </c>
      <c r="AC40" s="7">
        <f t="shared" si="0"/>
        <v>0</v>
      </c>
    </row>
    <row r="41" spans="1:29" x14ac:dyDescent="0.55000000000000004">
      <c r="A41" s="2" t="s">
        <v>34</v>
      </c>
      <c r="B41">
        <v>7</v>
      </c>
      <c r="D41" s="7">
        <f t="shared" si="1"/>
        <v>0</v>
      </c>
      <c r="E41" s="7">
        <f t="shared" si="0"/>
        <v>0</v>
      </c>
      <c r="F41" s="7">
        <f t="shared" si="0"/>
        <v>2</v>
      </c>
      <c r="G41" s="7">
        <f t="shared" si="0"/>
        <v>54</v>
      </c>
      <c r="H41" s="7">
        <f t="shared" si="0"/>
        <v>13</v>
      </c>
      <c r="I41" s="7">
        <f t="shared" si="0"/>
        <v>17</v>
      </c>
      <c r="J41" s="7">
        <f t="shared" si="0"/>
        <v>15</v>
      </c>
      <c r="K41" s="7">
        <f t="shared" si="0"/>
        <v>0</v>
      </c>
      <c r="L41" s="7">
        <f t="shared" si="0"/>
        <v>10</v>
      </c>
      <c r="M41" s="7">
        <f t="shared" si="0"/>
        <v>3</v>
      </c>
      <c r="N41" s="7">
        <f t="shared" si="0"/>
        <v>0</v>
      </c>
      <c r="O41" s="7">
        <f t="shared" si="0"/>
        <v>0</v>
      </c>
      <c r="P41" s="7">
        <f t="shared" si="0"/>
        <v>3</v>
      </c>
      <c r="Q41" s="7">
        <f t="shared" si="0"/>
        <v>0</v>
      </c>
      <c r="R41" s="7">
        <f t="shared" si="0"/>
        <v>7</v>
      </c>
      <c r="S41" s="7">
        <f t="shared" si="0"/>
        <v>0</v>
      </c>
      <c r="T41" s="7">
        <f t="shared" si="0"/>
        <v>6</v>
      </c>
      <c r="U41" s="7">
        <f t="shared" si="0"/>
        <v>19</v>
      </c>
      <c r="V41" s="7">
        <f t="shared" si="0"/>
        <v>11</v>
      </c>
      <c r="W41" s="7">
        <f t="shared" si="0"/>
        <v>10</v>
      </c>
      <c r="X41" s="7">
        <f t="shared" si="0"/>
        <v>48</v>
      </c>
      <c r="Y41" s="7">
        <f t="shared" si="0"/>
        <v>3</v>
      </c>
      <c r="Z41" s="7">
        <f t="shared" si="0"/>
        <v>0</v>
      </c>
      <c r="AA41" s="7">
        <f t="shared" si="0"/>
        <v>6</v>
      </c>
      <c r="AB41" s="7">
        <f t="shared" si="0"/>
        <v>0</v>
      </c>
      <c r="AC41" s="7">
        <f t="shared" si="0"/>
        <v>0</v>
      </c>
    </row>
    <row r="42" spans="1:29" x14ac:dyDescent="0.55000000000000004">
      <c r="A42" s="2" t="s">
        <v>35</v>
      </c>
      <c r="B42">
        <v>8</v>
      </c>
      <c r="D42" s="7">
        <f t="shared" si="1"/>
        <v>0</v>
      </c>
      <c r="E42" s="7">
        <f t="shared" si="0"/>
        <v>3</v>
      </c>
      <c r="F42" s="7">
        <f t="shared" si="0"/>
        <v>4</v>
      </c>
      <c r="G42" s="7">
        <f t="shared" si="0"/>
        <v>45</v>
      </c>
      <c r="H42" s="7">
        <f t="shared" si="0"/>
        <v>25</v>
      </c>
      <c r="I42" s="7">
        <f t="shared" si="0"/>
        <v>11</v>
      </c>
      <c r="J42" s="7">
        <f t="shared" si="0"/>
        <v>23</v>
      </c>
      <c r="K42" s="7">
        <f t="shared" si="0"/>
        <v>16</v>
      </c>
      <c r="L42" s="7">
        <f t="shared" si="0"/>
        <v>2</v>
      </c>
      <c r="M42" s="7">
        <f t="shared" si="0"/>
        <v>17</v>
      </c>
      <c r="N42" s="7">
        <f t="shared" si="0"/>
        <v>13</v>
      </c>
      <c r="O42" s="7">
        <f t="shared" si="0"/>
        <v>5</v>
      </c>
      <c r="P42" s="7">
        <f t="shared" si="0"/>
        <v>18</v>
      </c>
      <c r="Q42" s="7">
        <f t="shared" si="0"/>
        <v>1</v>
      </c>
      <c r="R42" s="7">
        <f t="shared" si="0"/>
        <v>1</v>
      </c>
      <c r="S42" s="7">
        <f t="shared" si="0"/>
        <v>55</v>
      </c>
      <c r="T42" s="7">
        <f t="shared" si="0"/>
        <v>0</v>
      </c>
      <c r="U42" s="7">
        <f t="shared" si="0"/>
        <v>18</v>
      </c>
      <c r="V42" s="7">
        <f t="shared" si="0"/>
        <v>5</v>
      </c>
      <c r="W42" s="7">
        <f t="shared" si="0"/>
        <v>20</v>
      </c>
      <c r="X42" s="7">
        <f t="shared" si="0"/>
        <v>27</v>
      </c>
      <c r="Y42" s="7">
        <f t="shared" si="0"/>
        <v>1</v>
      </c>
      <c r="Z42" s="7">
        <f t="shared" si="0"/>
        <v>76</v>
      </c>
      <c r="AA42" s="7">
        <f t="shared" si="0"/>
        <v>4</v>
      </c>
      <c r="AB42" s="7">
        <f t="shared" si="0"/>
        <v>0</v>
      </c>
      <c r="AC42" s="7">
        <f t="shared" si="0"/>
        <v>0</v>
      </c>
    </row>
    <row r="43" spans="1:29" x14ac:dyDescent="0.55000000000000004">
      <c r="A43" s="2" t="s">
        <v>36</v>
      </c>
      <c r="B43">
        <v>9</v>
      </c>
      <c r="D43" s="7">
        <f>HLOOKUP(D$35,$D$2:$AC$10,$B43,FALSE)</f>
        <v>0</v>
      </c>
      <c r="E43" s="7">
        <f t="shared" si="0"/>
        <v>0</v>
      </c>
      <c r="F43" s="7">
        <f t="shared" si="0"/>
        <v>0</v>
      </c>
      <c r="G43" s="7">
        <f t="shared" si="0"/>
        <v>1</v>
      </c>
      <c r="H43" s="7">
        <f t="shared" si="0"/>
        <v>0</v>
      </c>
      <c r="I43" s="7">
        <f t="shared" si="0"/>
        <v>0</v>
      </c>
      <c r="J43" s="7">
        <f t="shared" si="0"/>
        <v>0</v>
      </c>
      <c r="K43" s="7">
        <f t="shared" si="0"/>
        <v>0</v>
      </c>
      <c r="L43" s="7">
        <f t="shared" si="0"/>
        <v>0</v>
      </c>
      <c r="M43" s="7">
        <f t="shared" si="0"/>
        <v>2</v>
      </c>
      <c r="N43" s="7">
        <f t="shared" si="0"/>
        <v>0</v>
      </c>
      <c r="O43" s="7">
        <f t="shared" si="0"/>
        <v>0</v>
      </c>
      <c r="P43" s="7">
        <f t="shared" si="0"/>
        <v>0</v>
      </c>
      <c r="Q43" s="7">
        <f t="shared" si="0"/>
        <v>0</v>
      </c>
      <c r="R43" s="7">
        <f t="shared" si="0"/>
        <v>0</v>
      </c>
      <c r="S43" s="7">
        <f t="shared" si="0"/>
        <v>0</v>
      </c>
      <c r="T43" s="7">
        <f t="shared" si="0"/>
        <v>0</v>
      </c>
      <c r="U43" s="7">
        <f t="shared" si="0"/>
        <v>0</v>
      </c>
      <c r="V43" s="7">
        <f t="shared" si="0"/>
        <v>0</v>
      </c>
      <c r="W43" s="7">
        <f t="shared" si="0"/>
        <v>4</v>
      </c>
      <c r="X43" s="7">
        <f t="shared" si="0"/>
        <v>0</v>
      </c>
      <c r="Y43" s="7">
        <f t="shared" si="0"/>
        <v>0</v>
      </c>
      <c r="Z43" s="7">
        <f t="shared" si="0"/>
        <v>0</v>
      </c>
      <c r="AA43" s="7">
        <f t="shared" si="0"/>
        <v>0</v>
      </c>
      <c r="AB43" s="7">
        <f t="shared" si="0"/>
        <v>0</v>
      </c>
      <c r="AC43" s="7">
        <f t="shared" si="0"/>
        <v>0</v>
      </c>
    </row>
    <row r="44" spans="1:29" x14ac:dyDescent="0.55000000000000004">
      <c r="A44" s="2"/>
    </row>
    <row r="45" spans="1:29" x14ac:dyDescent="0.55000000000000004">
      <c r="A45" s="1" t="s">
        <v>39</v>
      </c>
      <c r="B45" s="1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spans="1:29" x14ac:dyDescent="0.55000000000000004">
      <c r="A46" s="1" t="s">
        <v>28</v>
      </c>
      <c r="B46" s="1" t="s">
        <v>41</v>
      </c>
      <c r="D46" s="4" t="s">
        <v>20</v>
      </c>
      <c r="E46" s="4" t="s">
        <v>17</v>
      </c>
      <c r="F46" s="4" t="s">
        <v>16</v>
      </c>
      <c r="G46" s="4" t="s">
        <v>3</v>
      </c>
      <c r="H46" s="4" t="s">
        <v>14</v>
      </c>
      <c r="I46" s="4" t="s">
        <v>13</v>
      </c>
      <c r="J46" s="4" t="s">
        <v>11</v>
      </c>
      <c r="K46" s="4" t="s">
        <v>26</v>
      </c>
      <c r="L46" s="4" t="s">
        <v>9</v>
      </c>
      <c r="M46" s="4" t="s">
        <v>19</v>
      </c>
      <c r="N46" s="4" t="s">
        <v>27</v>
      </c>
      <c r="O46" s="4" t="s">
        <v>4</v>
      </c>
      <c r="P46" s="4" t="s">
        <v>25</v>
      </c>
      <c r="Q46" s="4" t="s">
        <v>8</v>
      </c>
      <c r="R46" s="4" t="s">
        <v>7</v>
      </c>
      <c r="S46" s="4" t="s">
        <v>18</v>
      </c>
      <c r="T46" s="4" t="s">
        <v>15</v>
      </c>
      <c r="U46" s="4" t="s">
        <v>12</v>
      </c>
      <c r="V46" s="4" t="s">
        <v>6</v>
      </c>
      <c r="W46" s="4" t="s">
        <v>21</v>
      </c>
      <c r="X46" s="4" t="s">
        <v>22</v>
      </c>
      <c r="Y46" s="4" t="s">
        <v>5</v>
      </c>
      <c r="Z46" s="4" t="s">
        <v>23</v>
      </c>
      <c r="AA46" s="4" t="s">
        <v>24</v>
      </c>
      <c r="AB46" s="4" t="s">
        <v>10</v>
      </c>
      <c r="AC46" s="4" t="s">
        <v>2</v>
      </c>
    </row>
    <row r="47" spans="1:29" x14ac:dyDescent="0.55000000000000004">
      <c r="A47" s="2" t="s">
        <v>29</v>
      </c>
      <c r="B47">
        <v>2</v>
      </c>
      <c r="D47" s="7">
        <f>HLOOKUP(D$46,$D$13:$AC$21,$B47,FALSE)</f>
        <v>0</v>
      </c>
      <c r="E47" s="7">
        <f t="shared" ref="E47:AC54" si="2">HLOOKUP(E$46,$D$13:$AC$21,$B47,FALSE)</f>
        <v>0</v>
      </c>
      <c r="F47" s="7">
        <f t="shared" si="2"/>
        <v>0</v>
      </c>
      <c r="G47" s="7">
        <f t="shared" si="2"/>
        <v>0</v>
      </c>
      <c r="H47" s="7">
        <f t="shared" si="2"/>
        <v>0</v>
      </c>
      <c r="I47" s="7">
        <f t="shared" si="2"/>
        <v>0</v>
      </c>
      <c r="J47" s="7">
        <f t="shared" si="2"/>
        <v>0</v>
      </c>
      <c r="K47" s="7">
        <f t="shared" si="2"/>
        <v>0</v>
      </c>
      <c r="L47" s="7">
        <f t="shared" si="2"/>
        <v>0</v>
      </c>
      <c r="M47" s="7">
        <f t="shared" si="2"/>
        <v>5</v>
      </c>
      <c r="N47" s="7">
        <f t="shared" si="2"/>
        <v>0</v>
      </c>
      <c r="O47" s="7">
        <f t="shared" si="2"/>
        <v>0</v>
      </c>
      <c r="P47" s="7">
        <f t="shared" si="2"/>
        <v>0</v>
      </c>
      <c r="Q47" s="7">
        <f t="shared" si="2"/>
        <v>0</v>
      </c>
      <c r="R47" s="7">
        <f t="shared" si="2"/>
        <v>0</v>
      </c>
      <c r="S47" s="7">
        <f t="shared" si="2"/>
        <v>0</v>
      </c>
      <c r="T47" s="7">
        <f t="shared" si="2"/>
        <v>0</v>
      </c>
      <c r="U47" s="7">
        <f t="shared" si="2"/>
        <v>0</v>
      </c>
      <c r="V47" s="7">
        <f t="shared" si="2"/>
        <v>0</v>
      </c>
      <c r="W47" s="7">
        <f t="shared" si="2"/>
        <v>0</v>
      </c>
      <c r="X47" s="7">
        <f t="shared" si="2"/>
        <v>0</v>
      </c>
      <c r="Y47" s="7">
        <f t="shared" si="2"/>
        <v>0</v>
      </c>
      <c r="Z47" s="7">
        <f t="shared" si="2"/>
        <v>2</v>
      </c>
      <c r="AA47" s="7">
        <f t="shared" si="2"/>
        <v>0</v>
      </c>
      <c r="AB47" s="7">
        <f t="shared" si="2"/>
        <v>0</v>
      </c>
      <c r="AC47" s="7">
        <f t="shared" si="2"/>
        <v>0</v>
      </c>
    </row>
    <row r="48" spans="1:29" x14ac:dyDescent="0.55000000000000004">
      <c r="A48" s="2" t="s">
        <v>30</v>
      </c>
      <c r="B48">
        <v>3</v>
      </c>
      <c r="D48" s="7">
        <f t="shared" ref="D48:S54" si="3">HLOOKUP(D$46,$D$13:$AC$21,$B48,FALSE)</f>
        <v>0</v>
      </c>
      <c r="E48" s="7">
        <f t="shared" si="3"/>
        <v>0</v>
      </c>
      <c r="F48" s="7">
        <f t="shared" si="3"/>
        <v>3</v>
      </c>
      <c r="G48" s="7">
        <f t="shared" si="3"/>
        <v>17</v>
      </c>
      <c r="H48" s="7">
        <f t="shared" si="3"/>
        <v>3</v>
      </c>
      <c r="I48" s="7">
        <f t="shared" si="3"/>
        <v>0</v>
      </c>
      <c r="J48" s="7">
        <f t="shared" si="3"/>
        <v>4</v>
      </c>
      <c r="K48" s="7">
        <f t="shared" si="3"/>
        <v>0</v>
      </c>
      <c r="L48" s="7">
        <f t="shared" si="3"/>
        <v>2</v>
      </c>
      <c r="M48" s="7">
        <f t="shared" si="3"/>
        <v>3</v>
      </c>
      <c r="N48" s="7">
        <f t="shared" si="3"/>
        <v>3</v>
      </c>
      <c r="O48" s="7">
        <f t="shared" si="3"/>
        <v>0</v>
      </c>
      <c r="P48" s="7">
        <f t="shared" si="3"/>
        <v>3</v>
      </c>
      <c r="Q48" s="7">
        <f t="shared" si="3"/>
        <v>4</v>
      </c>
      <c r="R48" s="7">
        <f t="shared" si="3"/>
        <v>0</v>
      </c>
      <c r="S48" s="7">
        <f t="shared" si="3"/>
        <v>0</v>
      </c>
      <c r="T48" s="7">
        <f t="shared" si="2"/>
        <v>0</v>
      </c>
      <c r="U48" s="7">
        <f t="shared" si="2"/>
        <v>9</v>
      </c>
      <c r="V48" s="7">
        <f t="shared" si="2"/>
        <v>0</v>
      </c>
      <c r="W48" s="7">
        <f t="shared" si="2"/>
        <v>1</v>
      </c>
      <c r="X48" s="7">
        <f t="shared" si="2"/>
        <v>0</v>
      </c>
      <c r="Y48" s="7">
        <f t="shared" si="2"/>
        <v>1</v>
      </c>
      <c r="Z48" s="7">
        <f t="shared" si="2"/>
        <v>13</v>
      </c>
      <c r="AA48" s="7">
        <f t="shared" si="2"/>
        <v>0</v>
      </c>
      <c r="AB48" s="7">
        <f t="shared" si="2"/>
        <v>0</v>
      </c>
      <c r="AC48" s="7">
        <f t="shared" si="2"/>
        <v>0</v>
      </c>
    </row>
    <row r="49" spans="1:29" x14ac:dyDescent="0.55000000000000004">
      <c r="A49" s="2" t="s">
        <v>31</v>
      </c>
      <c r="B49">
        <v>4</v>
      </c>
      <c r="D49" s="7">
        <f t="shared" si="3"/>
        <v>0</v>
      </c>
      <c r="E49" s="7">
        <f t="shared" si="2"/>
        <v>0</v>
      </c>
      <c r="F49" s="7">
        <f t="shared" si="2"/>
        <v>0</v>
      </c>
      <c r="G49" s="7">
        <f t="shared" si="2"/>
        <v>1</v>
      </c>
      <c r="H49" s="7">
        <f t="shared" si="2"/>
        <v>0</v>
      </c>
      <c r="I49" s="7">
        <f t="shared" si="2"/>
        <v>0</v>
      </c>
      <c r="J49" s="7">
        <f t="shared" si="2"/>
        <v>0</v>
      </c>
      <c r="K49" s="7">
        <f t="shared" si="2"/>
        <v>0</v>
      </c>
      <c r="L49" s="7">
        <f t="shared" si="2"/>
        <v>0</v>
      </c>
      <c r="M49" s="7">
        <f t="shared" si="2"/>
        <v>0</v>
      </c>
      <c r="N49" s="7">
        <f t="shared" si="2"/>
        <v>0</v>
      </c>
      <c r="O49" s="7">
        <f t="shared" si="2"/>
        <v>0</v>
      </c>
      <c r="P49" s="7">
        <f t="shared" si="2"/>
        <v>0</v>
      </c>
      <c r="Q49" s="7">
        <f t="shared" si="2"/>
        <v>0</v>
      </c>
      <c r="R49" s="7">
        <f t="shared" si="2"/>
        <v>0</v>
      </c>
      <c r="S49" s="7">
        <f t="shared" si="2"/>
        <v>0</v>
      </c>
      <c r="T49" s="7">
        <f t="shared" si="2"/>
        <v>0</v>
      </c>
      <c r="U49" s="7">
        <f t="shared" si="2"/>
        <v>0</v>
      </c>
      <c r="V49" s="7">
        <f t="shared" si="2"/>
        <v>0</v>
      </c>
      <c r="W49" s="7">
        <f t="shared" si="2"/>
        <v>0</v>
      </c>
      <c r="X49" s="7">
        <f t="shared" si="2"/>
        <v>0</v>
      </c>
      <c r="Y49" s="7">
        <f t="shared" si="2"/>
        <v>0</v>
      </c>
      <c r="Z49" s="7">
        <f t="shared" si="2"/>
        <v>0</v>
      </c>
      <c r="AA49" s="7">
        <f t="shared" si="2"/>
        <v>0</v>
      </c>
      <c r="AB49" s="7">
        <f t="shared" si="2"/>
        <v>0</v>
      </c>
      <c r="AC49" s="7">
        <f t="shared" si="2"/>
        <v>0</v>
      </c>
    </row>
    <row r="50" spans="1:29" x14ac:dyDescent="0.55000000000000004">
      <c r="A50" s="2" t="s">
        <v>32</v>
      </c>
      <c r="B50">
        <v>5</v>
      </c>
      <c r="D50" s="7">
        <f t="shared" si="3"/>
        <v>0</v>
      </c>
      <c r="E50" s="7">
        <f t="shared" si="2"/>
        <v>2</v>
      </c>
      <c r="F50" s="7">
        <f t="shared" si="2"/>
        <v>0</v>
      </c>
      <c r="G50" s="7">
        <f t="shared" si="2"/>
        <v>38</v>
      </c>
      <c r="H50" s="7">
        <f t="shared" si="2"/>
        <v>1</v>
      </c>
      <c r="I50" s="7">
        <f t="shared" si="2"/>
        <v>1</v>
      </c>
      <c r="J50" s="7">
        <f t="shared" si="2"/>
        <v>4</v>
      </c>
      <c r="K50" s="7">
        <f t="shared" si="2"/>
        <v>0</v>
      </c>
      <c r="L50" s="7">
        <f t="shared" si="2"/>
        <v>2</v>
      </c>
      <c r="M50" s="7">
        <f t="shared" si="2"/>
        <v>17</v>
      </c>
      <c r="N50" s="7">
        <f t="shared" si="2"/>
        <v>2</v>
      </c>
      <c r="O50" s="7">
        <f t="shared" si="2"/>
        <v>0</v>
      </c>
      <c r="P50" s="7">
        <f t="shared" si="2"/>
        <v>1</v>
      </c>
      <c r="Q50" s="7">
        <f t="shared" si="2"/>
        <v>2</v>
      </c>
      <c r="R50" s="7">
        <f t="shared" si="2"/>
        <v>2</v>
      </c>
      <c r="S50" s="7">
        <f t="shared" si="2"/>
        <v>4</v>
      </c>
      <c r="T50" s="7">
        <f t="shared" si="2"/>
        <v>1</v>
      </c>
      <c r="U50" s="7">
        <f t="shared" si="2"/>
        <v>0</v>
      </c>
      <c r="V50" s="7">
        <f t="shared" si="2"/>
        <v>3</v>
      </c>
      <c r="W50" s="7">
        <f t="shared" si="2"/>
        <v>6</v>
      </c>
      <c r="X50" s="7">
        <f t="shared" si="2"/>
        <v>7</v>
      </c>
      <c r="Y50" s="7">
        <f t="shared" si="2"/>
        <v>2</v>
      </c>
      <c r="Z50" s="7">
        <f t="shared" si="2"/>
        <v>5</v>
      </c>
      <c r="AA50" s="7">
        <f t="shared" si="2"/>
        <v>15</v>
      </c>
      <c r="AB50" s="7">
        <f t="shared" si="2"/>
        <v>0</v>
      </c>
      <c r="AC50" s="7">
        <f t="shared" si="2"/>
        <v>0</v>
      </c>
    </row>
    <row r="51" spans="1:29" x14ac:dyDescent="0.55000000000000004">
      <c r="A51" s="2" t="s">
        <v>33</v>
      </c>
      <c r="B51">
        <v>6</v>
      </c>
      <c r="D51" s="7">
        <f t="shared" si="3"/>
        <v>0</v>
      </c>
      <c r="E51" s="7">
        <f t="shared" si="2"/>
        <v>2</v>
      </c>
      <c r="F51" s="7">
        <f t="shared" si="2"/>
        <v>3</v>
      </c>
      <c r="G51" s="7">
        <f t="shared" si="2"/>
        <v>20</v>
      </c>
      <c r="H51" s="7">
        <f t="shared" si="2"/>
        <v>0</v>
      </c>
      <c r="I51" s="7">
        <f t="shared" si="2"/>
        <v>0</v>
      </c>
      <c r="J51" s="7">
        <f t="shared" si="2"/>
        <v>3</v>
      </c>
      <c r="K51" s="7">
        <f t="shared" si="2"/>
        <v>0</v>
      </c>
      <c r="L51" s="7">
        <f t="shared" si="2"/>
        <v>1</v>
      </c>
      <c r="M51" s="7">
        <f t="shared" si="2"/>
        <v>13</v>
      </c>
      <c r="N51" s="7">
        <f t="shared" si="2"/>
        <v>0</v>
      </c>
      <c r="O51" s="7">
        <f t="shared" si="2"/>
        <v>0</v>
      </c>
      <c r="P51" s="7">
        <f t="shared" si="2"/>
        <v>0</v>
      </c>
      <c r="Q51" s="7">
        <f t="shared" si="2"/>
        <v>7</v>
      </c>
      <c r="R51" s="7">
        <f t="shared" si="2"/>
        <v>1</v>
      </c>
      <c r="S51" s="7">
        <f t="shared" si="2"/>
        <v>10</v>
      </c>
      <c r="T51" s="7">
        <f t="shared" si="2"/>
        <v>1</v>
      </c>
      <c r="U51" s="7">
        <f t="shared" si="2"/>
        <v>11</v>
      </c>
      <c r="V51" s="7">
        <f t="shared" si="2"/>
        <v>2</v>
      </c>
      <c r="W51" s="7">
        <f t="shared" si="2"/>
        <v>6</v>
      </c>
      <c r="X51" s="7">
        <f t="shared" si="2"/>
        <v>0</v>
      </c>
      <c r="Y51" s="7">
        <f t="shared" si="2"/>
        <v>0</v>
      </c>
      <c r="Z51" s="7">
        <f t="shared" si="2"/>
        <v>4</v>
      </c>
      <c r="AA51" s="7">
        <f t="shared" si="2"/>
        <v>2</v>
      </c>
      <c r="AB51" s="7">
        <f t="shared" si="2"/>
        <v>0</v>
      </c>
      <c r="AC51" s="7">
        <f t="shared" si="2"/>
        <v>0</v>
      </c>
    </row>
    <row r="52" spans="1:29" x14ac:dyDescent="0.55000000000000004">
      <c r="A52" s="2" t="s">
        <v>34</v>
      </c>
      <c r="B52">
        <v>7</v>
      </c>
      <c r="D52" s="7">
        <f t="shared" si="3"/>
        <v>0</v>
      </c>
      <c r="E52" s="7">
        <f t="shared" si="2"/>
        <v>0</v>
      </c>
      <c r="F52" s="7">
        <f t="shared" si="2"/>
        <v>5</v>
      </c>
      <c r="G52" s="7">
        <f t="shared" si="2"/>
        <v>33</v>
      </c>
      <c r="H52" s="7">
        <f t="shared" si="2"/>
        <v>3</v>
      </c>
      <c r="I52" s="7">
        <f t="shared" si="2"/>
        <v>15</v>
      </c>
      <c r="J52" s="7">
        <f t="shared" si="2"/>
        <v>42</v>
      </c>
      <c r="K52" s="7">
        <f t="shared" si="2"/>
        <v>0</v>
      </c>
      <c r="L52" s="7">
        <f t="shared" si="2"/>
        <v>2</v>
      </c>
      <c r="M52" s="7">
        <f t="shared" si="2"/>
        <v>6</v>
      </c>
      <c r="N52" s="7">
        <f t="shared" si="2"/>
        <v>0</v>
      </c>
      <c r="O52" s="7">
        <f t="shared" si="2"/>
        <v>0</v>
      </c>
      <c r="P52" s="7">
        <f t="shared" si="2"/>
        <v>1</v>
      </c>
      <c r="Q52" s="7">
        <f t="shared" si="2"/>
        <v>2</v>
      </c>
      <c r="R52" s="7">
        <f t="shared" si="2"/>
        <v>5</v>
      </c>
      <c r="S52" s="7">
        <f t="shared" si="2"/>
        <v>0</v>
      </c>
      <c r="T52" s="7">
        <f t="shared" si="2"/>
        <v>3</v>
      </c>
      <c r="U52" s="7">
        <f t="shared" si="2"/>
        <v>12</v>
      </c>
      <c r="V52" s="7">
        <f t="shared" si="2"/>
        <v>7</v>
      </c>
      <c r="W52" s="7">
        <f t="shared" si="2"/>
        <v>6</v>
      </c>
      <c r="X52" s="7">
        <f t="shared" si="2"/>
        <v>5</v>
      </c>
      <c r="Y52" s="7">
        <f t="shared" si="2"/>
        <v>8</v>
      </c>
      <c r="Z52" s="7">
        <f t="shared" si="2"/>
        <v>0</v>
      </c>
      <c r="AA52" s="7">
        <f t="shared" si="2"/>
        <v>9</v>
      </c>
      <c r="AB52" s="7">
        <f t="shared" si="2"/>
        <v>0</v>
      </c>
      <c r="AC52" s="7">
        <f t="shared" si="2"/>
        <v>0</v>
      </c>
    </row>
    <row r="53" spans="1:29" x14ac:dyDescent="0.55000000000000004">
      <c r="A53" s="2" t="s">
        <v>35</v>
      </c>
      <c r="B53">
        <v>8</v>
      </c>
      <c r="D53" s="7">
        <f t="shared" si="3"/>
        <v>0</v>
      </c>
      <c r="E53" s="7">
        <f t="shared" si="2"/>
        <v>0</v>
      </c>
      <c r="F53" s="7">
        <f t="shared" si="2"/>
        <v>0</v>
      </c>
      <c r="G53" s="7">
        <f t="shared" si="2"/>
        <v>38</v>
      </c>
      <c r="H53" s="7">
        <f t="shared" si="2"/>
        <v>13</v>
      </c>
      <c r="I53" s="7">
        <f t="shared" si="2"/>
        <v>3</v>
      </c>
      <c r="J53" s="7">
        <f t="shared" si="2"/>
        <v>9</v>
      </c>
      <c r="K53" s="7">
        <f t="shared" si="2"/>
        <v>3</v>
      </c>
      <c r="L53" s="7">
        <f t="shared" si="2"/>
        <v>0</v>
      </c>
      <c r="M53" s="7">
        <f t="shared" si="2"/>
        <v>15</v>
      </c>
      <c r="N53" s="7">
        <f t="shared" si="2"/>
        <v>2</v>
      </c>
      <c r="O53" s="7">
        <f t="shared" si="2"/>
        <v>5</v>
      </c>
      <c r="P53" s="7">
        <f t="shared" si="2"/>
        <v>8</v>
      </c>
      <c r="Q53" s="7">
        <f t="shared" si="2"/>
        <v>2</v>
      </c>
      <c r="R53" s="7">
        <f t="shared" si="2"/>
        <v>1</v>
      </c>
      <c r="S53" s="7">
        <f t="shared" si="2"/>
        <v>4</v>
      </c>
      <c r="T53" s="7">
        <f t="shared" si="2"/>
        <v>1</v>
      </c>
      <c r="U53" s="7">
        <f t="shared" si="2"/>
        <v>6</v>
      </c>
      <c r="V53" s="7">
        <f t="shared" si="2"/>
        <v>1</v>
      </c>
      <c r="W53" s="7">
        <f t="shared" si="2"/>
        <v>4</v>
      </c>
      <c r="X53" s="7">
        <f t="shared" si="2"/>
        <v>7</v>
      </c>
      <c r="Y53" s="7">
        <f t="shared" si="2"/>
        <v>3</v>
      </c>
      <c r="Z53" s="7">
        <f t="shared" si="2"/>
        <v>21</v>
      </c>
      <c r="AA53" s="7">
        <f t="shared" si="2"/>
        <v>1</v>
      </c>
      <c r="AB53" s="7">
        <f t="shared" si="2"/>
        <v>0</v>
      </c>
      <c r="AC53" s="7">
        <f t="shared" si="2"/>
        <v>0</v>
      </c>
    </row>
    <row r="54" spans="1:29" x14ac:dyDescent="0.55000000000000004">
      <c r="A54" s="2" t="s">
        <v>36</v>
      </c>
      <c r="B54">
        <v>9</v>
      </c>
      <c r="D54" s="7">
        <f t="shared" si="3"/>
        <v>0</v>
      </c>
      <c r="E54" s="7">
        <f t="shared" si="2"/>
        <v>0</v>
      </c>
      <c r="F54" s="7">
        <f t="shared" si="2"/>
        <v>0</v>
      </c>
      <c r="G54" s="7">
        <f t="shared" si="2"/>
        <v>0</v>
      </c>
      <c r="H54" s="7">
        <f t="shared" si="2"/>
        <v>0</v>
      </c>
      <c r="I54" s="7">
        <f t="shared" si="2"/>
        <v>0</v>
      </c>
      <c r="J54" s="7">
        <f t="shared" si="2"/>
        <v>0</v>
      </c>
      <c r="K54" s="7">
        <f t="shared" si="2"/>
        <v>0</v>
      </c>
      <c r="L54" s="7">
        <f t="shared" si="2"/>
        <v>0</v>
      </c>
      <c r="M54" s="7">
        <f t="shared" si="2"/>
        <v>4</v>
      </c>
      <c r="N54" s="7">
        <f t="shared" si="2"/>
        <v>0</v>
      </c>
      <c r="O54" s="7">
        <f t="shared" si="2"/>
        <v>0</v>
      </c>
      <c r="P54" s="7">
        <f t="shared" si="2"/>
        <v>0</v>
      </c>
      <c r="Q54" s="7">
        <f t="shared" si="2"/>
        <v>0</v>
      </c>
      <c r="R54" s="7">
        <f t="shared" si="2"/>
        <v>0</v>
      </c>
      <c r="S54" s="7">
        <f t="shared" si="2"/>
        <v>0</v>
      </c>
      <c r="T54" s="7">
        <f t="shared" si="2"/>
        <v>0</v>
      </c>
      <c r="U54" s="7">
        <f t="shared" si="2"/>
        <v>0</v>
      </c>
      <c r="V54" s="7">
        <f t="shared" si="2"/>
        <v>0</v>
      </c>
      <c r="W54" s="7">
        <f t="shared" si="2"/>
        <v>0</v>
      </c>
      <c r="X54" s="7">
        <f t="shared" si="2"/>
        <v>0</v>
      </c>
      <c r="Y54" s="7">
        <f t="shared" si="2"/>
        <v>0</v>
      </c>
      <c r="Z54" s="7">
        <f t="shared" si="2"/>
        <v>0</v>
      </c>
      <c r="AA54" s="7">
        <f t="shared" si="2"/>
        <v>0</v>
      </c>
      <c r="AB54" s="7">
        <f t="shared" si="2"/>
        <v>0</v>
      </c>
      <c r="AC54" s="7">
        <f t="shared" si="2"/>
        <v>0</v>
      </c>
    </row>
    <row r="55" spans="1:29" x14ac:dyDescent="0.55000000000000004">
      <c r="A55" s="2"/>
    </row>
    <row r="56" spans="1:29" x14ac:dyDescent="0.55000000000000004">
      <c r="A56" s="1" t="s">
        <v>38</v>
      </c>
      <c r="B56" s="1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spans="1:29" x14ac:dyDescent="0.55000000000000004">
      <c r="A57" s="1" t="s">
        <v>28</v>
      </c>
      <c r="B57" s="1" t="s">
        <v>41</v>
      </c>
      <c r="D57" s="4" t="s">
        <v>20</v>
      </c>
      <c r="E57" s="4" t="s">
        <v>17</v>
      </c>
      <c r="F57" s="4" t="s">
        <v>16</v>
      </c>
      <c r="G57" s="4" t="s">
        <v>3</v>
      </c>
      <c r="H57" s="4" t="s">
        <v>14</v>
      </c>
      <c r="I57" s="4" t="s">
        <v>13</v>
      </c>
      <c r="J57" s="4" t="s">
        <v>11</v>
      </c>
      <c r="K57" s="4" t="s">
        <v>26</v>
      </c>
      <c r="L57" s="4" t="s">
        <v>9</v>
      </c>
      <c r="M57" s="4" t="s">
        <v>19</v>
      </c>
      <c r="N57" s="4" t="s">
        <v>27</v>
      </c>
      <c r="O57" s="4" t="s">
        <v>4</v>
      </c>
      <c r="P57" s="4" t="s">
        <v>25</v>
      </c>
      <c r="Q57" s="4" t="s">
        <v>8</v>
      </c>
      <c r="R57" s="4" t="s">
        <v>7</v>
      </c>
      <c r="S57" s="4" t="s">
        <v>18</v>
      </c>
      <c r="T57" s="4" t="s">
        <v>15</v>
      </c>
      <c r="U57" s="4" t="s">
        <v>12</v>
      </c>
      <c r="V57" s="4" t="s">
        <v>6</v>
      </c>
      <c r="W57" s="4" t="s">
        <v>21</v>
      </c>
      <c r="X57" s="4" t="s">
        <v>22</v>
      </c>
      <c r="Y57" s="4" t="s">
        <v>5</v>
      </c>
      <c r="Z57" s="4" t="s">
        <v>23</v>
      </c>
      <c r="AA57" s="4" t="s">
        <v>24</v>
      </c>
      <c r="AB57" s="4" t="s">
        <v>10</v>
      </c>
      <c r="AC57" s="4" t="s">
        <v>2</v>
      </c>
    </row>
    <row r="58" spans="1:29" x14ac:dyDescent="0.55000000000000004">
      <c r="A58" s="2" t="s">
        <v>29</v>
      </c>
      <c r="B58">
        <v>2</v>
      </c>
      <c r="D58" s="7">
        <f>HLOOKUP(D$57,$D$24:$AC$32,$B58,FALSE)</f>
        <v>0</v>
      </c>
      <c r="E58" s="7">
        <f t="shared" ref="E58:AC65" si="4">HLOOKUP(E$57,$D$24:$AC$32,$B58,FALSE)</f>
        <v>0</v>
      </c>
      <c r="F58" s="7">
        <f t="shared" si="4"/>
        <v>0</v>
      </c>
      <c r="G58" s="7">
        <f t="shared" si="4"/>
        <v>0</v>
      </c>
      <c r="H58" s="7">
        <f t="shared" si="4"/>
        <v>0</v>
      </c>
      <c r="I58" s="7">
        <f t="shared" si="4"/>
        <v>0</v>
      </c>
      <c r="J58" s="7">
        <f t="shared" si="4"/>
        <v>0</v>
      </c>
      <c r="K58" s="7">
        <f t="shared" si="4"/>
        <v>0</v>
      </c>
      <c r="L58" s="7">
        <f t="shared" si="4"/>
        <v>0</v>
      </c>
      <c r="M58" s="7">
        <f t="shared" si="4"/>
        <v>0</v>
      </c>
      <c r="N58" s="7">
        <f t="shared" si="4"/>
        <v>0</v>
      </c>
      <c r="O58" s="7">
        <f t="shared" si="4"/>
        <v>0</v>
      </c>
      <c r="P58" s="7">
        <f t="shared" si="4"/>
        <v>0</v>
      </c>
      <c r="Q58" s="7">
        <f t="shared" si="4"/>
        <v>0</v>
      </c>
      <c r="R58" s="7">
        <f t="shared" si="4"/>
        <v>0</v>
      </c>
      <c r="S58" s="7">
        <f t="shared" si="4"/>
        <v>0</v>
      </c>
      <c r="T58" s="7">
        <f t="shared" si="4"/>
        <v>0</v>
      </c>
      <c r="U58" s="7">
        <f t="shared" si="4"/>
        <v>0</v>
      </c>
      <c r="V58" s="7">
        <f t="shared" si="4"/>
        <v>0</v>
      </c>
      <c r="W58" s="7">
        <f t="shared" si="4"/>
        <v>0</v>
      </c>
      <c r="X58" s="7">
        <f t="shared" si="4"/>
        <v>0</v>
      </c>
      <c r="Y58" s="7">
        <f t="shared" si="4"/>
        <v>0</v>
      </c>
      <c r="Z58" s="7">
        <f t="shared" si="4"/>
        <v>0</v>
      </c>
      <c r="AA58" s="7">
        <f t="shared" si="4"/>
        <v>0</v>
      </c>
      <c r="AB58" s="7">
        <f t="shared" si="4"/>
        <v>0</v>
      </c>
      <c r="AC58" s="7">
        <f t="shared" si="4"/>
        <v>0</v>
      </c>
    </row>
    <row r="59" spans="1:29" x14ac:dyDescent="0.55000000000000004">
      <c r="A59" s="2" t="s">
        <v>30</v>
      </c>
      <c r="B59">
        <v>3</v>
      </c>
      <c r="D59" s="7">
        <f t="shared" ref="D59:D65" si="5">HLOOKUP(D$57,$D$24:$AC$32,$B59,FALSE)</f>
        <v>0</v>
      </c>
      <c r="E59" s="7">
        <f t="shared" si="4"/>
        <v>0</v>
      </c>
      <c r="F59" s="7">
        <f t="shared" si="4"/>
        <v>1</v>
      </c>
      <c r="G59" s="7">
        <f t="shared" si="4"/>
        <v>3</v>
      </c>
      <c r="H59" s="7">
        <f t="shared" si="4"/>
        <v>1</v>
      </c>
      <c r="I59" s="7">
        <f t="shared" si="4"/>
        <v>0</v>
      </c>
      <c r="J59" s="7">
        <f t="shared" si="4"/>
        <v>2</v>
      </c>
      <c r="K59" s="7">
        <f t="shared" si="4"/>
        <v>0</v>
      </c>
      <c r="L59" s="7">
        <f t="shared" si="4"/>
        <v>0</v>
      </c>
      <c r="M59" s="7">
        <f t="shared" si="4"/>
        <v>0</v>
      </c>
      <c r="N59" s="7">
        <f t="shared" si="4"/>
        <v>3</v>
      </c>
      <c r="O59" s="7">
        <f t="shared" si="4"/>
        <v>0</v>
      </c>
      <c r="P59" s="7">
        <f t="shared" si="4"/>
        <v>0</v>
      </c>
      <c r="Q59" s="7">
        <f t="shared" si="4"/>
        <v>0</v>
      </c>
      <c r="R59" s="7">
        <f t="shared" si="4"/>
        <v>0</v>
      </c>
      <c r="S59" s="7">
        <f t="shared" si="4"/>
        <v>0</v>
      </c>
      <c r="T59" s="7">
        <f t="shared" si="4"/>
        <v>0</v>
      </c>
      <c r="U59" s="7">
        <f t="shared" si="4"/>
        <v>1</v>
      </c>
      <c r="V59" s="7">
        <f t="shared" si="4"/>
        <v>0</v>
      </c>
      <c r="W59" s="7">
        <f t="shared" si="4"/>
        <v>0</v>
      </c>
      <c r="X59" s="7">
        <f t="shared" si="4"/>
        <v>0</v>
      </c>
      <c r="Y59" s="7">
        <f t="shared" si="4"/>
        <v>0</v>
      </c>
      <c r="Z59" s="7">
        <f t="shared" si="4"/>
        <v>0</v>
      </c>
      <c r="AA59" s="7">
        <f t="shared" si="4"/>
        <v>0</v>
      </c>
      <c r="AB59" s="7">
        <f t="shared" si="4"/>
        <v>0</v>
      </c>
      <c r="AC59" s="7">
        <f t="shared" si="4"/>
        <v>0</v>
      </c>
    </row>
    <row r="60" spans="1:29" x14ac:dyDescent="0.55000000000000004">
      <c r="A60" s="2" t="s">
        <v>31</v>
      </c>
      <c r="B60">
        <v>4</v>
      </c>
      <c r="D60" s="7">
        <f t="shared" si="5"/>
        <v>0</v>
      </c>
      <c r="E60" s="7">
        <f t="shared" si="4"/>
        <v>0</v>
      </c>
      <c r="F60" s="7">
        <f t="shared" si="4"/>
        <v>0</v>
      </c>
      <c r="G60" s="7">
        <f t="shared" si="4"/>
        <v>3</v>
      </c>
      <c r="H60" s="7">
        <f t="shared" si="4"/>
        <v>0</v>
      </c>
      <c r="I60" s="7">
        <f t="shared" si="4"/>
        <v>0</v>
      </c>
      <c r="J60" s="7">
        <f t="shared" si="4"/>
        <v>0</v>
      </c>
      <c r="K60" s="7">
        <f t="shared" si="4"/>
        <v>0</v>
      </c>
      <c r="L60" s="7">
        <f t="shared" si="4"/>
        <v>0</v>
      </c>
      <c r="M60" s="7">
        <f t="shared" si="4"/>
        <v>0</v>
      </c>
      <c r="N60" s="7">
        <f t="shared" si="4"/>
        <v>0</v>
      </c>
      <c r="O60" s="7">
        <f t="shared" si="4"/>
        <v>0</v>
      </c>
      <c r="P60" s="7">
        <f t="shared" si="4"/>
        <v>0</v>
      </c>
      <c r="Q60" s="7">
        <f t="shared" si="4"/>
        <v>0</v>
      </c>
      <c r="R60" s="7">
        <f t="shared" si="4"/>
        <v>0</v>
      </c>
      <c r="S60" s="7">
        <f t="shared" si="4"/>
        <v>1</v>
      </c>
      <c r="T60" s="7">
        <f t="shared" si="4"/>
        <v>0</v>
      </c>
      <c r="U60" s="7">
        <f t="shared" si="4"/>
        <v>2</v>
      </c>
      <c r="V60" s="7">
        <f t="shared" si="4"/>
        <v>0</v>
      </c>
      <c r="W60" s="7">
        <f t="shared" si="4"/>
        <v>1</v>
      </c>
      <c r="X60" s="7">
        <f t="shared" si="4"/>
        <v>0</v>
      </c>
      <c r="Y60" s="7">
        <f t="shared" si="4"/>
        <v>0</v>
      </c>
      <c r="Z60" s="7">
        <f t="shared" si="4"/>
        <v>0</v>
      </c>
      <c r="AA60" s="7">
        <f t="shared" si="4"/>
        <v>1</v>
      </c>
      <c r="AB60" s="7">
        <f t="shared" si="4"/>
        <v>0</v>
      </c>
      <c r="AC60" s="7">
        <f t="shared" si="4"/>
        <v>0</v>
      </c>
    </row>
    <row r="61" spans="1:29" x14ac:dyDescent="0.55000000000000004">
      <c r="A61" s="2" t="s">
        <v>32</v>
      </c>
      <c r="B61">
        <v>5</v>
      </c>
      <c r="D61" s="7">
        <f t="shared" si="5"/>
        <v>0</v>
      </c>
      <c r="E61" s="7">
        <f t="shared" si="4"/>
        <v>0</v>
      </c>
      <c r="F61" s="7">
        <f t="shared" si="4"/>
        <v>0</v>
      </c>
      <c r="G61" s="7">
        <f t="shared" si="4"/>
        <v>3</v>
      </c>
      <c r="H61" s="7">
        <f t="shared" si="4"/>
        <v>0</v>
      </c>
      <c r="I61" s="7">
        <f t="shared" si="4"/>
        <v>0</v>
      </c>
      <c r="J61" s="7">
        <f t="shared" si="4"/>
        <v>0</v>
      </c>
      <c r="K61" s="7">
        <f t="shared" si="4"/>
        <v>0</v>
      </c>
      <c r="L61" s="7">
        <f t="shared" si="4"/>
        <v>0</v>
      </c>
      <c r="M61" s="7">
        <f t="shared" si="4"/>
        <v>0</v>
      </c>
      <c r="N61" s="7">
        <f t="shared" si="4"/>
        <v>0</v>
      </c>
      <c r="O61" s="7">
        <f t="shared" si="4"/>
        <v>0</v>
      </c>
      <c r="P61" s="7">
        <f t="shared" si="4"/>
        <v>0</v>
      </c>
      <c r="Q61" s="7">
        <f t="shared" si="4"/>
        <v>1</v>
      </c>
      <c r="R61" s="7">
        <f t="shared" si="4"/>
        <v>0</v>
      </c>
      <c r="S61" s="7">
        <f t="shared" si="4"/>
        <v>1</v>
      </c>
      <c r="T61" s="7">
        <f t="shared" si="4"/>
        <v>0</v>
      </c>
      <c r="U61" s="7">
        <f t="shared" si="4"/>
        <v>0</v>
      </c>
      <c r="V61" s="7">
        <f t="shared" si="4"/>
        <v>0</v>
      </c>
      <c r="W61" s="7">
        <f t="shared" si="4"/>
        <v>3</v>
      </c>
      <c r="X61" s="7">
        <f t="shared" si="4"/>
        <v>1</v>
      </c>
      <c r="Y61" s="7">
        <f t="shared" si="4"/>
        <v>0</v>
      </c>
      <c r="Z61" s="7">
        <f t="shared" si="4"/>
        <v>0</v>
      </c>
      <c r="AA61" s="7">
        <f t="shared" si="4"/>
        <v>3</v>
      </c>
      <c r="AB61" s="7">
        <f t="shared" si="4"/>
        <v>0</v>
      </c>
      <c r="AC61" s="7">
        <f t="shared" si="4"/>
        <v>0</v>
      </c>
    </row>
    <row r="62" spans="1:29" x14ac:dyDescent="0.55000000000000004">
      <c r="A62" s="2" t="s">
        <v>33</v>
      </c>
      <c r="B62">
        <v>6</v>
      </c>
      <c r="D62" s="7">
        <f t="shared" si="5"/>
        <v>0</v>
      </c>
      <c r="E62" s="7">
        <f t="shared" si="4"/>
        <v>0</v>
      </c>
      <c r="F62" s="7">
        <f t="shared" si="4"/>
        <v>0</v>
      </c>
      <c r="G62" s="7">
        <f t="shared" si="4"/>
        <v>3</v>
      </c>
      <c r="H62" s="7">
        <f t="shared" si="4"/>
        <v>1</v>
      </c>
      <c r="I62" s="7">
        <f t="shared" si="4"/>
        <v>0</v>
      </c>
      <c r="J62" s="7">
        <f t="shared" si="4"/>
        <v>1</v>
      </c>
      <c r="K62" s="7">
        <f t="shared" si="4"/>
        <v>0</v>
      </c>
      <c r="L62" s="7">
        <f t="shared" si="4"/>
        <v>0</v>
      </c>
      <c r="M62" s="7">
        <f t="shared" si="4"/>
        <v>2</v>
      </c>
      <c r="N62" s="7">
        <f t="shared" si="4"/>
        <v>0</v>
      </c>
      <c r="O62" s="7">
        <f t="shared" si="4"/>
        <v>0</v>
      </c>
      <c r="P62" s="7">
        <f t="shared" si="4"/>
        <v>0</v>
      </c>
      <c r="Q62" s="7">
        <f t="shared" si="4"/>
        <v>0</v>
      </c>
      <c r="R62" s="7">
        <f t="shared" si="4"/>
        <v>0</v>
      </c>
      <c r="S62" s="7">
        <f t="shared" si="4"/>
        <v>0</v>
      </c>
      <c r="T62" s="7">
        <f t="shared" si="4"/>
        <v>0</v>
      </c>
      <c r="U62" s="7">
        <f t="shared" si="4"/>
        <v>0</v>
      </c>
      <c r="V62" s="7">
        <f t="shared" si="4"/>
        <v>0</v>
      </c>
      <c r="W62" s="7">
        <f t="shared" si="4"/>
        <v>3</v>
      </c>
      <c r="X62" s="7">
        <f t="shared" si="4"/>
        <v>0</v>
      </c>
      <c r="Y62" s="7">
        <f t="shared" si="4"/>
        <v>1</v>
      </c>
      <c r="Z62" s="7">
        <f t="shared" si="4"/>
        <v>0</v>
      </c>
      <c r="AA62" s="7">
        <f t="shared" si="4"/>
        <v>1</v>
      </c>
      <c r="AB62" s="7">
        <f t="shared" si="4"/>
        <v>0</v>
      </c>
      <c r="AC62" s="7">
        <f t="shared" si="4"/>
        <v>0</v>
      </c>
    </row>
    <row r="63" spans="1:29" x14ac:dyDescent="0.55000000000000004">
      <c r="A63" s="2" t="s">
        <v>34</v>
      </c>
      <c r="B63">
        <v>7</v>
      </c>
      <c r="D63" s="7">
        <f t="shared" si="5"/>
        <v>0</v>
      </c>
      <c r="E63" s="7">
        <f t="shared" si="4"/>
        <v>0</v>
      </c>
      <c r="F63" s="7">
        <f t="shared" si="4"/>
        <v>0</v>
      </c>
      <c r="G63" s="7">
        <f t="shared" si="4"/>
        <v>13</v>
      </c>
      <c r="H63" s="7">
        <f t="shared" si="4"/>
        <v>1</v>
      </c>
      <c r="I63" s="7">
        <f t="shared" si="4"/>
        <v>1</v>
      </c>
      <c r="J63" s="7">
        <f t="shared" si="4"/>
        <v>16</v>
      </c>
      <c r="K63" s="7">
        <f t="shared" si="4"/>
        <v>0</v>
      </c>
      <c r="L63" s="7">
        <f t="shared" si="4"/>
        <v>1</v>
      </c>
      <c r="M63" s="7">
        <f t="shared" si="4"/>
        <v>0</v>
      </c>
      <c r="N63" s="7">
        <f t="shared" si="4"/>
        <v>0</v>
      </c>
      <c r="O63" s="7">
        <f t="shared" si="4"/>
        <v>0</v>
      </c>
      <c r="P63" s="7">
        <f t="shared" si="4"/>
        <v>1</v>
      </c>
      <c r="Q63" s="7">
        <f t="shared" si="4"/>
        <v>0</v>
      </c>
      <c r="R63" s="7">
        <f t="shared" si="4"/>
        <v>1</v>
      </c>
      <c r="S63" s="7">
        <f t="shared" si="4"/>
        <v>0</v>
      </c>
      <c r="T63" s="7">
        <f t="shared" si="4"/>
        <v>1</v>
      </c>
      <c r="U63" s="7">
        <f t="shared" si="4"/>
        <v>5</v>
      </c>
      <c r="V63" s="7">
        <f t="shared" si="4"/>
        <v>1</v>
      </c>
      <c r="W63" s="7">
        <f t="shared" si="4"/>
        <v>10</v>
      </c>
      <c r="X63" s="7">
        <f t="shared" si="4"/>
        <v>1</v>
      </c>
      <c r="Y63" s="7">
        <f t="shared" si="4"/>
        <v>3</v>
      </c>
      <c r="Z63" s="7">
        <f t="shared" si="4"/>
        <v>0</v>
      </c>
      <c r="AA63" s="7">
        <f t="shared" si="4"/>
        <v>3</v>
      </c>
      <c r="AB63" s="7">
        <f t="shared" si="4"/>
        <v>0</v>
      </c>
      <c r="AC63" s="7">
        <f t="shared" si="4"/>
        <v>0</v>
      </c>
    </row>
    <row r="64" spans="1:29" x14ac:dyDescent="0.55000000000000004">
      <c r="A64" s="2" t="s">
        <v>35</v>
      </c>
      <c r="B64">
        <v>8</v>
      </c>
      <c r="D64" s="7">
        <f t="shared" si="5"/>
        <v>0</v>
      </c>
      <c r="E64" s="7">
        <f t="shared" si="4"/>
        <v>0</v>
      </c>
      <c r="F64" s="7">
        <f t="shared" si="4"/>
        <v>0</v>
      </c>
      <c r="G64" s="7">
        <f t="shared" si="4"/>
        <v>3</v>
      </c>
      <c r="H64" s="7">
        <f t="shared" si="4"/>
        <v>0</v>
      </c>
      <c r="I64" s="7">
        <f t="shared" si="4"/>
        <v>0</v>
      </c>
      <c r="J64" s="7">
        <f t="shared" si="4"/>
        <v>0</v>
      </c>
      <c r="K64" s="7">
        <f t="shared" si="4"/>
        <v>0</v>
      </c>
      <c r="L64" s="7">
        <f t="shared" si="4"/>
        <v>0</v>
      </c>
      <c r="M64" s="7">
        <f t="shared" si="4"/>
        <v>1</v>
      </c>
      <c r="N64" s="7">
        <f t="shared" si="4"/>
        <v>0</v>
      </c>
      <c r="O64" s="7">
        <f t="shared" si="4"/>
        <v>0</v>
      </c>
      <c r="P64" s="7">
        <f t="shared" si="4"/>
        <v>0</v>
      </c>
      <c r="Q64" s="7">
        <f t="shared" si="4"/>
        <v>1</v>
      </c>
      <c r="R64" s="7">
        <f t="shared" si="4"/>
        <v>0</v>
      </c>
      <c r="S64" s="7">
        <f t="shared" si="4"/>
        <v>1</v>
      </c>
      <c r="T64" s="7">
        <f t="shared" si="4"/>
        <v>0</v>
      </c>
      <c r="U64" s="7">
        <f t="shared" si="4"/>
        <v>0</v>
      </c>
      <c r="V64" s="7">
        <f t="shared" si="4"/>
        <v>0</v>
      </c>
      <c r="W64" s="7">
        <f t="shared" si="4"/>
        <v>1</v>
      </c>
      <c r="X64" s="7">
        <f t="shared" si="4"/>
        <v>0</v>
      </c>
      <c r="Y64" s="7">
        <f t="shared" si="4"/>
        <v>0</v>
      </c>
      <c r="Z64" s="7">
        <f t="shared" si="4"/>
        <v>1</v>
      </c>
      <c r="AA64" s="7">
        <f t="shared" si="4"/>
        <v>0</v>
      </c>
      <c r="AB64" s="7">
        <f t="shared" si="4"/>
        <v>0</v>
      </c>
      <c r="AC64" s="7">
        <f t="shared" si="4"/>
        <v>0</v>
      </c>
    </row>
    <row r="65" spans="1:29" x14ac:dyDescent="0.55000000000000004">
      <c r="A65" s="2" t="s">
        <v>36</v>
      </c>
      <c r="B65">
        <v>9</v>
      </c>
      <c r="D65" s="7">
        <f t="shared" si="5"/>
        <v>0</v>
      </c>
      <c r="E65" s="7">
        <f t="shared" si="4"/>
        <v>0</v>
      </c>
      <c r="F65" s="7">
        <f t="shared" si="4"/>
        <v>0</v>
      </c>
      <c r="G65" s="7">
        <f t="shared" si="4"/>
        <v>0</v>
      </c>
      <c r="H65" s="7">
        <f t="shared" si="4"/>
        <v>0</v>
      </c>
      <c r="I65" s="7">
        <f t="shared" si="4"/>
        <v>0</v>
      </c>
      <c r="J65" s="7">
        <f t="shared" si="4"/>
        <v>0</v>
      </c>
      <c r="K65" s="7">
        <f t="shared" si="4"/>
        <v>0</v>
      </c>
      <c r="L65" s="7">
        <f t="shared" si="4"/>
        <v>0</v>
      </c>
      <c r="M65" s="7">
        <f t="shared" si="4"/>
        <v>0</v>
      </c>
      <c r="N65" s="7">
        <f t="shared" si="4"/>
        <v>0</v>
      </c>
      <c r="O65" s="7">
        <f t="shared" si="4"/>
        <v>0</v>
      </c>
      <c r="P65" s="7">
        <f t="shared" si="4"/>
        <v>0</v>
      </c>
      <c r="Q65" s="7">
        <f t="shared" si="4"/>
        <v>0</v>
      </c>
      <c r="R65" s="7">
        <f t="shared" si="4"/>
        <v>0</v>
      </c>
      <c r="S65" s="7">
        <f t="shared" si="4"/>
        <v>0</v>
      </c>
      <c r="T65" s="7">
        <f t="shared" si="4"/>
        <v>0</v>
      </c>
      <c r="U65" s="7">
        <f t="shared" si="4"/>
        <v>0</v>
      </c>
      <c r="V65" s="7">
        <f t="shared" si="4"/>
        <v>0</v>
      </c>
      <c r="W65" s="7">
        <f t="shared" si="4"/>
        <v>0</v>
      </c>
      <c r="X65" s="7">
        <f t="shared" si="4"/>
        <v>0</v>
      </c>
      <c r="Y65" s="7">
        <f t="shared" si="4"/>
        <v>0</v>
      </c>
      <c r="Z65" s="7">
        <f t="shared" si="4"/>
        <v>0</v>
      </c>
      <c r="AA65" s="7">
        <f t="shared" si="4"/>
        <v>0</v>
      </c>
      <c r="AB65" s="7">
        <f t="shared" si="4"/>
        <v>0</v>
      </c>
      <c r="AC65" s="7">
        <f t="shared" si="4"/>
        <v>0</v>
      </c>
    </row>
    <row r="67" spans="1:29" x14ac:dyDescent="0.55000000000000004">
      <c r="C67" t="s">
        <v>56</v>
      </c>
      <c r="D67" s="5">
        <f>SUM(D39:D40)</f>
        <v>0</v>
      </c>
      <c r="E67" s="5">
        <f t="shared" ref="E67:AC67" si="6">SUM(E39:E40)</f>
        <v>7</v>
      </c>
      <c r="F67" s="5">
        <f t="shared" si="6"/>
        <v>15</v>
      </c>
      <c r="G67" s="5">
        <f t="shared" si="6"/>
        <v>332</v>
      </c>
      <c r="H67" s="5">
        <f t="shared" si="6"/>
        <v>42</v>
      </c>
      <c r="I67" s="5">
        <f t="shared" si="6"/>
        <v>9</v>
      </c>
      <c r="J67" s="5">
        <f t="shared" si="6"/>
        <v>184</v>
      </c>
      <c r="K67" s="5">
        <f t="shared" si="6"/>
        <v>77</v>
      </c>
      <c r="L67" s="5">
        <f t="shared" si="6"/>
        <v>27</v>
      </c>
      <c r="M67" s="5">
        <f t="shared" si="6"/>
        <v>67</v>
      </c>
      <c r="N67" s="5">
        <f t="shared" si="6"/>
        <v>11</v>
      </c>
      <c r="O67" s="5">
        <f t="shared" si="6"/>
        <v>0</v>
      </c>
      <c r="P67" s="5">
        <f t="shared" si="6"/>
        <v>5</v>
      </c>
      <c r="Q67" s="5">
        <f t="shared" si="6"/>
        <v>13</v>
      </c>
      <c r="R67" s="5">
        <f t="shared" si="6"/>
        <v>4</v>
      </c>
      <c r="S67" s="5">
        <f t="shared" si="6"/>
        <v>316</v>
      </c>
      <c r="T67" s="5">
        <f t="shared" si="6"/>
        <v>12</v>
      </c>
      <c r="U67" s="5">
        <f t="shared" si="6"/>
        <v>45</v>
      </c>
      <c r="V67" s="5">
        <f t="shared" si="6"/>
        <v>15</v>
      </c>
      <c r="W67" s="5">
        <f t="shared" si="6"/>
        <v>187</v>
      </c>
      <c r="X67" s="5">
        <f t="shared" si="6"/>
        <v>33</v>
      </c>
      <c r="Y67" s="5">
        <f t="shared" si="6"/>
        <v>11</v>
      </c>
      <c r="Z67" s="5">
        <f t="shared" si="6"/>
        <v>154</v>
      </c>
      <c r="AA67" s="5">
        <f t="shared" si="6"/>
        <v>118</v>
      </c>
      <c r="AB67" s="5">
        <f t="shared" si="6"/>
        <v>0</v>
      </c>
      <c r="AC67" s="5">
        <f t="shared" si="6"/>
        <v>0</v>
      </c>
    </row>
    <row r="68" spans="1:29" x14ac:dyDescent="0.55000000000000004">
      <c r="C68" t="s">
        <v>58</v>
      </c>
      <c r="D68" s="5">
        <f>SUM(D50:D51)</f>
        <v>0</v>
      </c>
      <c r="E68" s="5">
        <f t="shared" ref="E68:AC68" si="7">SUM(E50:E51)</f>
        <v>4</v>
      </c>
      <c r="F68" s="5">
        <f t="shared" si="7"/>
        <v>3</v>
      </c>
      <c r="G68" s="5">
        <f t="shared" si="7"/>
        <v>58</v>
      </c>
      <c r="H68" s="5">
        <f t="shared" si="7"/>
        <v>1</v>
      </c>
      <c r="I68" s="5">
        <f t="shared" si="7"/>
        <v>1</v>
      </c>
      <c r="J68" s="5">
        <f t="shared" si="7"/>
        <v>7</v>
      </c>
      <c r="K68" s="5">
        <f t="shared" si="7"/>
        <v>0</v>
      </c>
      <c r="L68" s="5">
        <f t="shared" si="7"/>
        <v>3</v>
      </c>
      <c r="M68" s="5">
        <f t="shared" si="7"/>
        <v>30</v>
      </c>
      <c r="N68" s="5">
        <f t="shared" si="7"/>
        <v>2</v>
      </c>
      <c r="O68" s="5">
        <f t="shared" si="7"/>
        <v>0</v>
      </c>
      <c r="P68" s="5">
        <f t="shared" si="7"/>
        <v>1</v>
      </c>
      <c r="Q68" s="5">
        <f t="shared" si="7"/>
        <v>9</v>
      </c>
      <c r="R68" s="5">
        <f t="shared" si="7"/>
        <v>3</v>
      </c>
      <c r="S68" s="5">
        <f t="shared" si="7"/>
        <v>14</v>
      </c>
      <c r="T68" s="5">
        <f t="shared" si="7"/>
        <v>2</v>
      </c>
      <c r="U68" s="5">
        <f t="shared" si="7"/>
        <v>11</v>
      </c>
      <c r="V68" s="5">
        <f t="shared" si="7"/>
        <v>5</v>
      </c>
      <c r="W68" s="5">
        <f t="shared" si="7"/>
        <v>12</v>
      </c>
      <c r="X68" s="5">
        <f t="shared" si="7"/>
        <v>7</v>
      </c>
      <c r="Y68" s="5">
        <f t="shared" si="7"/>
        <v>2</v>
      </c>
      <c r="Z68" s="5">
        <f t="shared" si="7"/>
        <v>9</v>
      </c>
      <c r="AA68" s="5">
        <f t="shared" si="7"/>
        <v>17</v>
      </c>
      <c r="AB68" s="5">
        <f t="shared" si="7"/>
        <v>0</v>
      </c>
      <c r="AC68" s="5">
        <f t="shared" si="7"/>
        <v>0</v>
      </c>
    </row>
    <row r="69" spans="1:29" x14ac:dyDescent="0.55000000000000004">
      <c r="C69" t="s">
        <v>57</v>
      </c>
      <c r="D69" s="5">
        <f>SUM(D61:D62)</f>
        <v>0</v>
      </c>
      <c r="E69" s="5">
        <f t="shared" ref="E69:AC69" si="8">SUM(E61:E62)</f>
        <v>0</v>
      </c>
      <c r="F69" s="5">
        <f t="shared" si="8"/>
        <v>0</v>
      </c>
      <c r="G69" s="5">
        <f t="shared" si="8"/>
        <v>6</v>
      </c>
      <c r="H69" s="5">
        <f t="shared" si="8"/>
        <v>1</v>
      </c>
      <c r="I69" s="5">
        <f t="shared" si="8"/>
        <v>0</v>
      </c>
      <c r="J69" s="5">
        <f t="shared" si="8"/>
        <v>1</v>
      </c>
      <c r="K69" s="5">
        <f t="shared" si="8"/>
        <v>0</v>
      </c>
      <c r="L69" s="5">
        <f t="shared" si="8"/>
        <v>0</v>
      </c>
      <c r="M69" s="5">
        <f t="shared" si="8"/>
        <v>2</v>
      </c>
      <c r="N69" s="5">
        <f t="shared" si="8"/>
        <v>0</v>
      </c>
      <c r="O69" s="5">
        <f t="shared" si="8"/>
        <v>0</v>
      </c>
      <c r="P69" s="5">
        <f t="shared" si="8"/>
        <v>0</v>
      </c>
      <c r="Q69" s="5">
        <f t="shared" si="8"/>
        <v>1</v>
      </c>
      <c r="R69" s="5">
        <f t="shared" si="8"/>
        <v>0</v>
      </c>
      <c r="S69" s="5">
        <f t="shared" si="8"/>
        <v>1</v>
      </c>
      <c r="T69" s="5">
        <f t="shared" si="8"/>
        <v>0</v>
      </c>
      <c r="U69" s="5">
        <f t="shared" si="8"/>
        <v>0</v>
      </c>
      <c r="V69" s="5">
        <f t="shared" si="8"/>
        <v>0</v>
      </c>
      <c r="W69" s="5">
        <f t="shared" si="8"/>
        <v>6</v>
      </c>
      <c r="X69" s="5">
        <f t="shared" si="8"/>
        <v>1</v>
      </c>
      <c r="Y69" s="5">
        <f t="shared" si="8"/>
        <v>1</v>
      </c>
      <c r="Z69" s="5">
        <f t="shared" si="8"/>
        <v>0</v>
      </c>
      <c r="AA69" s="5">
        <f t="shared" si="8"/>
        <v>4</v>
      </c>
      <c r="AB69" s="5">
        <f t="shared" si="8"/>
        <v>0</v>
      </c>
      <c r="AC69" s="5">
        <f t="shared" si="8"/>
        <v>0</v>
      </c>
    </row>
    <row r="70" spans="1:29" x14ac:dyDescent="0.55000000000000004"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</row>
    <row r="71" spans="1:29" x14ac:dyDescent="0.55000000000000004">
      <c r="C71" t="s">
        <v>43</v>
      </c>
      <c r="D71" s="7">
        <f>SUM(D36:D43,D47:D54,D58:D65)</f>
        <v>0</v>
      </c>
      <c r="E71" s="7">
        <f t="shared" ref="E71:AC71" si="9">SUM(E36:E43,E47:E54,E58:E65)</f>
        <v>17</v>
      </c>
      <c r="F71" s="7">
        <f t="shared" si="9"/>
        <v>37</v>
      </c>
      <c r="G71" s="7">
        <f t="shared" si="9"/>
        <v>647</v>
      </c>
      <c r="H71" s="7">
        <f t="shared" si="9"/>
        <v>115</v>
      </c>
      <c r="I71" s="7">
        <f t="shared" si="9"/>
        <v>61</v>
      </c>
      <c r="J71" s="7">
        <f t="shared" si="9"/>
        <v>315</v>
      </c>
      <c r="K71" s="7">
        <f t="shared" si="9"/>
        <v>97</v>
      </c>
      <c r="L71" s="7">
        <f t="shared" si="9"/>
        <v>52</v>
      </c>
      <c r="M71" s="7">
        <f t="shared" si="9"/>
        <v>167</v>
      </c>
      <c r="N71" s="7">
        <f t="shared" si="9"/>
        <v>53</v>
      </c>
      <c r="O71" s="7">
        <f t="shared" si="9"/>
        <v>10</v>
      </c>
      <c r="P71" s="7">
        <f t="shared" si="9"/>
        <v>57</v>
      </c>
      <c r="Q71" s="7">
        <f t="shared" si="9"/>
        <v>33</v>
      </c>
      <c r="R71" s="7">
        <f t="shared" si="9"/>
        <v>23</v>
      </c>
      <c r="S71" s="7">
        <f t="shared" si="9"/>
        <v>392</v>
      </c>
      <c r="T71" s="7">
        <f t="shared" si="9"/>
        <v>32</v>
      </c>
      <c r="U71" s="7">
        <f t="shared" si="9"/>
        <v>151</v>
      </c>
      <c r="V71" s="7">
        <f t="shared" si="9"/>
        <v>46</v>
      </c>
      <c r="W71" s="7">
        <f t="shared" si="9"/>
        <v>274</v>
      </c>
      <c r="X71" s="7">
        <f t="shared" si="9"/>
        <v>129</v>
      </c>
      <c r="Y71" s="7">
        <f t="shared" si="9"/>
        <v>37</v>
      </c>
      <c r="Z71" s="7">
        <f t="shared" si="9"/>
        <v>315</v>
      </c>
      <c r="AA71" s="7">
        <f t="shared" si="9"/>
        <v>163</v>
      </c>
      <c r="AB71" s="7">
        <f t="shared" si="9"/>
        <v>0</v>
      </c>
      <c r="AC71" s="7">
        <f t="shared" si="9"/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210BB-2595-42FE-BCB3-3443D7ED3B34}">
  <dimension ref="A1:AC112"/>
  <sheetViews>
    <sheetView topLeftCell="A57" workbookViewId="0">
      <selection activeCell="C71" sqref="C71:AC73"/>
    </sheetView>
  </sheetViews>
  <sheetFormatPr defaultRowHeight="14.4" x14ac:dyDescent="0.55000000000000004"/>
  <cols>
    <col min="1" max="1" width="51.62890625" bestFit="1" customWidth="1"/>
    <col min="2" max="2" width="4.7890625" bestFit="1" customWidth="1"/>
  </cols>
  <sheetData>
    <row r="1" spans="1:29" x14ac:dyDescent="0.55000000000000004">
      <c r="A1" s="1" t="s">
        <v>37</v>
      </c>
      <c r="B1" s="2"/>
    </row>
    <row r="2" spans="1:29" x14ac:dyDescent="0.55000000000000004">
      <c r="A2" s="1" t="s">
        <v>28</v>
      </c>
      <c r="B2" s="1" t="s">
        <v>40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  <c r="L2" s="6" t="s">
        <v>10</v>
      </c>
      <c r="M2" s="6" t="s">
        <v>11</v>
      </c>
      <c r="N2" s="6" t="s">
        <v>12</v>
      </c>
      <c r="O2" s="6" t="s">
        <v>13</v>
      </c>
      <c r="P2" s="6" t="s">
        <v>14</v>
      </c>
      <c r="Q2" s="6" t="s">
        <v>15</v>
      </c>
      <c r="R2" s="6" t="s">
        <v>16</v>
      </c>
      <c r="S2" s="6" t="s">
        <v>17</v>
      </c>
      <c r="T2" s="6" t="s">
        <v>18</v>
      </c>
      <c r="U2" s="6" t="s">
        <v>19</v>
      </c>
      <c r="V2" s="6" t="s">
        <v>20</v>
      </c>
      <c r="W2" s="6" t="s">
        <v>21</v>
      </c>
      <c r="X2" s="6" t="s">
        <v>22</v>
      </c>
      <c r="Y2" s="6" t="s">
        <v>23</v>
      </c>
      <c r="Z2" s="6" t="s">
        <v>24</v>
      </c>
      <c r="AA2" s="6" t="s">
        <v>25</v>
      </c>
      <c r="AB2" s="6" t="s">
        <v>26</v>
      </c>
      <c r="AC2" s="6" t="s">
        <v>27</v>
      </c>
    </row>
    <row r="3" spans="1:29" x14ac:dyDescent="0.55000000000000004">
      <c r="A3" s="2" t="s">
        <v>29</v>
      </c>
      <c r="B3" s="3" t="s">
        <v>0</v>
      </c>
      <c r="C3" s="7">
        <v>264900</v>
      </c>
      <c r="D3" s="7">
        <v>0</v>
      </c>
      <c r="E3" s="7">
        <v>0</v>
      </c>
      <c r="F3" s="7">
        <v>0</v>
      </c>
      <c r="G3" s="7">
        <v>4000</v>
      </c>
      <c r="H3" s="7">
        <v>0</v>
      </c>
      <c r="I3" s="7">
        <v>0</v>
      </c>
      <c r="J3" s="7">
        <v>0</v>
      </c>
      <c r="K3" s="7">
        <v>20000</v>
      </c>
      <c r="L3" s="7">
        <v>0</v>
      </c>
      <c r="M3" s="7">
        <v>24000</v>
      </c>
      <c r="N3" s="7">
        <v>15000</v>
      </c>
      <c r="O3" s="7">
        <v>0</v>
      </c>
      <c r="P3" s="7">
        <v>18000</v>
      </c>
      <c r="Q3" s="7">
        <v>0</v>
      </c>
      <c r="R3" s="7">
        <v>5000</v>
      </c>
      <c r="S3" s="7">
        <v>12000</v>
      </c>
      <c r="T3" s="7">
        <v>0</v>
      </c>
      <c r="U3" s="7">
        <v>40000</v>
      </c>
      <c r="V3" s="7">
        <v>0</v>
      </c>
      <c r="W3" s="7">
        <v>0</v>
      </c>
      <c r="X3" s="7">
        <v>0</v>
      </c>
      <c r="Y3" s="7">
        <v>87900</v>
      </c>
      <c r="Z3" s="7">
        <v>0</v>
      </c>
      <c r="AA3" s="7">
        <v>0</v>
      </c>
      <c r="AB3" s="7">
        <v>3000</v>
      </c>
      <c r="AC3" s="7">
        <v>36000</v>
      </c>
    </row>
    <row r="4" spans="1:29" x14ac:dyDescent="0.55000000000000004">
      <c r="A4" s="2" t="s">
        <v>30</v>
      </c>
      <c r="B4" s="3" t="s">
        <v>0</v>
      </c>
      <c r="C4" s="7">
        <v>1171518.5</v>
      </c>
      <c r="D4" s="7">
        <v>0</v>
      </c>
      <c r="E4" s="7">
        <v>216000</v>
      </c>
      <c r="F4" s="7">
        <v>0</v>
      </c>
      <c r="G4" s="7">
        <v>18000</v>
      </c>
      <c r="H4" s="7">
        <v>5950</v>
      </c>
      <c r="I4" s="7">
        <v>5000</v>
      </c>
      <c r="J4" s="7">
        <v>0</v>
      </c>
      <c r="K4" s="7">
        <v>7400</v>
      </c>
      <c r="L4" s="7">
        <v>0</v>
      </c>
      <c r="M4" s="7">
        <v>29604.5</v>
      </c>
      <c r="N4" s="7">
        <v>95533</v>
      </c>
      <c r="O4" s="7">
        <v>50300</v>
      </c>
      <c r="P4" s="7">
        <v>30977</v>
      </c>
      <c r="Q4" s="7">
        <v>53000</v>
      </c>
      <c r="R4" s="7">
        <v>15102</v>
      </c>
      <c r="S4" s="7">
        <v>0</v>
      </c>
      <c r="T4" s="7">
        <v>0</v>
      </c>
      <c r="U4" s="7">
        <v>45000</v>
      </c>
      <c r="V4" s="7">
        <v>0</v>
      </c>
      <c r="W4" s="7">
        <v>92000</v>
      </c>
      <c r="X4" s="7">
        <v>0</v>
      </c>
      <c r="Y4" s="7">
        <v>313500</v>
      </c>
      <c r="Z4" s="7">
        <v>0</v>
      </c>
      <c r="AA4" s="7">
        <v>74102</v>
      </c>
      <c r="AB4" s="7">
        <v>0</v>
      </c>
      <c r="AC4" s="7">
        <v>120050</v>
      </c>
    </row>
    <row r="5" spans="1:29" x14ac:dyDescent="0.55000000000000004">
      <c r="A5" s="2" t="s">
        <v>31</v>
      </c>
      <c r="B5" s="3" t="s">
        <v>0</v>
      </c>
      <c r="C5" s="7">
        <v>34420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34420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</row>
    <row r="6" spans="1:29" x14ac:dyDescent="0.55000000000000004">
      <c r="A6" s="2" t="s">
        <v>32</v>
      </c>
      <c r="B6" s="3" t="s">
        <v>0</v>
      </c>
      <c r="C6" s="7">
        <v>6412920.2999999998</v>
      </c>
      <c r="D6" s="7">
        <v>0</v>
      </c>
      <c r="E6" s="7">
        <v>1158100</v>
      </c>
      <c r="F6" s="7">
        <v>0</v>
      </c>
      <c r="G6" s="7">
        <v>38000</v>
      </c>
      <c r="H6" s="7">
        <v>32966</v>
      </c>
      <c r="I6" s="7">
        <v>18000</v>
      </c>
      <c r="J6" s="7">
        <v>28358</v>
      </c>
      <c r="K6" s="7">
        <v>100623</v>
      </c>
      <c r="L6" s="7">
        <v>0</v>
      </c>
      <c r="M6" s="7">
        <v>777093.5</v>
      </c>
      <c r="N6" s="7">
        <v>75072.800000000003</v>
      </c>
      <c r="O6" s="7">
        <v>75838</v>
      </c>
      <c r="P6" s="7">
        <v>114548</v>
      </c>
      <c r="Q6" s="7">
        <v>45000</v>
      </c>
      <c r="R6" s="7">
        <v>18550</v>
      </c>
      <c r="S6" s="7">
        <v>8788</v>
      </c>
      <c r="T6" s="7">
        <v>706140</v>
      </c>
      <c r="U6" s="7">
        <v>189304</v>
      </c>
      <c r="V6" s="7">
        <v>0</v>
      </c>
      <c r="W6" s="7">
        <v>525000</v>
      </c>
      <c r="X6" s="7">
        <v>109923</v>
      </c>
      <c r="Y6" s="7">
        <v>740000</v>
      </c>
      <c r="Z6" s="7">
        <v>1048832</v>
      </c>
      <c r="AA6" s="7">
        <v>12230</v>
      </c>
      <c r="AB6" s="7">
        <v>539028</v>
      </c>
      <c r="AC6" s="7">
        <v>51526</v>
      </c>
    </row>
    <row r="7" spans="1:29" x14ac:dyDescent="0.55000000000000004">
      <c r="A7" s="2" t="s">
        <v>33</v>
      </c>
      <c r="B7" s="3" t="s">
        <v>0</v>
      </c>
      <c r="C7" s="7">
        <v>3602901.2</v>
      </c>
      <c r="D7" s="7">
        <v>0</v>
      </c>
      <c r="E7" s="7">
        <v>546200</v>
      </c>
      <c r="F7" s="7">
        <v>0</v>
      </c>
      <c r="G7" s="7">
        <v>50000</v>
      </c>
      <c r="H7" s="7">
        <v>3660</v>
      </c>
      <c r="I7" s="7">
        <v>6000</v>
      </c>
      <c r="J7" s="7">
        <v>11190</v>
      </c>
      <c r="K7" s="7">
        <v>0</v>
      </c>
      <c r="L7" s="7">
        <v>0</v>
      </c>
      <c r="M7" s="7">
        <v>519761</v>
      </c>
      <c r="N7" s="7">
        <v>82165.2</v>
      </c>
      <c r="O7" s="7">
        <v>53962</v>
      </c>
      <c r="P7" s="7">
        <v>58450</v>
      </c>
      <c r="Q7" s="7">
        <v>8000</v>
      </c>
      <c r="R7" s="7">
        <v>52140</v>
      </c>
      <c r="S7" s="7">
        <v>13140</v>
      </c>
      <c r="T7" s="7">
        <v>596119</v>
      </c>
      <c r="U7" s="7">
        <v>304505</v>
      </c>
      <c r="V7" s="7">
        <v>0</v>
      </c>
      <c r="W7" s="7">
        <v>507510</v>
      </c>
      <c r="X7" s="7">
        <v>22103</v>
      </c>
      <c r="Y7" s="7">
        <v>623270</v>
      </c>
      <c r="Z7" s="7">
        <v>116291</v>
      </c>
      <c r="AA7" s="7">
        <v>3795</v>
      </c>
      <c r="AB7" s="7">
        <v>24640</v>
      </c>
      <c r="AC7" s="7">
        <v>0</v>
      </c>
    </row>
    <row r="8" spans="1:29" x14ac:dyDescent="0.55000000000000004">
      <c r="A8" s="2" t="s">
        <v>34</v>
      </c>
      <c r="B8" s="3" t="s">
        <v>0</v>
      </c>
      <c r="C8" s="7">
        <v>1437190.5</v>
      </c>
      <c r="D8" s="7">
        <v>0</v>
      </c>
      <c r="E8" s="7">
        <v>260500</v>
      </c>
      <c r="F8" s="7">
        <v>0</v>
      </c>
      <c r="G8" s="7">
        <v>24000</v>
      </c>
      <c r="H8" s="7">
        <v>45581</v>
      </c>
      <c r="I8" s="7">
        <v>35000</v>
      </c>
      <c r="J8" s="7">
        <v>0</v>
      </c>
      <c r="K8" s="7">
        <v>61614</v>
      </c>
      <c r="L8" s="7">
        <v>0</v>
      </c>
      <c r="M8" s="7">
        <v>95652.5</v>
      </c>
      <c r="N8" s="7">
        <v>79610</v>
      </c>
      <c r="O8" s="7">
        <v>110750</v>
      </c>
      <c r="P8" s="7">
        <v>54050</v>
      </c>
      <c r="Q8" s="7">
        <v>49351</v>
      </c>
      <c r="R8" s="7">
        <v>7000</v>
      </c>
      <c r="S8" s="7">
        <v>0</v>
      </c>
      <c r="T8" s="7">
        <v>0</v>
      </c>
      <c r="U8" s="7">
        <v>20000</v>
      </c>
      <c r="V8" s="7">
        <v>0</v>
      </c>
      <c r="W8" s="7">
        <v>145000</v>
      </c>
      <c r="X8" s="7">
        <v>398100</v>
      </c>
      <c r="Y8" s="7">
        <v>0</v>
      </c>
      <c r="Z8" s="7">
        <v>38281</v>
      </c>
      <c r="AA8" s="7">
        <v>12701</v>
      </c>
      <c r="AB8" s="7">
        <v>0</v>
      </c>
      <c r="AC8" s="7">
        <v>0</v>
      </c>
    </row>
    <row r="9" spans="1:29" x14ac:dyDescent="0.55000000000000004">
      <c r="A9" s="2" t="s">
        <v>35</v>
      </c>
      <c r="B9" s="3" t="s">
        <v>0</v>
      </c>
      <c r="C9" s="7">
        <v>1630304.9</v>
      </c>
      <c r="D9" s="7">
        <v>0</v>
      </c>
      <c r="E9" s="7">
        <v>162770</v>
      </c>
      <c r="F9" s="7">
        <v>19680</v>
      </c>
      <c r="G9" s="7">
        <v>4000</v>
      </c>
      <c r="H9" s="7">
        <v>23361</v>
      </c>
      <c r="I9" s="7">
        <v>3145</v>
      </c>
      <c r="J9" s="7">
        <v>4689</v>
      </c>
      <c r="K9" s="7">
        <v>12758</v>
      </c>
      <c r="L9" s="7">
        <v>0</v>
      </c>
      <c r="M9" s="7">
        <v>90222</v>
      </c>
      <c r="N9" s="7">
        <v>59480.5</v>
      </c>
      <c r="O9" s="7">
        <v>85147</v>
      </c>
      <c r="P9" s="7">
        <v>88098</v>
      </c>
      <c r="Q9" s="7">
        <v>0</v>
      </c>
      <c r="R9" s="7">
        <v>12576</v>
      </c>
      <c r="S9" s="7">
        <v>14752</v>
      </c>
      <c r="T9" s="7">
        <v>199000</v>
      </c>
      <c r="U9" s="7">
        <v>76601</v>
      </c>
      <c r="V9" s="7">
        <v>0</v>
      </c>
      <c r="W9" s="7">
        <v>75690</v>
      </c>
      <c r="X9" s="7">
        <v>95050</v>
      </c>
      <c r="Y9" s="7">
        <v>445320.4</v>
      </c>
      <c r="Z9" s="7">
        <v>11294</v>
      </c>
      <c r="AA9" s="7">
        <v>55296</v>
      </c>
      <c r="AB9" s="7">
        <v>41877</v>
      </c>
      <c r="AC9" s="7">
        <v>49498</v>
      </c>
    </row>
    <row r="10" spans="1:29" x14ac:dyDescent="0.55000000000000004">
      <c r="A10" s="2" t="s">
        <v>36</v>
      </c>
      <c r="B10" s="3" t="s">
        <v>0</v>
      </c>
      <c r="C10" s="7">
        <v>26000</v>
      </c>
      <c r="D10" s="7">
        <v>0</v>
      </c>
      <c r="E10" s="7">
        <v>2000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10000</v>
      </c>
      <c r="V10" s="7">
        <v>0</v>
      </c>
      <c r="W10" s="7">
        <v>14000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</row>
    <row r="11" spans="1:29" x14ac:dyDescent="0.55000000000000004">
      <c r="A11" s="2"/>
      <c r="B11" s="3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8"/>
      <c r="Z11" s="8"/>
      <c r="AA11" s="8"/>
      <c r="AB11" s="8"/>
      <c r="AC11" s="8"/>
    </row>
    <row r="12" spans="1:29" x14ac:dyDescent="0.55000000000000004">
      <c r="A12" s="1" t="s">
        <v>39</v>
      </c>
      <c r="B12" s="2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</row>
    <row r="13" spans="1:29" x14ac:dyDescent="0.55000000000000004">
      <c r="A13" s="1" t="s">
        <v>28</v>
      </c>
      <c r="B13" s="1" t="s">
        <v>40</v>
      </c>
      <c r="C13" s="6" t="s">
        <v>1</v>
      </c>
      <c r="D13" s="6" t="s">
        <v>2</v>
      </c>
      <c r="E13" s="6" t="s">
        <v>3</v>
      </c>
      <c r="F13" s="6" t="s">
        <v>4</v>
      </c>
      <c r="G13" s="6" t="s">
        <v>5</v>
      </c>
      <c r="H13" s="6" t="s">
        <v>6</v>
      </c>
      <c r="I13" s="6" t="s">
        <v>7</v>
      </c>
      <c r="J13" s="6" t="s">
        <v>8</v>
      </c>
      <c r="K13" s="6" t="s">
        <v>9</v>
      </c>
      <c r="L13" s="6" t="s">
        <v>10</v>
      </c>
      <c r="M13" s="6" t="s">
        <v>11</v>
      </c>
      <c r="N13" s="6" t="s">
        <v>12</v>
      </c>
      <c r="O13" s="6" t="s">
        <v>13</v>
      </c>
      <c r="P13" s="6" t="s">
        <v>14</v>
      </c>
      <c r="Q13" s="6" t="s">
        <v>15</v>
      </c>
      <c r="R13" s="6" t="s">
        <v>16</v>
      </c>
      <c r="S13" s="6" t="s">
        <v>17</v>
      </c>
      <c r="T13" s="6" t="s">
        <v>18</v>
      </c>
      <c r="U13" s="6" t="s">
        <v>19</v>
      </c>
      <c r="V13" s="6" t="s">
        <v>20</v>
      </c>
      <c r="W13" s="6" t="s">
        <v>21</v>
      </c>
      <c r="X13" s="6" t="s">
        <v>22</v>
      </c>
      <c r="Y13" s="6" t="s">
        <v>23</v>
      </c>
      <c r="Z13" s="6" t="s">
        <v>24</v>
      </c>
      <c r="AA13" s="6" t="s">
        <v>25</v>
      </c>
      <c r="AB13" s="6" t="s">
        <v>26</v>
      </c>
      <c r="AC13" s="6" t="s">
        <v>27</v>
      </c>
    </row>
    <row r="14" spans="1:29" x14ac:dyDescent="0.55000000000000004">
      <c r="A14" s="2" t="s">
        <v>29</v>
      </c>
      <c r="B14" s="3" t="s">
        <v>0</v>
      </c>
      <c r="C14" s="7">
        <v>42000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35000</v>
      </c>
      <c r="V14" s="7">
        <v>0</v>
      </c>
      <c r="W14" s="7">
        <v>0</v>
      </c>
      <c r="X14" s="7">
        <v>0</v>
      </c>
      <c r="Y14" s="7">
        <v>7000</v>
      </c>
      <c r="Z14" s="7">
        <v>0</v>
      </c>
      <c r="AA14" s="7">
        <v>0</v>
      </c>
      <c r="AB14" s="7">
        <v>0</v>
      </c>
      <c r="AC14" s="7">
        <v>0</v>
      </c>
    </row>
    <row r="15" spans="1:29" x14ac:dyDescent="0.55000000000000004">
      <c r="A15" s="2" t="s">
        <v>30</v>
      </c>
      <c r="B15" s="3" t="s">
        <v>0</v>
      </c>
      <c r="C15" s="7">
        <v>459790</v>
      </c>
      <c r="D15" s="7">
        <v>0</v>
      </c>
      <c r="E15" s="7">
        <v>91450</v>
      </c>
      <c r="F15" s="7">
        <v>0</v>
      </c>
      <c r="G15" s="7">
        <v>8800</v>
      </c>
      <c r="H15" s="7">
        <v>0</v>
      </c>
      <c r="I15" s="7">
        <v>0</v>
      </c>
      <c r="J15" s="7">
        <v>14348</v>
      </c>
      <c r="K15" s="7">
        <v>17740</v>
      </c>
      <c r="L15" s="7">
        <v>0</v>
      </c>
      <c r="M15" s="7">
        <v>22671</v>
      </c>
      <c r="N15" s="7">
        <v>53700</v>
      </c>
      <c r="O15" s="7">
        <v>0</v>
      </c>
      <c r="P15" s="7">
        <v>15400</v>
      </c>
      <c r="Q15" s="7">
        <v>0</v>
      </c>
      <c r="R15" s="7">
        <v>16565</v>
      </c>
      <c r="S15" s="7">
        <v>0</v>
      </c>
      <c r="T15" s="7">
        <v>0</v>
      </c>
      <c r="U15" s="7">
        <v>42460</v>
      </c>
      <c r="V15" s="7">
        <v>0</v>
      </c>
      <c r="W15" s="7">
        <v>10922</v>
      </c>
      <c r="X15" s="7">
        <v>0</v>
      </c>
      <c r="Y15" s="7">
        <v>99304</v>
      </c>
      <c r="Z15" s="7">
        <v>0</v>
      </c>
      <c r="AA15" s="7">
        <v>17730</v>
      </c>
      <c r="AB15" s="7">
        <v>0</v>
      </c>
      <c r="AC15" s="7">
        <v>48700</v>
      </c>
    </row>
    <row r="16" spans="1:29" x14ac:dyDescent="0.55000000000000004">
      <c r="A16" s="2" t="s">
        <v>31</v>
      </c>
      <c r="B16" s="3" t="s">
        <v>0</v>
      </c>
      <c r="C16" s="7">
        <v>56000</v>
      </c>
      <c r="D16" s="7">
        <v>0</v>
      </c>
      <c r="E16" s="7">
        <v>56000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</row>
    <row r="17" spans="1:29" x14ac:dyDescent="0.55000000000000004">
      <c r="A17" s="2" t="s">
        <v>32</v>
      </c>
      <c r="B17" s="3" t="s">
        <v>0</v>
      </c>
      <c r="C17" s="7">
        <v>676884.5</v>
      </c>
      <c r="D17" s="7">
        <v>0</v>
      </c>
      <c r="E17" s="7">
        <v>173500</v>
      </c>
      <c r="F17" s="7">
        <v>0</v>
      </c>
      <c r="G17" s="7">
        <v>6000</v>
      </c>
      <c r="H17" s="7">
        <v>9276</v>
      </c>
      <c r="I17" s="7">
        <v>9000</v>
      </c>
      <c r="J17" s="7">
        <v>5660</v>
      </c>
      <c r="K17" s="7">
        <v>6000</v>
      </c>
      <c r="L17" s="7">
        <v>0</v>
      </c>
      <c r="M17" s="7">
        <v>29286.5</v>
      </c>
      <c r="N17" s="7">
        <v>0</v>
      </c>
      <c r="O17" s="7">
        <v>14025</v>
      </c>
      <c r="P17" s="7">
        <v>3480</v>
      </c>
      <c r="Q17" s="7">
        <v>12500</v>
      </c>
      <c r="R17" s="7">
        <v>0</v>
      </c>
      <c r="S17" s="7">
        <v>6410</v>
      </c>
      <c r="T17" s="7">
        <v>22640</v>
      </c>
      <c r="U17" s="7">
        <v>88528</v>
      </c>
      <c r="V17" s="7">
        <v>0</v>
      </c>
      <c r="W17" s="7">
        <v>37363</v>
      </c>
      <c r="X17" s="7">
        <v>39212</v>
      </c>
      <c r="Y17" s="7">
        <v>29000</v>
      </c>
      <c r="Z17" s="7">
        <v>169754</v>
      </c>
      <c r="AA17" s="7">
        <v>5610</v>
      </c>
      <c r="AB17" s="7">
        <v>0</v>
      </c>
      <c r="AC17" s="7">
        <v>9640</v>
      </c>
    </row>
    <row r="18" spans="1:29" x14ac:dyDescent="0.55000000000000004">
      <c r="A18" s="2" t="s">
        <v>33</v>
      </c>
      <c r="B18" s="3" t="s">
        <v>0</v>
      </c>
      <c r="C18" s="7">
        <v>933006.2</v>
      </c>
      <c r="D18" s="7">
        <v>0</v>
      </c>
      <c r="E18" s="7">
        <v>184170</v>
      </c>
      <c r="F18" s="7">
        <v>0</v>
      </c>
      <c r="G18" s="7">
        <v>0</v>
      </c>
      <c r="H18" s="7">
        <v>11262</v>
      </c>
      <c r="I18" s="7">
        <v>7440</v>
      </c>
      <c r="J18" s="7">
        <v>58074</v>
      </c>
      <c r="K18" s="7">
        <v>10750</v>
      </c>
      <c r="L18" s="7">
        <v>0</v>
      </c>
      <c r="M18" s="7">
        <v>35248</v>
      </c>
      <c r="N18" s="7">
        <v>52285.2</v>
      </c>
      <c r="O18" s="7">
        <v>0</v>
      </c>
      <c r="P18" s="7">
        <v>0</v>
      </c>
      <c r="Q18" s="7">
        <v>15375</v>
      </c>
      <c r="R18" s="7">
        <v>35574</v>
      </c>
      <c r="S18" s="7">
        <v>12378</v>
      </c>
      <c r="T18" s="7">
        <v>78911</v>
      </c>
      <c r="U18" s="7">
        <v>249236</v>
      </c>
      <c r="V18" s="7">
        <v>0</v>
      </c>
      <c r="W18" s="7">
        <v>107610</v>
      </c>
      <c r="X18" s="7">
        <v>0</v>
      </c>
      <c r="Y18" s="7">
        <v>39160</v>
      </c>
      <c r="Z18" s="7">
        <v>35533</v>
      </c>
      <c r="AA18" s="7">
        <v>0</v>
      </c>
      <c r="AB18" s="7">
        <v>0</v>
      </c>
      <c r="AC18" s="7">
        <v>0</v>
      </c>
    </row>
    <row r="19" spans="1:29" x14ac:dyDescent="0.55000000000000004">
      <c r="A19" s="2" t="s">
        <v>34</v>
      </c>
      <c r="B19" s="3" t="s">
        <v>0</v>
      </c>
      <c r="C19" s="7">
        <v>1335976</v>
      </c>
      <c r="D19" s="7">
        <v>0</v>
      </c>
      <c r="E19" s="7">
        <v>193850</v>
      </c>
      <c r="F19" s="7">
        <v>0</v>
      </c>
      <c r="G19" s="7">
        <v>67700</v>
      </c>
      <c r="H19" s="7">
        <v>30480</v>
      </c>
      <c r="I19" s="7">
        <v>32400</v>
      </c>
      <c r="J19" s="7">
        <v>9724</v>
      </c>
      <c r="K19" s="7">
        <v>13000</v>
      </c>
      <c r="L19" s="7">
        <v>0</v>
      </c>
      <c r="M19" s="7">
        <v>329160</v>
      </c>
      <c r="N19" s="7">
        <v>54302</v>
      </c>
      <c r="O19" s="7">
        <v>184740</v>
      </c>
      <c r="P19" s="7">
        <v>13420</v>
      </c>
      <c r="Q19" s="7">
        <v>38500</v>
      </c>
      <c r="R19" s="7">
        <v>24900</v>
      </c>
      <c r="S19" s="7">
        <v>0</v>
      </c>
      <c r="T19" s="7">
        <v>0</v>
      </c>
      <c r="U19" s="7">
        <v>78230</v>
      </c>
      <c r="V19" s="7">
        <v>0</v>
      </c>
      <c r="W19" s="7">
        <v>72000</v>
      </c>
      <c r="X19" s="7">
        <v>48250</v>
      </c>
      <c r="Y19" s="7">
        <v>0</v>
      </c>
      <c r="Z19" s="7">
        <v>140788</v>
      </c>
      <c r="AA19" s="7">
        <v>4532</v>
      </c>
      <c r="AB19" s="7">
        <v>0</v>
      </c>
      <c r="AC19" s="7">
        <v>0</v>
      </c>
    </row>
    <row r="20" spans="1:29" x14ac:dyDescent="0.55000000000000004">
      <c r="A20" s="2" t="s">
        <v>35</v>
      </c>
      <c r="B20" s="3" t="s">
        <v>0</v>
      </c>
      <c r="C20" s="7">
        <v>946901.5</v>
      </c>
      <c r="D20" s="7">
        <v>0</v>
      </c>
      <c r="E20" s="7">
        <v>172035</v>
      </c>
      <c r="F20" s="7">
        <v>25577</v>
      </c>
      <c r="G20" s="7">
        <v>12000</v>
      </c>
      <c r="H20" s="7">
        <v>3550</v>
      </c>
      <c r="I20" s="7">
        <v>5582</v>
      </c>
      <c r="J20" s="7">
        <v>10225</v>
      </c>
      <c r="K20" s="7">
        <v>0</v>
      </c>
      <c r="L20" s="7">
        <v>0</v>
      </c>
      <c r="M20" s="7">
        <v>37322</v>
      </c>
      <c r="N20" s="7">
        <v>25184.5</v>
      </c>
      <c r="O20" s="7">
        <v>25938</v>
      </c>
      <c r="P20" s="7">
        <v>102892</v>
      </c>
      <c r="Q20" s="7">
        <v>6624</v>
      </c>
      <c r="R20" s="7">
        <v>0</v>
      </c>
      <c r="S20" s="7">
        <v>0</v>
      </c>
      <c r="T20" s="7">
        <v>27000</v>
      </c>
      <c r="U20" s="7">
        <v>112750</v>
      </c>
      <c r="V20" s="7">
        <v>0</v>
      </c>
      <c r="W20" s="7">
        <v>32292</v>
      </c>
      <c r="X20" s="7">
        <v>35630</v>
      </c>
      <c r="Y20" s="7">
        <v>188821</v>
      </c>
      <c r="Z20" s="7">
        <v>10502</v>
      </c>
      <c r="AA20" s="7">
        <v>78268</v>
      </c>
      <c r="AB20" s="7">
        <v>23394</v>
      </c>
      <c r="AC20" s="7">
        <v>11315</v>
      </c>
    </row>
    <row r="21" spans="1:29" x14ac:dyDescent="0.55000000000000004">
      <c r="A21" s="2" t="s">
        <v>36</v>
      </c>
      <c r="B21" s="3" t="s">
        <v>0</v>
      </c>
      <c r="C21" s="7">
        <v>150000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150000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</row>
    <row r="22" spans="1:29" x14ac:dyDescent="0.55000000000000004">
      <c r="A22" s="2"/>
      <c r="B22" s="3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8"/>
      <c r="Z22" s="8"/>
      <c r="AA22" s="8"/>
      <c r="AB22" s="8"/>
      <c r="AC22" s="8"/>
    </row>
    <row r="23" spans="1:29" x14ac:dyDescent="0.55000000000000004">
      <c r="A23" s="1" t="s">
        <v>38</v>
      </c>
      <c r="B23" s="2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</row>
    <row r="24" spans="1:29" x14ac:dyDescent="0.55000000000000004">
      <c r="A24" s="1" t="s">
        <v>28</v>
      </c>
      <c r="B24" s="1" t="s">
        <v>40</v>
      </c>
      <c r="C24" s="6" t="s">
        <v>1</v>
      </c>
      <c r="D24" s="6" t="s">
        <v>2</v>
      </c>
      <c r="E24" s="6" t="s">
        <v>3</v>
      </c>
      <c r="F24" s="6" t="s">
        <v>4</v>
      </c>
      <c r="G24" s="6" t="s">
        <v>5</v>
      </c>
      <c r="H24" s="6" t="s">
        <v>6</v>
      </c>
      <c r="I24" s="6" t="s">
        <v>7</v>
      </c>
      <c r="J24" s="6" t="s">
        <v>8</v>
      </c>
      <c r="K24" s="6" t="s">
        <v>9</v>
      </c>
      <c r="L24" s="6" t="s">
        <v>10</v>
      </c>
      <c r="M24" s="6" t="s">
        <v>11</v>
      </c>
      <c r="N24" s="6" t="s">
        <v>12</v>
      </c>
      <c r="O24" s="6" t="s">
        <v>13</v>
      </c>
      <c r="P24" s="6" t="s">
        <v>14</v>
      </c>
      <c r="Q24" s="6" t="s">
        <v>15</v>
      </c>
      <c r="R24" s="6" t="s">
        <v>16</v>
      </c>
      <c r="S24" s="6" t="s">
        <v>17</v>
      </c>
      <c r="T24" s="6" t="s">
        <v>18</v>
      </c>
      <c r="U24" s="6" t="s">
        <v>19</v>
      </c>
      <c r="V24" s="6" t="s">
        <v>20</v>
      </c>
      <c r="W24" s="6" t="s">
        <v>21</v>
      </c>
      <c r="X24" s="6" t="s">
        <v>22</v>
      </c>
      <c r="Y24" s="6" t="s">
        <v>23</v>
      </c>
      <c r="Z24" s="6" t="s">
        <v>24</v>
      </c>
      <c r="AA24" s="6" t="s">
        <v>25</v>
      </c>
      <c r="AB24" s="6" t="s">
        <v>26</v>
      </c>
      <c r="AC24" s="6" t="s">
        <v>27</v>
      </c>
    </row>
    <row r="25" spans="1:29" x14ac:dyDescent="0.55000000000000004">
      <c r="A25" s="2" t="s">
        <v>29</v>
      </c>
      <c r="B25" s="3" t="s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</row>
    <row r="26" spans="1:29" x14ac:dyDescent="0.55000000000000004">
      <c r="A26" s="2" t="s">
        <v>30</v>
      </c>
      <c r="B26" s="3" t="s">
        <v>0</v>
      </c>
      <c r="C26" s="7">
        <v>108856</v>
      </c>
      <c r="D26" s="7">
        <v>0</v>
      </c>
      <c r="E26" s="7">
        <v>16150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11328</v>
      </c>
      <c r="N26" s="7">
        <v>7310</v>
      </c>
      <c r="O26" s="7">
        <v>0</v>
      </c>
      <c r="P26" s="7">
        <v>5518</v>
      </c>
      <c r="Q26" s="7">
        <v>0</v>
      </c>
      <c r="R26" s="7">
        <v>4000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64550</v>
      </c>
    </row>
    <row r="27" spans="1:29" x14ac:dyDescent="0.55000000000000004">
      <c r="A27" s="2" t="s">
        <v>31</v>
      </c>
      <c r="B27" s="3" t="s">
        <v>0</v>
      </c>
      <c r="C27" s="7">
        <v>197220</v>
      </c>
      <c r="D27" s="7">
        <v>0</v>
      </c>
      <c r="E27" s="7">
        <v>73980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37600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17640</v>
      </c>
      <c r="U27" s="7">
        <v>0</v>
      </c>
      <c r="V27" s="7">
        <v>0</v>
      </c>
      <c r="W27" s="7">
        <v>49000</v>
      </c>
      <c r="X27" s="7">
        <v>0</v>
      </c>
      <c r="Y27" s="7">
        <v>0</v>
      </c>
      <c r="Z27" s="7">
        <v>19000</v>
      </c>
      <c r="AA27" s="7">
        <v>0</v>
      </c>
      <c r="AB27" s="7">
        <v>0</v>
      </c>
      <c r="AC27" s="7">
        <v>0</v>
      </c>
    </row>
    <row r="28" spans="1:29" x14ac:dyDescent="0.55000000000000004">
      <c r="A28" s="2" t="s">
        <v>32</v>
      </c>
      <c r="B28" s="3" t="s">
        <v>0</v>
      </c>
      <c r="C28" s="7">
        <v>146668</v>
      </c>
      <c r="D28" s="7">
        <v>0</v>
      </c>
      <c r="E28" s="7">
        <v>26000</v>
      </c>
      <c r="F28" s="7">
        <v>0</v>
      </c>
      <c r="G28" s="7">
        <v>0</v>
      </c>
      <c r="H28" s="7">
        <v>0</v>
      </c>
      <c r="I28" s="7">
        <v>0</v>
      </c>
      <c r="J28" s="7">
        <v>3840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2800</v>
      </c>
      <c r="U28" s="7">
        <v>0</v>
      </c>
      <c r="V28" s="7">
        <v>0</v>
      </c>
      <c r="W28" s="7">
        <v>20323</v>
      </c>
      <c r="X28" s="7">
        <v>4680</v>
      </c>
      <c r="Y28" s="7">
        <v>0</v>
      </c>
      <c r="Z28" s="7">
        <v>89025</v>
      </c>
      <c r="AA28" s="7">
        <v>0</v>
      </c>
      <c r="AB28" s="7">
        <v>0</v>
      </c>
      <c r="AC28" s="7">
        <v>0</v>
      </c>
    </row>
    <row r="29" spans="1:29" x14ac:dyDescent="0.55000000000000004">
      <c r="A29" s="2" t="s">
        <v>33</v>
      </c>
      <c r="B29" s="3" t="s">
        <v>0</v>
      </c>
      <c r="C29" s="7">
        <v>220463</v>
      </c>
      <c r="D29" s="7">
        <v>0</v>
      </c>
      <c r="E29" s="7">
        <v>44100</v>
      </c>
      <c r="F29" s="7">
        <v>0</v>
      </c>
      <c r="G29" s="7">
        <v>22320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11938</v>
      </c>
      <c r="N29" s="7">
        <v>0</v>
      </c>
      <c r="O29" s="7">
        <v>0</v>
      </c>
      <c r="P29" s="7">
        <v>7760</v>
      </c>
      <c r="Q29" s="7">
        <v>0</v>
      </c>
      <c r="R29" s="7">
        <v>0</v>
      </c>
      <c r="S29" s="7">
        <v>0</v>
      </c>
      <c r="T29" s="7">
        <v>0</v>
      </c>
      <c r="U29" s="7">
        <v>77761</v>
      </c>
      <c r="V29" s="7">
        <v>0</v>
      </c>
      <c r="W29" s="7">
        <v>40800</v>
      </c>
      <c r="X29" s="7">
        <v>0</v>
      </c>
      <c r="Y29" s="7">
        <v>0</v>
      </c>
      <c r="Z29" s="7">
        <v>15784</v>
      </c>
      <c r="AA29" s="7">
        <v>0</v>
      </c>
      <c r="AB29" s="7">
        <v>0</v>
      </c>
      <c r="AC29" s="7">
        <v>0</v>
      </c>
    </row>
    <row r="30" spans="1:29" x14ac:dyDescent="0.55000000000000004">
      <c r="A30" s="2" t="s">
        <v>34</v>
      </c>
      <c r="B30" s="3" t="s">
        <v>0</v>
      </c>
      <c r="C30" s="7">
        <v>604217</v>
      </c>
      <c r="D30" s="7">
        <v>0</v>
      </c>
      <c r="E30" s="7">
        <v>119980</v>
      </c>
      <c r="F30" s="7">
        <v>0</v>
      </c>
      <c r="G30" s="7">
        <v>26000</v>
      </c>
      <c r="H30" s="7">
        <v>5400</v>
      </c>
      <c r="I30" s="7">
        <v>5000</v>
      </c>
      <c r="J30" s="7">
        <v>0</v>
      </c>
      <c r="K30" s="7">
        <v>10500</v>
      </c>
      <c r="L30" s="7">
        <v>0</v>
      </c>
      <c r="M30" s="7">
        <v>145469</v>
      </c>
      <c r="N30" s="7">
        <v>27670</v>
      </c>
      <c r="O30" s="7">
        <v>19600</v>
      </c>
      <c r="P30" s="7">
        <v>5802</v>
      </c>
      <c r="Q30" s="7">
        <v>6000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159746</v>
      </c>
      <c r="X30" s="7">
        <v>10500</v>
      </c>
      <c r="Y30" s="7">
        <v>0</v>
      </c>
      <c r="Z30" s="7">
        <v>52060</v>
      </c>
      <c r="AA30" s="7">
        <v>10490</v>
      </c>
      <c r="AB30" s="7">
        <v>0</v>
      </c>
      <c r="AC30" s="7">
        <v>0</v>
      </c>
    </row>
    <row r="31" spans="1:29" x14ac:dyDescent="0.55000000000000004">
      <c r="A31" s="2" t="s">
        <v>35</v>
      </c>
      <c r="B31" s="3" t="s">
        <v>0</v>
      </c>
      <c r="C31" s="7">
        <v>51356</v>
      </c>
      <c r="D31" s="7">
        <v>0</v>
      </c>
      <c r="E31" s="7">
        <v>18400</v>
      </c>
      <c r="F31" s="7">
        <v>0</v>
      </c>
      <c r="G31" s="7">
        <v>0</v>
      </c>
      <c r="H31" s="7">
        <v>0</v>
      </c>
      <c r="I31" s="7">
        <v>0</v>
      </c>
      <c r="J31" s="7">
        <v>9750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3000</v>
      </c>
      <c r="U31" s="7">
        <v>3278</v>
      </c>
      <c r="V31" s="7">
        <v>0</v>
      </c>
      <c r="W31" s="7">
        <v>6528</v>
      </c>
      <c r="X31" s="7">
        <v>0</v>
      </c>
      <c r="Y31" s="7">
        <v>10400</v>
      </c>
      <c r="Z31" s="7">
        <v>0</v>
      </c>
      <c r="AA31" s="7">
        <v>0</v>
      </c>
      <c r="AB31" s="7">
        <v>0</v>
      </c>
      <c r="AC31" s="7">
        <v>0</v>
      </c>
    </row>
    <row r="32" spans="1:29" x14ac:dyDescent="0.55000000000000004">
      <c r="A32" s="2" t="s">
        <v>36</v>
      </c>
      <c r="B32" s="3" t="s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</row>
    <row r="34" spans="1:29" x14ac:dyDescent="0.55000000000000004">
      <c r="A34" s="1" t="s">
        <v>37</v>
      </c>
      <c r="B34" s="1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spans="1:29" x14ac:dyDescent="0.55000000000000004">
      <c r="A35" s="1" t="s">
        <v>28</v>
      </c>
      <c r="B35" s="1" t="s">
        <v>41</v>
      </c>
      <c r="D35" s="4" t="s">
        <v>20</v>
      </c>
      <c r="E35" s="4" t="s">
        <v>17</v>
      </c>
      <c r="F35" s="4" t="s">
        <v>16</v>
      </c>
      <c r="G35" s="4" t="s">
        <v>3</v>
      </c>
      <c r="H35" s="4" t="s">
        <v>14</v>
      </c>
      <c r="I35" s="4" t="s">
        <v>13</v>
      </c>
      <c r="J35" s="4" t="s">
        <v>11</v>
      </c>
      <c r="K35" s="4" t="s">
        <v>26</v>
      </c>
      <c r="L35" s="4" t="s">
        <v>9</v>
      </c>
      <c r="M35" s="4" t="s">
        <v>19</v>
      </c>
      <c r="N35" s="4" t="s">
        <v>27</v>
      </c>
      <c r="O35" s="4" t="s">
        <v>4</v>
      </c>
      <c r="P35" s="4" t="s">
        <v>25</v>
      </c>
      <c r="Q35" s="4" t="s">
        <v>8</v>
      </c>
      <c r="R35" s="4" t="s">
        <v>7</v>
      </c>
      <c r="S35" s="4" t="s">
        <v>18</v>
      </c>
      <c r="T35" s="4" t="s">
        <v>15</v>
      </c>
      <c r="U35" s="4" t="s">
        <v>12</v>
      </c>
      <c r="V35" s="4" t="s">
        <v>6</v>
      </c>
      <c r="W35" s="4" t="s">
        <v>21</v>
      </c>
      <c r="X35" s="4" t="s">
        <v>22</v>
      </c>
      <c r="Y35" s="4" t="s">
        <v>5</v>
      </c>
      <c r="Z35" s="4" t="s">
        <v>23</v>
      </c>
      <c r="AA35" s="4" t="s">
        <v>24</v>
      </c>
      <c r="AB35" s="4" t="s">
        <v>10</v>
      </c>
      <c r="AC35" s="4" t="s">
        <v>2</v>
      </c>
    </row>
    <row r="36" spans="1:29" x14ac:dyDescent="0.55000000000000004">
      <c r="A36" s="2" t="s">
        <v>29</v>
      </c>
      <c r="B36">
        <v>2</v>
      </c>
      <c r="D36" s="7">
        <f>HLOOKUP(D$35,$D$2:$AC$10,$B36,FALSE)</f>
        <v>0</v>
      </c>
      <c r="E36" s="7">
        <f t="shared" ref="E36:AC43" si="0">HLOOKUP(E$35,$D$2:$AC$10,$B36,FALSE)</f>
        <v>12000</v>
      </c>
      <c r="F36" s="7">
        <f t="shared" si="0"/>
        <v>5000</v>
      </c>
      <c r="G36" s="7">
        <f t="shared" si="0"/>
        <v>0</v>
      </c>
      <c r="H36" s="7">
        <f t="shared" si="0"/>
        <v>18000</v>
      </c>
      <c r="I36" s="7">
        <f t="shared" si="0"/>
        <v>0</v>
      </c>
      <c r="J36" s="7">
        <f t="shared" si="0"/>
        <v>24000</v>
      </c>
      <c r="K36" s="7">
        <f t="shared" si="0"/>
        <v>3000</v>
      </c>
      <c r="L36" s="7">
        <f t="shared" si="0"/>
        <v>20000</v>
      </c>
      <c r="M36" s="7">
        <f t="shared" si="0"/>
        <v>40000</v>
      </c>
      <c r="N36" s="7">
        <f t="shared" si="0"/>
        <v>36000</v>
      </c>
      <c r="O36" s="7">
        <f t="shared" si="0"/>
        <v>0</v>
      </c>
      <c r="P36" s="7">
        <f t="shared" si="0"/>
        <v>0</v>
      </c>
      <c r="Q36" s="7">
        <f t="shared" si="0"/>
        <v>0</v>
      </c>
      <c r="R36" s="7">
        <f t="shared" si="0"/>
        <v>0</v>
      </c>
      <c r="S36" s="7">
        <f t="shared" si="0"/>
        <v>0</v>
      </c>
      <c r="T36" s="7">
        <f t="shared" si="0"/>
        <v>0</v>
      </c>
      <c r="U36" s="7">
        <f t="shared" si="0"/>
        <v>15000</v>
      </c>
      <c r="V36" s="7">
        <f t="shared" si="0"/>
        <v>0</v>
      </c>
      <c r="W36" s="7">
        <f t="shared" si="0"/>
        <v>0</v>
      </c>
      <c r="X36" s="7">
        <f t="shared" si="0"/>
        <v>0</v>
      </c>
      <c r="Y36" s="7">
        <f t="shared" si="0"/>
        <v>4000</v>
      </c>
      <c r="Z36" s="7">
        <f t="shared" si="0"/>
        <v>87900</v>
      </c>
      <c r="AA36" s="7">
        <f t="shared" si="0"/>
        <v>0</v>
      </c>
      <c r="AB36" s="7">
        <f t="shared" si="0"/>
        <v>0</v>
      </c>
      <c r="AC36" s="7">
        <f t="shared" si="0"/>
        <v>0</v>
      </c>
    </row>
    <row r="37" spans="1:29" x14ac:dyDescent="0.55000000000000004">
      <c r="A37" s="2" t="s">
        <v>30</v>
      </c>
      <c r="B37">
        <v>3</v>
      </c>
      <c r="D37" s="7">
        <f t="shared" ref="D37:D42" si="1">HLOOKUP(D$35,$D$2:$AC$10,$B37,FALSE)</f>
        <v>0</v>
      </c>
      <c r="E37" s="7">
        <f t="shared" si="0"/>
        <v>0</v>
      </c>
      <c r="F37" s="7">
        <f t="shared" si="0"/>
        <v>15102</v>
      </c>
      <c r="G37" s="7">
        <f t="shared" si="0"/>
        <v>216000</v>
      </c>
      <c r="H37" s="7">
        <f t="shared" si="0"/>
        <v>30977</v>
      </c>
      <c r="I37" s="7">
        <f t="shared" si="0"/>
        <v>50300</v>
      </c>
      <c r="J37" s="7">
        <f t="shared" si="0"/>
        <v>29604.5</v>
      </c>
      <c r="K37" s="7">
        <f t="shared" si="0"/>
        <v>0</v>
      </c>
      <c r="L37" s="7">
        <f t="shared" si="0"/>
        <v>7400</v>
      </c>
      <c r="M37" s="7">
        <f t="shared" si="0"/>
        <v>45000</v>
      </c>
      <c r="N37" s="7">
        <f t="shared" si="0"/>
        <v>120050</v>
      </c>
      <c r="O37" s="7">
        <f t="shared" si="0"/>
        <v>0</v>
      </c>
      <c r="P37" s="7">
        <f t="shared" si="0"/>
        <v>74102</v>
      </c>
      <c r="Q37" s="7">
        <f t="shared" si="0"/>
        <v>0</v>
      </c>
      <c r="R37" s="7">
        <f t="shared" si="0"/>
        <v>5000</v>
      </c>
      <c r="S37" s="7">
        <f t="shared" si="0"/>
        <v>0</v>
      </c>
      <c r="T37" s="7">
        <f t="shared" si="0"/>
        <v>53000</v>
      </c>
      <c r="U37" s="7">
        <f t="shared" si="0"/>
        <v>95533</v>
      </c>
      <c r="V37" s="7">
        <f t="shared" si="0"/>
        <v>5950</v>
      </c>
      <c r="W37" s="7">
        <f t="shared" si="0"/>
        <v>92000</v>
      </c>
      <c r="X37" s="7">
        <f t="shared" si="0"/>
        <v>0</v>
      </c>
      <c r="Y37" s="7">
        <f t="shared" si="0"/>
        <v>18000</v>
      </c>
      <c r="Z37" s="7">
        <f t="shared" si="0"/>
        <v>313500</v>
      </c>
      <c r="AA37" s="7">
        <f t="shared" si="0"/>
        <v>0</v>
      </c>
      <c r="AB37" s="7">
        <f t="shared" si="0"/>
        <v>0</v>
      </c>
      <c r="AC37" s="7">
        <f t="shared" si="0"/>
        <v>0</v>
      </c>
    </row>
    <row r="38" spans="1:29" x14ac:dyDescent="0.55000000000000004">
      <c r="A38" s="2" t="s">
        <v>31</v>
      </c>
      <c r="B38">
        <v>4</v>
      </c>
      <c r="D38" s="7">
        <f t="shared" si="1"/>
        <v>0</v>
      </c>
      <c r="E38" s="7">
        <f t="shared" si="0"/>
        <v>0</v>
      </c>
      <c r="F38" s="7">
        <f t="shared" si="0"/>
        <v>0</v>
      </c>
      <c r="G38" s="7">
        <f t="shared" si="0"/>
        <v>0</v>
      </c>
      <c r="H38" s="7">
        <f t="shared" si="0"/>
        <v>0</v>
      </c>
      <c r="I38" s="7">
        <f t="shared" si="0"/>
        <v>0</v>
      </c>
      <c r="J38" s="7">
        <f t="shared" si="0"/>
        <v>0</v>
      </c>
      <c r="K38" s="7">
        <f t="shared" si="0"/>
        <v>0</v>
      </c>
      <c r="L38" s="7">
        <f t="shared" si="0"/>
        <v>0</v>
      </c>
      <c r="M38" s="7">
        <f t="shared" si="0"/>
        <v>0</v>
      </c>
      <c r="N38" s="7">
        <f t="shared" si="0"/>
        <v>0</v>
      </c>
      <c r="O38" s="7">
        <f t="shared" si="0"/>
        <v>0</v>
      </c>
      <c r="P38" s="7">
        <f t="shared" si="0"/>
        <v>0</v>
      </c>
      <c r="Q38" s="7">
        <f t="shared" si="0"/>
        <v>0</v>
      </c>
      <c r="R38" s="7">
        <f t="shared" si="0"/>
        <v>0</v>
      </c>
      <c r="S38" s="7">
        <f t="shared" si="0"/>
        <v>0</v>
      </c>
      <c r="T38" s="7">
        <f t="shared" si="0"/>
        <v>0</v>
      </c>
      <c r="U38" s="7">
        <f t="shared" si="0"/>
        <v>34420</v>
      </c>
      <c r="V38" s="7">
        <f t="shared" si="0"/>
        <v>0</v>
      </c>
      <c r="W38" s="7">
        <f t="shared" si="0"/>
        <v>0</v>
      </c>
      <c r="X38" s="7">
        <f t="shared" si="0"/>
        <v>0</v>
      </c>
      <c r="Y38" s="7">
        <f t="shared" si="0"/>
        <v>0</v>
      </c>
      <c r="Z38" s="7">
        <f t="shared" si="0"/>
        <v>0</v>
      </c>
      <c r="AA38" s="7">
        <f t="shared" si="0"/>
        <v>0</v>
      </c>
      <c r="AB38" s="7">
        <f t="shared" si="0"/>
        <v>0</v>
      </c>
      <c r="AC38" s="7">
        <f t="shared" si="0"/>
        <v>0</v>
      </c>
    </row>
    <row r="39" spans="1:29" x14ac:dyDescent="0.55000000000000004">
      <c r="A39" s="2" t="s">
        <v>32</v>
      </c>
      <c r="B39">
        <v>5</v>
      </c>
      <c r="D39" s="7">
        <f t="shared" si="1"/>
        <v>0</v>
      </c>
      <c r="E39" s="7">
        <f t="shared" si="0"/>
        <v>8788</v>
      </c>
      <c r="F39" s="7">
        <f t="shared" si="0"/>
        <v>18550</v>
      </c>
      <c r="G39" s="7">
        <f t="shared" si="0"/>
        <v>1158100</v>
      </c>
      <c r="H39" s="7">
        <f t="shared" si="0"/>
        <v>114548</v>
      </c>
      <c r="I39" s="7">
        <f t="shared" si="0"/>
        <v>75838</v>
      </c>
      <c r="J39" s="7">
        <f t="shared" si="0"/>
        <v>777093.5</v>
      </c>
      <c r="K39" s="7">
        <f t="shared" si="0"/>
        <v>539028</v>
      </c>
      <c r="L39" s="7">
        <f t="shared" si="0"/>
        <v>100623</v>
      </c>
      <c r="M39" s="7">
        <f t="shared" si="0"/>
        <v>189304</v>
      </c>
      <c r="N39" s="7">
        <f t="shared" si="0"/>
        <v>51526</v>
      </c>
      <c r="O39" s="7">
        <f t="shared" si="0"/>
        <v>0</v>
      </c>
      <c r="P39" s="7">
        <f t="shared" si="0"/>
        <v>12230</v>
      </c>
      <c r="Q39" s="7">
        <f t="shared" si="0"/>
        <v>28358</v>
      </c>
      <c r="R39" s="7">
        <f t="shared" si="0"/>
        <v>18000</v>
      </c>
      <c r="S39" s="7">
        <f t="shared" si="0"/>
        <v>706140</v>
      </c>
      <c r="T39" s="7">
        <f t="shared" si="0"/>
        <v>45000</v>
      </c>
      <c r="U39" s="7">
        <f t="shared" si="0"/>
        <v>75072.800000000003</v>
      </c>
      <c r="V39" s="7">
        <f t="shared" si="0"/>
        <v>32966</v>
      </c>
      <c r="W39" s="7">
        <f t="shared" si="0"/>
        <v>525000</v>
      </c>
      <c r="X39" s="7">
        <f t="shared" si="0"/>
        <v>109923</v>
      </c>
      <c r="Y39" s="7">
        <f t="shared" si="0"/>
        <v>38000</v>
      </c>
      <c r="Z39" s="7">
        <f t="shared" si="0"/>
        <v>740000</v>
      </c>
      <c r="AA39" s="7">
        <f t="shared" si="0"/>
        <v>1048832</v>
      </c>
      <c r="AB39" s="7">
        <f t="shared" si="0"/>
        <v>0</v>
      </c>
      <c r="AC39" s="7">
        <f t="shared" si="0"/>
        <v>0</v>
      </c>
    </row>
    <row r="40" spans="1:29" x14ac:dyDescent="0.55000000000000004">
      <c r="A40" s="2" t="s">
        <v>33</v>
      </c>
      <c r="B40">
        <v>6</v>
      </c>
      <c r="D40" s="7">
        <f t="shared" si="1"/>
        <v>0</v>
      </c>
      <c r="E40" s="7">
        <f t="shared" si="0"/>
        <v>13140</v>
      </c>
      <c r="F40" s="7">
        <f t="shared" si="0"/>
        <v>52140</v>
      </c>
      <c r="G40" s="7">
        <f t="shared" si="0"/>
        <v>546200</v>
      </c>
      <c r="H40" s="7">
        <f t="shared" si="0"/>
        <v>58450</v>
      </c>
      <c r="I40" s="7">
        <f t="shared" si="0"/>
        <v>53962</v>
      </c>
      <c r="J40" s="7">
        <f t="shared" si="0"/>
        <v>519761</v>
      </c>
      <c r="K40" s="7">
        <f t="shared" si="0"/>
        <v>24640</v>
      </c>
      <c r="L40" s="7">
        <f t="shared" si="0"/>
        <v>0</v>
      </c>
      <c r="M40" s="7">
        <f t="shared" si="0"/>
        <v>304505</v>
      </c>
      <c r="N40" s="7">
        <f t="shared" si="0"/>
        <v>0</v>
      </c>
      <c r="O40" s="7">
        <f t="shared" si="0"/>
        <v>0</v>
      </c>
      <c r="P40" s="7">
        <f t="shared" si="0"/>
        <v>3795</v>
      </c>
      <c r="Q40" s="7">
        <f t="shared" si="0"/>
        <v>11190</v>
      </c>
      <c r="R40" s="7">
        <f t="shared" si="0"/>
        <v>6000</v>
      </c>
      <c r="S40" s="7">
        <f t="shared" si="0"/>
        <v>596119</v>
      </c>
      <c r="T40" s="7">
        <f t="shared" si="0"/>
        <v>8000</v>
      </c>
      <c r="U40" s="7">
        <f t="shared" si="0"/>
        <v>82165.2</v>
      </c>
      <c r="V40" s="7">
        <f t="shared" si="0"/>
        <v>3660</v>
      </c>
      <c r="W40" s="7">
        <f t="shared" si="0"/>
        <v>507510</v>
      </c>
      <c r="X40" s="7">
        <f t="shared" si="0"/>
        <v>22103</v>
      </c>
      <c r="Y40" s="7">
        <f t="shared" si="0"/>
        <v>50000</v>
      </c>
      <c r="Z40" s="7">
        <f t="shared" si="0"/>
        <v>623270</v>
      </c>
      <c r="AA40" s="7">
        <f t="shared" si="0"/>
        <v>116291</v>
      </c>
      <c r="AB40" s="7">
        <f t="shared" si="0"/>
        <v>0</v>
      </c>
      <c r="AC40" s="7">
        <f t="shared" si="0"/>
        <v>0</v>
      </c>
    </row>
    <row r="41" spans="1:29" x14ac:dyDescent="0.55000000000000004">
      <c r="A41" s="2" t="s">
        <v>34</v>
      </c>
      <c r="B41">
        <v>7</v>
      </c>
      <c r="D41" s="7">
        <f t="shared" si="1"/>
        <v>0</v>
      </c>
      <c r="E41" s="7">
        <f t="shared" si="0"/>
        <v>0</v>
      </c>
      <c r="F41" s="7">
        <f t="shared" si="0"/>
        <v>7000</v>
      </c>
      <c r="G41" s="7">
        <f t="shared" si="0"/>
        <v>260500</v>
      </c>
      <c r="H41" s="7">
        <f t="shared" si="0"/>
        <v>54050</v>
      </c>
      <c r="I41" s="7">
        <f t="shared" si="0"/>
        <v>110750</v>
      </c>
      <c r="J41" s="7">
        <f t="shared" si="0"/>
        <v>95652.5</v>
      </c>
      <c r="K41" s="7">
        <f t="shared" si="0"/>
        <v>0</v>
      </c>
      <c r="L41" s="7">
        <f t="shared" si="0"/>
        <v>61614</v>
      </c>
      <c r="M41" s="7">
        <f t="shared" si="0"/>
        <v>20000</v>
      </c>
      <c r="N41" s="7">
        <f t="shared" si="0"/>
        <v>0</v>
      </c>
      <c r="O41" s="7">
        <f t="shared" si="0"/>
        <v>0</v>
      </c>
      <c r="P41" s="7">
        <f t="shared" si="0"/>
        <v>12701</v>
      </c>
      <c r="Q41" s="7">
        <f t="shared" si="0"/>
        <v>0</v>
      </c>
      <c r="R41" s="7">
        <f t="shared" si="0"/>
        <v>35000</v>
      </c>
      <c r="S41" s="7">
        <f t="shared" si="0"/>
        <v>0</v>
      </c>
      <c r="T41" s="7">
        <f t="shared" si="0"/>
        <v>49351</v>
      </c>
      <c r="U41" s="7">
        <f t="shared" si="0"/>
        <v>79610</v>
      </c>
      <c r="V41" s="7">
        <f t="shared" si="0"/>
        <v>45581</v>
      </c>
      <c r="W41" s="7">
        <f t="shared" si="0"/>
        <v>145000</v>
      </c>
      <c r="X41" s="7">
        <f t="shared" si="0"/>
        <v>398100</v>
      </c>
      <c r="Y41" s="7">
        <f t="shared" si="0"/>
        <v>24000</v>
      </c>
      <c r="Z41" s="7">
        <f t="shared" si="0"/>
        <v>0</v>
      </c>
      <c r="AA41" s="7">
        <f t="shared" si="0"/>
        <v>38281</v>
      </c>
      <c r="AB41" s="7">
        <f t="shared" si="0"/>
        <v>0</v>
      </c>
      <c r="AC41" s="7">
        <f t="shared" si="0"/>
        <v>0</v>
      </c>
    </row>
    <row r="42" spans="1:29" x14ac:dyDescent="0.55000000000000004">
      <c r="A42" s="2" t="s">
        <v>35</v>
      </c>
      <c r="B42">
        <v>8</v>
      </c>
      <c r="D42" s="7">
        <f t="shared" si="1"/>
        <v>0</v>
      </c>
      <c r="E42" s="7">
        <f t="shared" si="0"/>
        <v>14752</v>
      </c>
      <c r="F42" s="7">
        <f t="shared" si="0"/>
        <v>12576</v>
      </c>
      <c r="G42" s="7">
        <f t="shared" si="0"/>
        <v>162770</v>
      </c>
      <c r="H42" s="7">
        <f t="shared" si="0"/>
        <v>88098</v>
      </c>
      <c r="I42" s="7">
        <f t="shared" si="0"/>
        <v>85147</v>
      </c>
      <c r="J42" s="7">
        <f t="shared" si="0"/>
        <v>90222</v>
      </c>
      <c r="K42" s="7">
        <f t="shared" si="0"/>
        <v>41877</v>
      </c>
      <c r="L42" s="7">
        <f t="shared" si="0"/>
        <v>12758</v>
      </c>
      <c r="M42" s="7">
        <f t="shared" si="0"/>
        <v>76601</v>
      </c>
      <c r="N42" s="7">
        <f t="shared" si="0"/>
        <v>49498</v>
      </c>
      <c r="O42" s="7">
        <f t="shared" si="0"/>
        <v>19680</v>
      </c>
      <c r="P42" s="7">
        <f t="shared" si="0"/>
        <v>55296</v>
      </c>
      <c r="Q42" s="7">
        <f t="shared" si="0"/>
        <v>4689</v>
      </c>
      <c r="R42" s="7">
        <f t="shared" si="0"/>
        <v>3145</v>
      </c>
      <c r="S42" s="7">
        <f t="shared" si="0"/>
        <v>199000</v>
      </c>
      <c r="T42" s="7">
        <f t="shared" si="0"/>
        <v>0</v>
      </c>
      <c r="U42" s="7">
        <f t="shared" si="0"/>
        <v>59480.5</v>
      </c>
      <c r="V42" s="7">
        <f t="shared" si="0"/>
        <v>23361</v>
      </c>
      <c r="W42" s="7">
        <f t="shared" si="0"/>
        <v>75690</v>
      </c>
      <c r="X42" s="7">
        <f t="shared" si="0"/>
        <v>95050</v>
      </c>
      <c r="Y42" s="7">
        <f t="shared" si="0"/>
        <v>4000</v>
      </c>
      <c r="Z42" s="7">
        <f t="shared" si="0"/>
        <v>445320.4</v>
      </c>
      <c r="AA42" s="7">
        <f t="shared" si="0"/>
        <v>11294</v>
      </c>
      <c r="AB42" s="7">
        <f t="shared" si="0"/>
        <v>0</v>
      </c>
      <c r="AC42" s="7">
        <f t="shared" si="0"/>
        <v>0</v>
      </c>
    </row>
    <row r="43" spans="1:29" x14ac:dyDescent="0.55000000000000004">
      <c r="A43" s="2" t="s">
        <v>36</v>
      </c>
      <c r="B43">
        <v>9</v>
      </c>
      <c r="D43" s="7">
        <f>HLOOKUP(D$35,$D$2:$AC$10,$B43,FALSE)</f>
        <v>0</v>
      </c>
      <c r="E43" s="7">
        <f t="shared" si="0"/>
        <v>0</v>
      </c>
      <c r="F43" s="7">
        <f t="shared" si="0"/>
        <v>0</v>
      </c>
      <c r="G43" s="7">
        <f t="shared" si="0"/>
        <v>2000</v>
      </c>
      <c r="H43" s="7">
        <f t="shared" si="0"/>
        <v>0</v>
      </c>
      <c r="I43" s="7">
        <f t="shared" si="0"/>
        <v>0</v>
      </c>
      <c r="J43" s="7">
        <f t="shared" si="0"/>
        <v>0</v>
      </c>
      <c r="K43" s="7">
        <f t="shared" si="0"/>
        <v>0</v>
      </c>
      <c r="L43" s="7">
        <f t="shared" si="0"/>
        <v>0</v>
      </c>
      <c r="M43" s="7">
        <f t="shared" si="0"/>
        <v>10000</v>
      </c>
      <c r="N43" s="7">
        <f t="shared" si="0"/>
        <v>0</v>
      </c>
      <c r="O43" s="7">
        <f t="shared" si="0"/>
        <v>0</v>
      </c>
      <c r="P43" s="7">
        <f t="shared" si="0"/>
        <v>0</v>
      </c>
      <c r="Q43" s="7">
        <f t="shared" si="0"/>
        <v>0</v>
      </c>
      <c r="R43" s="7">
        <f t="shared" si="0"/>
        <v>0</v>
      </c>
      <c r="S43" s="7">
        <f t="shared" si="0"/>
        <v>0</v>
      </c>
      <c r="T43" s="7">
        <f t="shared" si="0"/>
        <v>0</v>
      </c>
      <c r="U43" s="7">
        <f t="shared" si="0"/>
        <v>0</v>
      </c>
      <c r="V43" s="7">
        <f t="shared" si="0"/>
        <v>0</v>
      </c>
      <c r="W43" s="7">
        <f t="shared" si="0"/>
        <v>14000</v>
      </c>
      <c r="X43" s="7">
        <f t="shared" si="0"/>
        <v>0</v>
      </c>
      <c r="Y43" s="7">
        <f t="shared" si="0"/>
        <v>0</v>
      </c>
      <c r="Z43" s="7">
        <f t="shared" si="0"/>
        <v>0</v>
      </c>
      <c r="AA43" s="7">
        <f t="shared" si="0"/>
        <v>0</v>
      </c>
      <c r="AB43" s="7">
        <f t="shared" si="0"/>
        <v>0</v>
      </c>
      <c r="AC43" s="7">
        <f t="shared" si="0"/>
        <v>0</v>
      </c>
    </row>
    <row r="44" spans="1:29" x14ac:dyDescent="0.55000000000000004">
      <c r="A44" s="2"/>
    </row>
    <row r="45" spans="1:29" x14ac:dyDescent="0.55000000000000004">
      <c r="A45" s="1" t="s">
        <v>39</v>
      </c>
      <c r="B45" s="1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spans="1:29" x14ac:dyDescent="0.55000000000000004">
      <c r="A46" s="1" t="s">
        <v>28</v>
      </c>
      <c r="B46" s="1" t="s">
        <v>41</v>
      </c>
      <c r="D46" s="4" t="s">
        <v>20</v>
      </c>
      <c r="E46" s="4" t="s">
        <v>17</v>
      </c>
      <c r="F46" s="4" t="s">
        <v>16</v>
      </c>
      <c r="G46" s="4" t="s">
        <v>3</v>
      </c>
      <c r="H46" s="4" t="s">
        <v>14</v>
      </c>
      <c r="I46" s="4" t="s">
        <v>13</v>
      </c>
      <c r="J46" s="4" t="s">
        <v>11</v>
      </c>
      <c r="K46" s="4" t="s">
        <v>26</v>
      </c>
      <c r="L46" s="4" t="s">
        <v>9</v>
      </c>
      <c r="M46" s="4" t="s">
        <v>19</v>
      </c>
      <c r="N46" s="4" t="s">
        <v>27</v>
      </c>
      <c r="O46" s="4" t="s">
        <v>4</v>
      </c>
      <c r="P46" s="4" t="s">
        <v>25</v>
      </c>
      <c r="Q46" s="4" t="s">
        <v>8</v>
      </c>
      <c r="R46" s="4" t="s">
        <v>7</v>
      </c>
      <c r="S46" s="4" t="s">
        <v>18</v>
      </c>
      <c r="T46" s="4" t="s">
        <v>15</v>
      </c>
      <c r="U46" s="4" t="s">
        <v>12</v>
      </c>
      <c r="V46" s="4" t="s">
        <v>6</v>
      </c>
      <c r="W46" s="4" t="s">
        <v>21</v>
      </c>
      <c r="X46" s="4" t="s">
        <v>22</v>
      </c>
      <c r="Y46" s="4" t="s">
        <v>5</v>
      </c>
      <c r="Z46" s="4" t="s">
        <v>23</v>
      </c>
      <c r="AA46" s="4" t="s">
        <v>24</v>
      </c>
      <c r="AB46" s="4" t="s">
        <v>10</v>
      </c>
      <c r="AC46" s="4" t="s">
        <v>2</v>
      </c>
    </row>
    <row r="47" spans="1:29" x14ac:dyDescent="0.55000000000000004">
      <c r="A47" s="2" t="s">
        <v>29</v>
      </c>
      <c r="B47">
        <v>2</v>
      </c>
      <c r="D47" s="7">
        <f>HLOOKUP(D$46,$D$13:$AC$21,$B47,FALSE)</f>
        <v>0</v>
      </c>
      <c r="E47" s="7">
        <f t="shared" ref="E47:AC54" si="2">HLOOKUP(E$46,$D$13:$AC$21,$B47,FALSE)</f>
        <v>0</v>
      </c>
      <c r="F47" s="7">
        <f t="shared" si="2"/>
        <v>0</v>
      </c>
      <c r="G47" s="7">
        <f t="shared" si="2"/>
        <v>0</v>
      </c>
      <c r="H47" s="7">
        <f t="shared" si="2"/>
        <v>0</v>
      </c>
      <c r="I47" s="7">
        <f t="shared" si="2"/>
        <v>0</v>
      </c>
      <c r="J47" s="7">
        <f t="shared" si="2"/>
        <v>0</v>
      </c>
      <c r="K47" s="7">
        <f t="shared" si="2"/>
        <v>0</v>
      </c>
      <c r="L47" s="7">
        <f t="shared" si="2"/>
        <v>0</v>
      </c>
      <c r="M47" s="7">
        <f t="shared" si="2"/>
        <v>35000</v>
      </c>
      <c r="N47" s="7">
        <f t="shared" si="2"/>
        <v>0</v>
      </c>
      <c r="O47" s="7">
        <f t="shared" si="2"/>
        <v>0</v>
      </c>
      <c r="P47" s="7">
        <f t="shared" si="2"/>
        <v>0</v>
      </c>
      <c r="Q47" s="7">
        <f t="shared" si="2"/>
        <v>0</v>
      </c>
      <c r="R47" s="7">
        <f t="shared" si="2"/>
        <v>0</v>
      </c>
      <c r="S47" s="7">
        <f t="shared" si="2"/>
        <v>0</v>
      </c>
      <c r="T47" s="7">
        <f t="shared" si="2"/>
        <v>0</v>
      </c>
      <c r="U47" s="7">
        <f t="shared" si="2"/>
        <v>0</v>
      </c>
      <c r="V47" s="7">
        <f t="shared" si="2"/>
        <v>0</v>
      </c>
      <c r="W47" s="7">
        <f t="shared" si="2"/>
        <v>0</v>
      </c>
      <c r="X47" s="7">
        <f t="shared" si="2"/>
        <v>0</v>
      </c>
      <c r="Y47" s="7">
        <f t="shared" si="2"/>
        <v>0</v>
      </c>
      <c r="Z47" s="7">
        <f t="shared" si="2"/>
        <v>7000</v>
      </c>
      <c r="AA47" s="7">
        <f t="shared" si="2"/>
        <v>0</v>
      </c>
      <c r="AB47" s="7">
        <f t="shared" si="2"/>
        <v>0</v>
      </c>
      <c r="AC47" s="7">
        <f t="shared" si="2"/>
        <v>0</v>
      </c>
    </row>
    <row r="48" spans="1:29" x14ac:dyDescent="0.55000000000000004">
      <c r="A48" s="2" t="s">
        <v>30</v>
      </c>
      <c r="B48">
        <v>3</v>
      </c>
      <c r="D48" s="7">
        <f t="shared" ref="D48:S54" si="3">HLOOKUP(D$46,$D$13:$AC$21,$B48,FALSE)</f>
        <v>0</v>
      </c>
      <c r="E48" s="7">
        <f t="shared" si="3"/>
        <v>0</v>
      </c>
      <c r="F48" s="7">
        <f t="shared" si="3"/>
        <v>16565</v>
      </c>
      <c r="G48" s="7">
        <f t="shared" si="3"/>
        <v>91450</v>
      </c>
      <c r="H48" s="7">
        <f t="shared" si="3"/>
        <v>15400</v>
      </c>
      <c r="I48" s="7">
        <f t="shared" si="3"/>
        <v>0</v>
      </c>
      <c r="J48" s="7">
        <f t="shared" si="3"/>
        <v>22671</v>
      </c>
      <c r="K48" s="7">
        <f t="shared" si="3"/>
        <v>0</v>
      </c>
      <c r="L48" s="7">
        <f t="shared" si="3"/>
        <v>17740</v>
      </c>
      <c r="M48" s="7">
        <f t="shared" si="3"/>
        <v>42460</v>
      </c>
      <c r="N48" s="7">
        <f t="shared" si="3"/>
        <v>48700</v>
      </c>
      <c r="O48" s="7">
        <f t="shared" si="3"/>
        <v>0</v>
      </c>
      <c r="P48" s="7">
        <f t="shared" si="3"/>
        <v>17730</v>
      </c>
      <c r="Q48" s="7">
        <f t="shared" si="3"/>
        <v>14348</v>
      </c>
      <c r="R48" s="7">
        <f t="shared" si="3"/>
        <v>0</v>
      </c>
      <c r="S48" s="7">
        <f t="shared" si="3"/>
        <v>0</v>
      </c>
      <c r="T48" s="7">
        <f t="shared" si="2"/>
        <v>0</v>
      </c>
      <c r="U48" s="7">
        <f t="shared" si="2"/>
        <v>53700</v>
      </c>
      <c r="V48" s="7">
        <f t="shared" si="2"/>
        <v>0</v>
      </c>
      <c r="W48" s="7">
        <f t="shared" si="2"/>
        <v>10922</v>
      </c>
      <c r="X48" s="7">
        <f t="shared" si="2"/>
        <v>0</v>
      </c>
      <c r="Y48" s="7">
        <f t="shared" si="2"/>
        <v>8800</v>
      </c>
      <c r="Z48" s="7">
        <f t="shared" si="2"/>
        <v>99304</v>
      </c>
      <c r="AA48" s="7">
        <f t="shared" si="2"/>
        <v>0</v>
      </c>
      <c r="AB48" s="7">
        <f t="shared" si="2"/>
        <v>0</v>
      </c>
      <c r="AC48" s="7">
        <f t="shared" si="2"/>
        <v>0</v>
      </c>
    </row>
    <row r="49" spans="1:29" x14ac:dyDescent="0.55000000000000004">
      <c r="A49" s="2" t="s">
        <v>31</v>
      </c>
      <c r="B49">
        <v>4</v>
      </c>
      <c r="D49" s="7">
        <f t="shared" si="3"/>
        <v>0</v>
      </c>
      <c r="E49" s="7">
        <f t="shared" si="2"/>
        <v>0</v>
      </c>
      <c r="F49" s="7">
        <f t="shared" si="2"/>
        <v>0</v>
      </c>
      <c r="G49" s="7">
        <f t="shared" si="2"/>
        <v>56000</v>
      </c>
      <c r="H49" s="7">
        <f t="shared" si="2"/>
        <v>0</v>
      </c>
      <c r="I49" s="7">
        <f t="shared" si="2"/>
        <v>0</v>
      </c>
      <c r="J49" s="7">
        <f t="shared" si="2"/>
        <v>0</v>
      </c>
      <c r="K49" s="7">
        <f t="shared" si="2"/>
        <v>0</v>
      </c>
      <c r="L49" s="7">
        <f t="shared" si="2"/>
        <v>0</v>
      </c>
      <c r="M49" s="7">
        <f t="shared" si="2"/>
        <v>0</v>
      </c>
      <c r="N49" s="7">
        <f t="shared" si="2"/>
        <v>0</v>
      </c>
      <c r="O49" s="7">
        <f t="shared" si="2"/>
        <v>0</v>
      </c>
      <c r="P49" s="7">
        <f t="shared" si="2"/>
        <v>0</v>
      </c>
      <c r="Q49" s="7">
        <f t="shared" si="2"/>
        <v>0</v>
      </c>
      <c r="R49" s="7">
        <f t="shared" si="2"/>
        <v>0</v>
      </c>
      <c r="S49" s="7">
        <f t="shared" si="2"/>
        <v>0</v>
      </c>
      <c r="T49" s="7">
        <f t="shared" si="2"/>
        <v>0</v>
      </c>
      <c r="U49" s="7">
        <f t="shared" si="2"/>
        <v>0</v>
      </c>
      <c r="V49" s="7">
        <f t="shared" si="2"/>
        <v>0</v>
      </c>
      <c r="W49" s="7">
        <f t="shared" si="2"/>
        <v>0</v>
      </c>
      <c r="X49" s="7">
        <f t="shared" si="2"/>
        <v>0</v>
      </c>
      <c r="Y49" s="7">
        <f t="shared" si="2"/>
        <v>0</v>
      </c>
      <c r="Z49" s="7">
        <f t="shared" si="2"/>
        <v>0</v>
      </c>
      <c r="AA49" s="7">
        <f t="shared" si="2"/>
        <v>0</v>
      </c>
      <c r="AB49" s="7">
        <f t="shared" si="2"/>
        <v>0</v>
      </c>
      <c r="AC49" s="7">
        <f t="shared" si="2"/>
        <v>0</v>
      </c>
    </row>
    <row r="50" spans="1:29" x14ac:dyDescent="0.55000000000000004">
      <c r="A50" s="2" t="s">
        <v>32</v>
      </c>
      <c r="B50">
        <v>5</v>
      </c>
      <c r="D50" s="7">
        <f t="shared" si="3"/>
        <v>0</v>
      </c>
      <c r="E50" s="7">
        <f t="shared" si="2"/>
        <v>6410</v>
      </c>
      <c r="F50" s="7">
        <f t="shared" si="2"/>
        <v>0</v>
      </c>
      <c r="G50" s="7">
        <f t="shared" si="2"/>
        <v>173500</v>
      </c>
      <c r="H50" s="7">
        <f t="shared" si="2"/>
        <v>3480</v>
      </c>
      <c r="I50" s="7">
        <f t="shared" si="2"/>
        <v>14025</v>
      </c>
      <c r="J50" s="7">
        <f t="shared" si="2"/>
        <v>29286.5</v>
      </c>
      <c r="K50" s="7">
        <f t="shared" si="2"/>
        <v>0</v>
      </c>
      <c r="L50" s="7">
        <f t="shared" si="2"/>
        <v>6000</v>
      </c>
      <c r="M50" s="7">
        <f t="shared" si="2"/>
        <v>88528</v>
      </c>
      <c r="N50" s="7">
        <f t="shared" si="2"/>
        <v>9640</v>
      </c>
      <c r="O50" s="7">
        <f t="shared" si="2"/>
        <v>0</v>
      </c>
      <c r="P50" s="7">
        <f t="shared" si="2"/>
        <v>5610</v>
      </c>
      <c r="Q50" s="7">
        <f t="shared" si="2"/>
        <v>5660</v>
      </c>
      <c r="R50" s="7">
        <f t="shared" si="2"/>
        <v>9000</v>
      </c>
      <c r="S50" s="7">
        <f t="shared" si="2"/>
        <v>22640</v>
      </c>
      <c r="T50" s="7">
        <f t="shared" si="2"/>
        <v>12500</v>
      </c>
      <c r="U50" s="7">
        <f t="shared" si="2"/>
        <v>0</v>
      </c>
      <c r="V50" s="7">
        <f t="shared" si="2"/>
        <v>9276</v>
      </c>
      <c r="W50" s="7">
        <f t="shared" si="2"/>
        <v>37363</v>
      </c>
      <c r="X50" s="7">
        <f t="shared" si="2"/>
        <v>39212</v>
      </c>
      <c r="Y50" s="7">
        <f t="shared" si="2"/>
        <v>6000</v>
      </c>
      <c r="Z50" s="7">
        <f t="shared" si="2"/>
        <v>29000</v>
      </c>
      <c r="AA50" s="7">
        <f t="shared" si="2"/>
        <v>169754</v>
      </c>
      <c r="AB50" s="7">
        <f t="shared" si="2"/>
        <v>0</v>
      </c>
      <c r="AC50" s="7">
        <f t="shared" si="2"/>
        <v>0</v>
      </c>
    </row>
    <row r="51" spans="1:29" x14ac:dyDescent="0.55000000000000004">
      <c r="A51" s="2" t="s">
        <v>33</v>
      </c>
      <c r="B51">
        <v>6</v>
      </c>
      <c r="D51" s="7">
        <f t="shared" si="3"/>
        <v>0</v>
      </c>
      <c r="E51" s="7">
        <f t="shared" si="2"/>
        <v>12378</v>
      </c>
      <c r="F51" s="7">
        <f t="shared" si="2"/>
        <v>35574</v>
      </c>
      <c r="G51" s="7">
        <f t="shared" si="2"/>
        <v>184170</v>
      </c>
      <c r="H51" s="7">
        <f t="shared" si="2"/>
        <v>0</v>
      </c>
      <c r="I51" s="7">
        <f t="shared" si="2"/>
        <v>0</v>
      </c>
      <c r="J51" s="7">
        <f t="shared" si="2"/>
        <v>35248</v>
      </c>
      <c r="K51" s="7">
        <f t="shared" si="2"/>
        <v>0</v>
      </c>
      <c r="L51" s="7">
        <f t="shared" si="2"/>
        <v>10750</v>
      </c>
      <c r="M51" s="7">
        <f t="shared" si="2"/>
        <v>249236</v>
      </c>
      <c r="N51" s="7">
        <f t="shared" si="2"/>
        <v>0</v>
      </c>
      <c r="O51" s="7">
        <f t="shared" si="2"/>
        <v>0</v>
      </c>
      <c r="P51" s="7">
        <f t="shared" si="2"/>
        <v>0</v>
      </c>
      <c r="Q51" s="7">
        <f t="shared" si="2"/>
        <v>58074</v>
      </c>
      <c r="R51" s="7">
        <f t="shared" si="2"/>
        <v>7440</v>
      </c>
      <c r="S51" s="7">
        <f t="shared" si="2"/>
        <v>78911</v>
      </c>
      <c r="T51" s="7">
        <f t="shared" si="2"/>
        <v>15375</v>
      </c>
      <c r="U51" s="7">
        <f t="shared" si="2"/>
        <v>52285.2</v>
      </c>
      <c r="V51" s="7">
        <f t="shared" si="2"/>
        <v>11262</v>
      </c>
      <c r="W51" s="7">
        <f t="shared" si="2"/>
        <v>107610</v>
      </c>
      <c r="X51" s="7">
        <f t="shared" si="2"/>
        <v>0</v>
      </c>
      <c r="Y51" s="7">
        <f t="shared" si="2"/>
        <v>0</v>
      </c>
      <c r="Z51" s="7">
        <f t="shared" si="2"/>
        <v>39160</v>
      </c>
      <c r="AA51" s="7">
        <f t="shared" si="2"/>
        <v>35533</v>
      </c>
      <c r="AB51" s="7">
        <f t="shared" si="2"/>
        <v>0</v>
      </c>
      <c r="AC51" s="7">
        <f t="shared" si="2"/>
        <v>0</v>
      </c>
    </row>
    <row r="52" spans="1:29" x14ac:dyDescent="0.55000000000000004">
      <c r="A52" s="2" t="s">
        <v>34</v>
      </c>
      <c r="B52">
        <v>7</v>
      </c>
      <c r="D52" s="7">
        <f t="shared" si="3"/>
        <v>0</v>
      </c>
      <c r="E52" s="7">
        <f t="shared" si="2"/>
        <v>0</v>
      </c>
      <c r="F52" s="7">
        <f t="shared" si="2"/>
        <v>24900</v>
      </c>
      <c r="G52" s="7">
        <f t="shared" si="2"/>
        <v>193850</v>
      </c>
      <c r="H52" s="7">
        <f t="shared" si="2"/>
        <v>13420</v>
      </c>
      <c r="I52" s="7">
        <f t="shared" si="2"/>
        <v>184740</v>
      </c>
      <c r="J52" s="7">
        <f t="shared" si="2"/>
        <v>329160</v>
      </c>
      <c r="K52" s="7">
        <f t="shared" si="2"/>
        <v>0</v>
      </c>
      <c r="L52" s="7">
        <f t="shared" si="2"/>
        <v>13000</v>
      </c>
      <c r="M52" s="7">
        <f t="shared" si="2"/>
        <v>78230</v>
      </c>
      <c r="N52" s="7">
        <f t="shared" si="2"/>
        <v>0</v>
      </c>
      <c r="O52" s="7">
        <f t="shared" si="2"/>
        <v>0</v>
      </c>
      <c r="P52" s="7">
        <f t="shared" si="2"/>
        <v>4532</v>
      </c>
      <c r="Q52" s="7">
        <f t="shared" si="2"/>
        <v>9724</v>
      </c>
      <c r="R52" s="7">
        <f t="shared" si="2"/>
        <v>32400</v>
      </c>
      <c r="S52" s="7">
        <f t="shared" si="2"/>
        <v>0</v>
      </c>
      <c r="T52" s="7">
        <f t="shared" si="2"/>
        <v>38500</v>
      </c>
      <c r="U52" s="7">
        <f t="shared" si="2"/>
        <v>54302</v>
      </c>
      <c r="V52" s="7">
        <f t="shared" si="2"/>
        <v>30480</v>
      </c>
      <c r="W52" s="7">
        <f t="shared" si="2"/>
        <v>72000</v>
      </c>
      <c r="X52" s="7">
        <f t="shared" si="2"/>
        <v>48250</v>
      </c>
      <c r="Y52" s="7">
        <f t="shared" si="2"/>
        <v>67700</v>
      </c>
      <c r="Z52" s="7">
        <f t="shared" si="2"/>
        <v>0</v>
      </c>
      <c r="AA52" s="7">
        <f t="shared" si="2"/>
        <v>140788</v>
      </c>
      <c r="AB52" s="7">
        <f t="shared" si="2"/>
        <v>0</v>
      </c>
      <c r="AC52" s="7">
        <f t="shared" si="2"/>
        <v>0</v>
      </c>
    </row>
    <row r="53" spans="1:29" x14ac:dyDescent="0.55000000000000004">
      <c r="A53" s="2" t="s">
        <v>35</v>
      </c>
      <c r="B53">
        <v>8</v>
      </c>
      <c r="D53" s="7">
        <f t="shared" si="3"/>
        <v>0</v>
      </c>
      <c r="E53" s="7">
        <f t="shared" si="2"/>
        <v>0</v>
      </c>
      <c r="F53" s="7">
        <f t="shared" si="2"/>
        <v>0</v>
      </c>
      <c r="G53" s="7">
        <f t="shared" si="2"/>
        <v>172035</v>
      </c>
      <c r="H53" s="7">
        <f t="shared" si="2"/>
        <v>102892</v>
      </c>
      <c r="I53" s="7">
        <f t="shared" si="2"/>
        <v>25938</v>
      </c>
      <c r="J53" s="7">
        <f t="shared" si="2"/>
        <v>37322</v>
      </c>
      <c r="K53" s="7">
        <f t="shared" si="2"/>
        <v>23394</v>
      </c>
      <c r="L53" s="7">
        <f t="shared" si="2"/>
        <v>0</v>
      </c>
      <c r="M53" s="7">
        <f t="shared" si="2"/>
        <v>112750</v>
      </c>
      <c r="N53" s="7">
        <f t="shared" si="2"/>
        <v>11315</v>
      </c>
      <c r="O53" s="7">
        <f t="shared" si="2"/>
        <v>25577</v>
      </c>
      <c r="P53" s="7">
        <f t="shared" si="2"/>
        <v>78268</v>
      </c>
      <c r="Q53" s="7">
        <f t="shared" si="2"/>
        <v>10225</v>
      </c>
      <c r="R53" s="7">
        <f t="shared" si="2"/>
        <v>5582</v>
      </c>
      <c r="S53" s="7">
        <f t="shared" si="2"/>
        <v>27000</v>
      </c>
      <c r="T53" s="7">
        <f t="shared" si="2"/>
        <v>6624</v>
      </c>
      <c r="U53" s="7">
        <f t="shared" si="2"/>
        <v>25184.5</v>
      </c>
      <c r="V53" s="7">
        <f t="shared" si="2"/>
        <v>3550</v>
      </c>
      <c r="W53" s="7">
        <f t="shared" si="2"/>
        <v>32292</v>
      </c>
      <c r="X53" s="7">
        <f t="shared" si="2"/>
        <v>35630</v>
      </c>
      <c r="Y53" s="7">
        <f t="shared" si="2"/>
        <v>12000</v>
      </c>
      <c r="Z53" s="7">
        <f t="shared" si="2"/>
        <v>188821</v>
      </c>
      <c r="AA53" s="7">
        <f t="shared" si="2"/>
        <v>10502</v>
      </c>
      <c r="AB53" s="7">
        <f t="shared" si="2"/>
        <v>0</v>
      </c>
      <c r="AC53" s="7">
        <f t="shared" si="2"/>
        <v>0</v>
      </c>
    </row>
    <row r="54" spans="1:29" x14ac:dyDescent="0.55000000000000004">
      <c r="A54" s="2" t="s">
        <v>36</v>
      </c>
      <c r="B54">
        <v>9</v>
      </c>
      <c r="D54" s="7">
        <f t="shared" si="3"/>
        <v>0</v>
      </c>
      <c r="E54" s="7">
        <f t="shared" si="2"/>
        <v>0</v>
      </c>
      <c r="F54" s="7">
        <f t="shared" si="2"/>
        <v>0</v>
      </c>
      <c r="G54" s="7">
        <f t="shared" si="2"/>
        <v>0</v>
      </c>
      <c r="H54" s="7">
        <f t="shared" si="2"/>
        <v>0</v>
      </c>
      <c r="I54" s="7">
        <f t="shared" si="2"/>
        <v>0</v>
      </c>
      <c r="J54" s="7">
        <f t="shared" si="2"/>
        <v>0</v>
      </c>
      <c r="K54" s="7">
        <f t="shared" si="2"/>
        <v>0</v>
      </c>
      <c r="L54" s="7">
        <f t="shared" si="2"/>
        <v>0</v>
      </c>
      <c r="M54" s="7">
        <f t="shared" si="2"/>
        <v>150000</v>
      </c>
      <c r="N54" s="7">
        <f t="shared" si="2"/>
        <v>0</v>
      </c>
      <c r="O54" s="7">
        <f t="shared" si="2"/>
        <v>0</v>
      </c>
      <c r="P54" s="7">
        <f t="shared" si="2"/>
        <v>0</v>
      </c>
      <c r="Q54" s="7">
        <f t="shared" si="2"/>
        <v>0</v>
      </c>
      <c r="R54" s="7">
        <f t="shared" si="2"/>
        <v>0</v>
      </c>
      <c r="S54" s="7">
        <f t="shared" si="2"/>
        <v>0</v>
      </c>
      <c r="T54" s="7">
        <f t="shared" si="2"/>
        <v>0</v>
      </c>
      <c r="U54" s="7">
        <f t="shared" si="2"/>
        <v>0</v>
      </c>
      <c r="V54" s="7">
        <f t="shared" si="2"/>
        <v>0</v>
      </c>
      <c r="W54" s="7">
        <f t="shared" si="2"/>
        <v>0</v>
      </c>
      <c r="X54" s="7">
        <f t="shared" si="2"/>
        <v>0</v>
      </c>
      <c r="Y54" s="7">
        <f t="shared" si="2"/>
        <v>0</v>
      </c>
      <c r="Z54" s="7">
        <f t="shared" si="2"/>
        <v>0</v>
      </c>
      <c r="AA54" s="7">
        <f t="shared" si="2"/>
        <v>0</v>
      </c>
      <c r="AB54" s="7">
        <f t="shared" si="2"/>
        <v>0</v>
      </c>
      <c r="AC54" s="7">
        <f t="shared" si="2"/>
        <v>0</v>
      </c>
    </row>
    <row r="55" spans="1:29" x14ac:dyDescent="0.55000000000000004">
      <c r="A55" s="2"/>
    </row>
    <row r="56" spans="1:29" x14ac:dyDescent="0.55000000000000004">
      <c r="A56" s="1" t="s">
        <v>38</v>
      </c>
      <c r="B56" s="1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spans="1:29" x14ac:dyDescent="0.55000000000000004">
      <c r="A57" s="1" t="s">
        <v>28</v>
      </c>
      <c r="B57" s="1" t="s">
        <v>41</v>
      </c>
      <c r="D57" s="4" t="s">
        <v>20</v>
      </c>
      <c r="E57" s="4" t="s">
        <v>17</v>
      </c>
      <c r="F57" s="4" t="s">
        <v>16</v>
      </c>
      <c r="G57" s="4" t="s">
        <v>3</v>
      </c>
      <c r="H57" s="4" t="s">
        <v>14</v>
      </c>
      <c r="I57" s="4" t="s">
        <v>13</v>
      </c>
      <c r="J57" s="4" t="s">
        <v>11</v>
      </c>
      <c r="K57" s="4" t="s">
        <v>26</v>
      </c>
      <c r="L57" s="4" t="s">
        <v>9</v>
      </c>
      <c r="M57" s="4" t="s">
        <v>19</v>
      </c>
      <c r="N57" s="4" t="s">
        <v>27</v>
      </c>
      <c r="O57" s="4" t="s">
        <v>4</v>
      </c>
      <c r="P57" s="4" t="s">
        <v>25</v>
      </c>
      <c r="Q57" s="4" t="s">
        <v>8</v>
      </c>
      <c r="R57" s="4" t="s">
        <v>7</v>
      </c>
      <c r="S57" s="4" t="s">
        <v>18</v>
      </c>
      <c r="T57" s="4" t="s">
        <v>15</v>
      </c>
      <c r="U57" s="4" t="s">
        <v>12</v>
      </c>
      <c r="V57" s="4" t="s">
        <v>6</v>
      </c>
      <c r="W57" s="4" t="s">
        <v>21</v>
      </c>
      <c r="X57" s="4" t="s">
        <v>22</v>
      </c>
      <c r="Y57" s="4" t="s">
        <v>5</v>
      </c>
      <c r="Z57" s="4" t="s">
        <v>23</v>
      </c>
      <c r="AA57" s="4" t="s">
        <v>24</v>
      </c>
      <c r="AB57" s="4" t="s">
        <v>10</v>
      </c>
      <c r="AC57" s="4" t="s">
        <v>2</v>
      </c>
    </row>
    <row r="58" spans="1:29" x14ac:dyDescent="0.55000000000000004">
      <c r="A58" s="2" t="s">
        <v>29</v>
      </c>
      <c r="B58">
        <v>2</v>
      </c>
      <c r="D58" s="7">
        <f>HLOOKUP(D$57,$D$24:$AC$32,$B58,FALSE)</f>
        <v>0</v>
      </c>
      <c r="E58" s="7">
        <f t="shared" ref="E58:AC65" si="4">HLOOKUP(E$57,$D$24:$AC$32,$B58,FALSE)</f>
        <v>0</v>
      </c>
      <c r="F58" s="7">
        <f t="shared" si="4"/>
        <v>0</v>
      </c>
      <c r="G58" s="7">
        <f t="shared" si="4"/>
        <v>0</v>
      </c>
      <c r="H58" s="7">
        <f t="shared" si="4"/>
        <v>0</v>
      </c>
      <c r="I58" s="7">
        <f t="shared" si="4"/>
        <v>0</v>
      </c>
      <c r="J58" s="7">
        <f t="shared" si="4"/>
        <v>0</v>
      </c>
      <c r="K58" s="7">
        <f t="shared" si="4"/>
        <v>0</v>
      </c>
      <c r="L58" s="7">
        <f t="shared" si="4"/>
        <v>0</v>
      </c>
      <c r="M58" s="7">
        <f t="shared" si="4"/>
        <v>0</v>
      </c>
      <c r="N58" s="7">
        <f t="shared" si="4"/>
        <v>0</v>
      </c>
      <c r="O58" s="7">
        <f t="shared" si="4"/>
        <v>0</v>
      </c>
      <c r="P58" s="7">
        <f t="shared" si="4"/>
        <v>0</v>
      </c>
      <c r="Q58" s="7">
        <f t="shared" si="4"/>
        <v>0</v>
      </c>
      <c r="R58" s="7">
        <f t="shared" si="4"/>
        <v>0</v>
      </c>
      <c r="S58" s="7">
        <f t="shared" si="4"/>
        <v>0</v>
      </c>
      <c r="T58" s="7">
        <f t="shared" si="4"/>
        <v>0</v>
      </c>
      <c r="U58" s="7">
        <f t="shared" si="4"/>
        <v>0</v>
      </c>
      <c r="V58" s="7">
        <f t="shared" si="4"/>
        <v>0</v>
      </c>
      <c r="W58" s="7">
        <f t="shared" si="4"/>
        <v>0</v>
      </c>
      <c r="X58" s="7">
        <f t="shared" si="4"/>
        <v>0</v>
      </c>
      <c r="Y58" s="7">
        <f t="shared" si="4"/>
        <v>0</v>
      </c>
      <c r="Z58" s="7">
        <f t="shared" si="4"/>
        <v>0</v>
      </c>
      <c r="AA58" s="7">
        <f t="shared" si="4"/>
        <v>0</v>
      </c>
      <c r="AB58" s="7">
        <f t="shared" si="4"/>
        <v>0</v>
      </c>
      <c r="AC58" s="7">
        <f t="shared" si="4"/>
        <v>0</v>
      </c>
    </row>
    <row r="59" spans="1:29" x14ac:dyDescent="0.55000000000000004">
      <c r="A59" s="2" t="s">
        <v>30</v>
      </c>
      <c r="B59">
        <v>3</v>
      </c>
      <c r="D59" s="7">
        <f t="shared" ref="D59:D65" si="5">HLOOKUP(D$57,$D$24:$AC$32,$B59,FALSE)</f>
        <v>0</v>
      </c>
      <c r="E59" s="7">
        <f t="shared" si="4"/>
        <v>0</v>
      </c>
      <c r="F59" s="7">
        <f t="shared" si="4"/>
        <v>4000</v>
      </c>
      <c r="G59" s="7">
        <f t="shared" si="4"/>
        <v>16150</v>
      </c>
      <c r="H59" s="7">
        <f t="shared" si="4"/>
        <v>5518</v>
      </c>
      <c r="I59" s="7">
        <f t="shared" si="4"/>
        <v>0</v>
      </c>
      <c r="J59" s="7">
        <f t="shared" si="4"/>
        <v>11328</v>
      </c>
      <c r="K59" s="7">
        <f t="shared" si="4"/>
        <v>0</v>
      </c>
      <c r="L59" s="7">
        <f t="shared" si="4"/>
        <v>0</v>
      </c>
      <c r="M59" s="7">
        <f t="shared" si="4"/>
        <v>0</v>
      </c>
      <c r="N59" s="7">
        <f t="shared" si="4"/>
        <v>64550</v>
      </c>
      <c r="O59" s="7">
        <f t="shared" si="4"/>
        <v>0</v>
      </c>
      <c r="P59" s="7">
        <f t="shared" si="4"/>
        <v>0</v>
      </c>
      <c r="Q59" s="7">
        <f t="shared" si="4"/>
        <v>0</v>
      </c>
      <c r="R59" s="7">
        <f t="shared" si="4"/>
        <v>0</v>
      </c>
      <c r="S59" s="7">
        <f t="shared" si="4"/>
        <v>0</v>
      </c>
      <c r="T59" s="7">
        <f t="shared" si="4"/>
        <v>0</v>
      </c>
      <c r="U59" s="7">
        <f t="shared" si="4"/>
        <v>7310</v>
      </c>
      <c r="V59" s="7">
        <f t="shared" si="4"/>
        <v>0</v>
      </c>
      <c r="W59" s="7">
        <f t="shared" si="4"/>
        <v>0</v>
      </c>
      <c r="X59" s="7">
        <f t="shared" si="4"/>
        <v>0</v>
      </c>
      <c r="Y59" s="7">
        <f t="shared" si="4"/>
        <v>0</v>
      </c>
      <c r="Z59" s="7">
        <f t="shared" si="4"/>
        <v>0</v>
      </c>
      <c r="AA59" s="7">
        <f t="shared" si="4"/>
        <v>0</v>
      </c>
      <c r="AB59" s="7">
        <f t="shared" si="4"/>
        <v>0</v>
      </c>
      <c r="AC59" s="7">
        <f t="shared" si="4"/>
        <v>0</v>
      </c>
    </row>
    <row r="60" spans="1:29" x14ac:dyDescent="0.55000000000000004">
      <c r="A60" s="2" t="s">
        <v>31</v>
      </c>
      <c r="B60">
        <v>4</v>
      </c>
      <c r="D60" s="7">
        <f t="shared" si="5"/>
        <v>0</v>
      </c>
      <c r="E60" s="7">
        <f t="shared" si="4"/>
        <v>0</v>
      </c>
      <c r="F60" s="7">
        <f t="shared" si="4"/>
        <v>0</v>
      </c>
      <c r="G60" s="7">
        <f t="shared" si="4"/>
        <v>73980</v>
      </c>
      <c r="H60" s="7">
        <f t="shared" si="4"/>
        <v>0</v>
      </c>
      <c r="I60" s="7">
        <f t="shared" si="4"/>
        <v>0</v>
      </c>
      <c r="J60" s="7">
        <f t="shared" si="4"/>
        <v>0</v>
      </c>
      <c r="K60" s="7">
        <f t="shared" si="4"/>
        <v>0</v>
      </c>
      <c r="L60" s="7">
        <f t="shared" si="4"/>
        <v>0</v>
      </c>
      <c r="M60" s="7">
        <f t="shared" si="4"/>
        <v>0</v>
      </c>
      <c r="N60" s="7">
        <f t="shared" si="4"/>
        <v>0</v>
      </c>
      <c r="O60" s="7">
        <f t="shared" si="4"/>
        <v>0</v>
      </c>
      <c r="P60" s="7">
        <f t="shared" si="4"/>
        <v>0</v>
      </c>
      <c r="Q60" s="7">
        <f t="shared" si="4"/>
        <v>0</v>
      </c>
      <c r="R60" s="7">
        <f t="shared" si="4"/>
        <v>0</v>
      </c>
      <c r="S60" s="7">
        <f t="shared" si="4"/>
        <v>17640</v>
      </c>
      <c r="T60" s="7">
        <f t="shared" si="4"/>
        <v>0</v>
      </c>
      <c r="U60" s="7">
        <f t="shared" si="4"/>
        <v>37600</v>
      </c>
      <c r="V60" s="7">
        <f t="shared" si="4"/>
        <v>0</v>
      </c>
      <c r="W60" s="7">
        <f t="shared" si="4"/>
        <v>49000</v>
      </c>
      <c r="X60" s="7">
        <f t="shared" si="4"/>
        <v>0</v>
      </c>
      <c r="Y60" s="7">
        <f t="shared" si="4"/>
        <v>0</v>
      </c>
      <c r="Z60" s="7">
        <f t="shared" si="4"/>
        <v>0</v>
      </c>
      <c r="AA60" s="7">
        <f t="shared" si="4"/>
        <v>19000</v>
      </c>
      <c r="AB60" s="7">
        <f t="shared" si="4"/>
        <v>0</v>
      </c>
      <c r="AC60" s="7">
        <f t="shared" si="4"/>
        <v>0</v>
      </c>
    </row>
    <row r="61" spans="1:29" x14ac:dyDescent="0.55000000000000004">
      <c r="A61" s="2" t="s">
        <v>32</v>
      </c>
      <c r="B61">
        <v>5</v>
      </c>
      <c r="D61" s="7">
        <f t="shared" si="5"/>
        <v>0</v>
      </c>
      <c r="E61" s="7">
        <f t="shared" si="4"/>
        <v>0</v>
      </c>
      <c r="F61" s="7">
        <f t="shared" si="4"/>
        <v>0</v>
      </c>
      <c r="G61" s="7">
        <f t="shared" si="4"/>
        <v>26000</v>
      </c>
      <c r="H61" s="7">
        <f t="shared" si="4"/>
        <v>0</v>
      </c>
      <c r="I61" s="7">
        <f t="shared" si="4"/>
        <v>0</v>
      </c>
      <c r="J61" s="7">
        <f t="shared" si="4"/>
        <v>0</v>
      </c>
      <c r="K61" s="7">
        <f t="shared" si="4"/>
        <v>0</v>
      </c>
      <c r="L61" s="7">
        <f t="shared" si="4"/>
        <v>0</v>
      </c>
      <c r="M61" s="7">
        <f t="shared" si="4"/>
        <v>0</v>
      </c>
      <c r="N61" s="7">
        <f t="shared" si="4"/>
        <v>0</v>
      </c>
      <c r="O61" s="7">
        <f t="shared" si="4"/>
        <v>0</v>
      </c>
      <c r="P61" s="7">
        <f t="shared" si="4"/>
        <v>0</v>
      </c>
      <c r="Q61" s="7">
        <f t="shared" si="4"/>
        <v>3840</v>
      </c>
      <c r="R61" s="7">
        <f t="shared" si="4"/>
        <v>0</v>
      </c>
      <c r="S61" s="7">
        <f t="shared" si="4"/>
        <v>2800</v>
      </c>
      <c r="T61" s="7">
        <f t="shared" si="4"/>
        <v>0</v>
      </c>
      <c r="U61" s="7">
        <f t="shared" si="4"/>
        <v>0</v>
      </c>
      <c r="V61" s="7">
        <f t="shared" si="4"/>
        <v>0</v>
      </c>
      <c r="W61" s="7">
        <f t="shared" si="4"/>
        <v>20323</v>
      </c>
      <c r="X61" s="7">
        <f t="shared" si="4"/>
        <v>4680</v>
      </c>
      <c r="Y61" s="7">
        <f t="shared" si="4"/>
        <v>0</v>
      </c>
      <c r="Z61" s="7">
        <f t="shared" si="4"/>
        <v>0</v>
      </c>
      <c r="AA61" s="7">
        <f t="shared" si="4"/>
        <v>89025</v>
      </c>
      <c r="AB61" s="7">
        <f t="shared" si="4"/>
        <v>0</v>
      </c>
      <c r="AC61" s="7">
        <f t="shared" si="4"/>
        <v>0</v>
      </c>
    </row>
    <row r="62" spans="1:29" x14ac:dyDescent="0.55000000000000004">
      <c r="A62" s="2" t="s">
        <v>33</v>
      </c>
      <c r="B62">
        <v>6</v>
      </c>
      <c r="D62" s="7">
        <f t="shared" si="5"/>
        <v>0</v>
      </c>
      <c r="E62" s="7">
        <f t="shared" si="4"/>
        <v>0</v>
      </c>
      <c r="F62" s="7">
        <f t="shared" si="4"/>
        <v>0</v>
      </c>
      <c r="G62" s="7">
        <f t="shared" si="4"/>
        <v>44100</v>
      </c>
      <c r="H62" s="7">
        <f t="shared" si="4"/>
        <v>7760</v>
      </c>
      <c r="I62" s="7">
        <f t="shared" si="4"/>
        <v>0</v>
      </c>
      <c r="J62" s="7">
        <f t="shared" si="4"/>
        <v>11938</v>
      </c>
      <c r="K62" s="7">
        <f t="shared" si="4"/>
        <v>0</v>
      </c>
      <c r="L62" s="7">
        <f t="shared" si="4"/>
        <v>0</v>
      </c>
      <c r="M62" s="7">
        <f t="shared" si="4"/>
        <v>77761</v>
      </c>
      <c r="N62" s="7">
        <f t="shared" si="4"/>
        <v>0</v>
      </c>
      <c r="O62" s="7">
        <f t="shared" si="4"/>
        <v>0</v>
      </c>
      <c r="P62" s="7">
        <f t="shared" si="4"/>
        <v>0</v>
      </c>
      <c r="Q62" s="7">
        <f t="shared" si="4"/>
        <v>0</v>
      </c>
      <c r="R62" s="7">
        <f t="shared" si="4"/>
        <v>0</v>
      </c>
      <c r="S62" s="7">
        <f t="shared" si="4"/>
        <v>0</v>
      </c>
      <c r="T62" s="7">
        <f t="shared" si="4"/>
        <v>0</v>
      </c>
      <c r="U62" s="7">
        <f t="shared" si="4"/>
        <v>0</v>
      </c>
      <c r="V62" s="7">
        <f t="shared" si="4"/>
        <v>0</v>
      </c>
      <c r="W62" s="7">
        <f t="shared" si="4"/>
        <v>40800</v>
      </c>
      <c r="X62" s="7">
        <f t="shared" si="4"/>
        <v>0</v>
      </c>
      <c r="Y62" s="7">
        <f t="shared" si="4"/>
        <v>22320</v>
      </c>
      <c r="Z62" s="7">
        <f t="shared" si="4"/>
        <v>0</v>
      </c>
      <c r="AA62" s="7">
        <f t="shared" si="4"/>
        <v>15784</v>
      </c>
      <c r="AB62" s="7">
        <f t="shared" si="4"/>
        <v>0</v>
      </c>
      <c r="AC62" s="7">
        <f t="shared" si="4"/>
        <v>0</v>
      </c>
    </row>
    <row r="63" spans="1:29" x14ac:dyDescent="0.55000000000000004">
      <c r="A63" s="2" t="s">
        <v>34</v>
      </c>
      <c r="B63">
        <v>7</v>
      </c>
      <c r="D63" s="7">
        <f t="shared" si="5"/>
        <v>0</v>
      </c>
      <c r="E63" s="7">
        <f t="shared" si="4"/>
        <v>0</v>
      </c>
      <c r="F63" s="7">
        <f t="shared" si="4"/>
        <v>0</v>
      </c>
      <c r="G63" s="7">
        <f t="shared" si="4"/>
        <v>119980</v>
      </c>
      <c r="H63" s="7">
        <f t="shared" si="4"/>
        <v>5802</v>
      </c>
      <c r="I63" s="7">
        <f t="shared" si="4"/>
        <v>19600</v>
      </c>
      <c r="J63" s="7">
        <f t="shared" si="4"/>
        <v>145469</v>
      </c>
      <c r="K63" s="7">
        <f t="shared" si="4"/>
        <v>0</v>
      </c>
      <c r="L63" s="7">
        <f t="shared" si="4"/>
        <v>10500</v>
      </c>
      <c r="M63" s="7">
        <f t="shared" si="4"/>
        <v>0</v>
      </c>
      <c r="N63" s="7">
        <f t="shared" si="4"/>
        <v>0</v>
      </c>
      <c r="O63" s="7">
        <f t="shared" si="4"/>
        <v>0</v>
      </c>
      <c r="P63" s="7">
        <f t="shared" si="4"/>
        <v>10490</v>
      </c>
      <c r="Q63" s="7">
        <f t="shared" si="4"/>
        <v>0</v>
      </c>
      <c r="R63" s="7">
        <f t="shared" si="4"/>
        <v>5000</v>
      </c>
      <c r="S63" s="7">
        <f t="shared" si="4"/>
        <v>0</v>
      </c>
      <c r="T63" s="7">
        <f t="shared" si="4"/>
        <v>6000</v>
      </c>
      <c r="U63" s="7">
        <f t="shared" si="4"/>
        <v>27670</v>
      </c>
      <c r="V63" s="7">
        <f t="shared" si="4"/>
        <v>5400</v>
      </c>
      <c r="W63" s="7">
        <f t="shared" si="4"/>
        <v>159746</v>
      </c>
      <c r="X63" s="7">
        <f t="shared" si="4"/>
        <v>10500</v>
      </c>
      <c r="Y63" s="7">
        <f t="shared" si="4"/>
        <v>26000</v>
      </c>
      <c r="Z63" s="7">
        <f t="shared" si="4"/>
        <v>0</v>
      </c>
      <c r="AA63" s="7">
        <f t="shared" si="4"/>
        <v>52060</v>
      </c>
      <c r="AB63" s="7">
        <f t="shared" si="4"/>
        <v>0</v>
      </c>
      <c r="AC63" s="7">
        <f t="shared" si="4"/>
        <v>0</v>
      </c>
    </row>
    <row r="64" spans="1:29" x14ac:dyDescent="0.55000000000000004">
      <c r="A64" s="2" t="s">
        <v>35</v>
      </c>
      <c r="B64">
        <v>8</v>
      </c>
      <c r="D64" s="7">
        <f t="shared" si="5"/>
        <v>0</v>
      </c>
      <c r="E64" s="7">
        <f t="shared" si="4"/>
        <v>0</v>
      </c>
      <c r="F64" s="7">
        <f t="shared" si="4"/>
        <v>0</v>
      </c>
      <c r="G64" s="7">
        <f t="shared" si="4"/>
        <v>18400</v>
      </c>
      <c r="H64" s="7">
        <f t="shared" si="4"/>
        <v>0</v>
      </c>
      <c r="I64" s="7">
        <f t="shared" si="4"/>
        <v>0</v>
      </c>
      <c r="J64" s="7">
        <f t="shared" si="4"/>
        <v>0</v>
      </c>
      <c r="K64" s="7">
        <f t="shared" si="4"/>
        <v>0</v>
      </c>
      <c r="L64" s="7">
        <f t="shared" si="4"/>
        <v>0</v>
      </c>
      <c r="M64" s="7">
        <f t="shared" si="4"/>
        <v>3278</v>
      </c>
      <c r="N64" s="7">
        <f t="shared" si="4"/>
        <v>0</v>
      </c>
      <c r="O64" s="7">
        <f t="shared" si="4"/>
        <v>0</v>
      </c>
      <c r="P64" s="7">
        <f t="shared" si="4"/>
        <v>0</v>
      </c>
      <c r="Q64" s="7">
        <f t="shared" si="4"/>
        <v>9750</v>
      </c>
      <c r="R64" s="7">
        <f t="shared" si="4"/>
        <v>0</v>
      </c>
      <c r="S64" s="7">
        <f t="shared" si="4"/>
        <v>3000</v>
      </c>
      <c r="T64" s="7">
        <f t="shared" si="4"/>
        <v>0</v>
      </c>
      <c r="U64" s="7">
        <f t="shared" si="4"/>
        <v>0</v>
      </c>
      <c r="V64" s="7">
        <f t="shared" si="4"/>
        <v>0</v>
      </c>
      <c r="W64" s="7">
        <f t="shared" si="4"/>
        <v>6528</v>
      </c>
      <c r="X64" s="7">
        <f t="shared" si="4"/>
        <v>0</v>
      </c>
      <c r="Y64" s="7">
        <f t="shared" si="4"/>
        <v>0</v>
      </c>
      <c r="Z64" s="7">
        <f t="shared" si="4"/>
        <v>10400</v>
      </c>
      <c r="AA64" s="7">
        <f t="shared" si="4"/>
        <v>0</v>
      </c>
      <c r="AB64" s="7">
        <f t="shared" si="4"/>
        <v>0</v>
      </c>
      <c r="AC64" s="7">
        <f t="shared" si="4"/>
        <v>0</v>
      </c>
    </row>
    <row r="65" spans="1:29" x14ac:dyDescent="0.55000000000000004">
      <c r="A65" s="2" t="s">
        <v>36</v>
      </c>
      <c r="B65">
        <v>9</v>
      </c>
      <c r="D65" s="7">
        <f t="shared" si="5"/>
        <v>0</v>
      </c>
      <c r="E65" s="7">
        <f t="shared" si="4"/>
        <v>0</v>
      </c>
      <c r="F65" s="7">
        <f t="shared" si="4"/>
        <v>0</v>
      </c>
      <c r="G65" s="7">
        <f t="shared" si="4"/>
        <v>0</v>
      </c>
      <c r="H65" s="7">
        <f t="shared" si="4"/>
        <v>0</v>
      </c>
      <c r="I65" s="7">
        <f t="shared" si="4"/>
        <v>0</v>
      </c>
      <c r="J65" s="7">
        <f t="shared" si="4"/>
        <v>0</v>
      </c>
      <c r="K65" s="7">
        <f t="shared" si="4"/>
        <v>0</v>
      </c>
      <c r="L65" s="7">
        <f t="shared" si="4"/>
        <v>0</v>
      </c>
      <c r="M65" s="7">
        <f t="shared" si="4"/>
        <v>0</v>
      </c>
      <c r="N65" s="7">
        <f t="shared" si="4"/>
        <v>0</v>
      </c>
      <c r="O65" s="7">
        <f t="shared" si="4"/>
        <v>0</v>
      </c>
      <c r="P65" s="7">
        <f t="shared" si="4"/>
        <v>0</v>
      </c>
      <c r="Q65" s="7">
        <f t="shared" si="4"/>
        <v>0</v>
      </c>
      <c r="R65" s="7">
        <f t="shared" si="4"/>
        <v>0</v>
      </c>
      <c r="S65" s="7">
        <f t="shared" si="4"/>
        <v>0</v>
      </c>
      <c r="T65" s="7">
        <f t="shared" si="4"/>
        <v>0</v>
      </c>
      <c r="U65" s="7">
        <f t="shared" si="4"/>
        <v>0</v>
      </c>
      <c r="V65" s="7">
        <f t="shared" si="4"/>
        <v>0</v>
      </c>
      <c r="W65" s="7">
        <f t="shared" si="4"/>
        <v>0</v>
      </c>
      <c r="X65" s="7">
        <f t="shared" si="4"/>
        <v>0</v>
      </c>
      <c r="Y65" s="7">
        <f t="shared" si="4"/>
        <v>0</v>
      </c>
      <c r="Z65" s="7">
        <f t="shared" si="4"/>
        <v>0</v>
      </c>
      <c r="AA65" s="7">
        <f t="shared" si="4"/>
        <v>0</v>
      </c>
      <c r="AB65" s="7">
        <f t="shared" si="4"/>
        <v>0</v>
      </c>
      <c r="AC65" s="7">
        <f t="shared" si="4"/>
        <v>0</v>
      </c>
    </row>
    <row r="67" spans="1:29" x14ac:dyDescent="0.55000000000000004">
      <c r="C67" t="s">
        <v>42</v>
      </c>
      <c r="D67" s="5">
        <f>SUM(D39:D40,D50:D51,D61:D62)/1000</f>
        <v>0</v>
      </c>
      <c r="E67" s="5">
        <f t="shared" ref="E67:AC67" si="6">SUM(E39:E40,E50:E51,E61:E62)/1000</f>
        <v>40.716000000000001</v>
      </c>
      <c r="F67" s="5">
        <f t="shared" si="6"/>
        <v>106.264</v>
      </c>
      <c r="G67" s="5">
        <f t="shared" si="6"/>
        <v>2132.0700000000002</v>
      </c>
      <c r="H67" s="5">
        <f t="shared" si="6"/>
        <v>184.238</v>
      </c>
      <c r="I67" s="5">
        <f t="shared" si="6"/>
        <v>143.82499999999999</v>
      </c>
      <c r="J67" s="5">
        <f t="shared" si="6"/>
        <v>1373.327</v>
      </c>
      <c r="K67" s="5">
        <f t="shared" si="6"/>
        <v>563.66800000000001</v>
      </c>
      <c r="L67" s="5">
        <f t="shared" si="6"/>
        <v>117.373</v>
      </c>
      <c r="M67" s="5">
        <f t="shared" si="6"/>
        <v>909.33399999999995</v>
      </c>
      <c r="N67" s="5">
        <f t="shared" si="6"/>
        <v>61.165999999999997</v>
      </c>
      <c r="O67" s="5">
        <f t="shared" si="6"/>
        <v>0</v>
      </c>
      <c r="P67" s="5">
        <f t="shared" si="6"/>
        <v>21.635000000000002</v>
      </c>
      <c r="Q67" s="5">
        <f t="shared" si="6"/>
        <v>107.122</v>
      </c>
      <c r="R67" s="5">
        <f t="shared" si="6"/>
        <v>40.44</v>
      </c>
      <c r="S67" s="5">
        <f t="shared" si="6"/>
        <v>1406.61</v>
      </c>
      <c r="T67" s="5">
        <f t="shared" si="6"/>
        <v>80.875</v>
      </c>
      <c r="U67" s="5">
        <f t="shared" si="6"/>
        <v>209.5232</v>
      </c>
      <c r="V67" s="5">
        <f t="shared" si="6"/>
        <v>57.164000000000001</v>
      </c>
      <c r="W67" s="5">
        <f t="shared" si="6"/>
        <v>1238.606</v>
      </c>
      <c r="X67" s="5">
        <f t="shared" si="6"/>
        <v>175.91800000000001</v>
      </c>
      <c r="Y67" s="5">
        <f t="shared" si="6"/>
        <v>116.32</v>
      </c>
      <c r="Z67" s="5">
        <f t="shared" si="6"/>
        <v>1431.43</v>
      </c>
      <c r="AA67" s="5">
        <f t="shared" si="6"/>
        <v>1475.2190000000001</v>
      </c>
      <c r="AB67" s="5">
        <f t="shared" si="6"/>
        <v>0</v>
      </c>
      <c r="AC67" s="5">
        <f t="shared" si="6"/>
        <v>0</v>
      </c>
    </row>
    <row r="68" spans="1:29" x14ac:dyDescent="0.55000000000000004">
      <c r="C68" t="s">
        <v>45</v>
      </c>
      <c r="D68" s="5">
        <f>SUM(D36:D37,D47:D48,D58:D59)/1000</f>
        <v>0</v>
      </c>
      <c r="E68" s="5">
        <f t="shared" ref="E68:AC68" si="7">SUM(E36:E37,E47:E48,E58:E59)/1000</f>
        <v>12</v>
      </c>
      <c r="F68" s="5">
        <f t="shared" si="7"/>
        <v>40.667000000000002</v>
      </c>
      <c r="G68" s="5">
        <f t="shared" si="7"/>
        <v>323.60000000000002</v>
      </c>
      <c r="H68" s="5">
        <f t="shared" si="7"/>
        <v>69.894999999999996</v>
      </c>
      <c r="I68" s="5">
        <f t="shared" si="7"/>
        <v>50.3</v>
      </c>
      <c r="J68" s="5">
        <f t="shared" si="7"/>
        <v>87.603499999999997</v>
      </c>
      <c r="K68" s="5">
        <f t="shared" si="7"/>
        <v>3</v>
      </c>
      <c r="L68" s="5">
        <f t="shared" si="7"/>
        <v>45.14</v>
      </c>
      <c r="M68" s="5">
        <f t="shared" si="7"/>
        <v>162.46</v>
      </c>
      <c r="N68" s="5">
        <f t="shared" si="7"/>
        <v>269.3</v>
      </c>
      <c r="O68" s="5">
        <f t="shared" si="7"/>
        <v>0</v>
      </c>
      <c r="P68" s="5">
        <f t="shared" si="7"/>
        <v>91.831999999999994</v>
      </c>
      <c r="Q68" s="5">
        <f t="shared" si="7"/>
        <v>14.348000000000001</v>
      </c>
      <c r="R68" s="5">
        <f t="shared" si="7"/>
        <v>5</v>
      </c>
      <c r="S68" s="5">
        <f t="shared" si="7"/>
        <v>0</v>
      </c>
      <c r="T68" s="5">
        <f t="shared" si="7"/>
        <v>53</v>
      </c>
      <c r="U68" s="5">
        <f t="shared" si="7"/>
        <v>171.54300000000001</v>
      </c>
      <c r="V68" s="5">
        <f t="shared" si="7"/>
        <v>5.95</v>
      </c>
      <c r="W68" s="5">
        <f t="shared" si="7"/>
        <v>102.922</v>
      </c>
      <c r="X68" s="5">
        <f t="shared" si="7"/>
        <v>0</v>
      </c>
      <c r="Y68" s="5">
        <f t="shared" si="7"/>
        <v>30.8</v>
      </c>
      <c r="Z68" s="5">
        <f t="shared" si="7"/>
        <v>507.70400000000001</v>
      </c>
      <c r="AA68" s="5">
        <f t="shared" si="7"/>
        <v>0</v>
      </c>
      <c r="AB68" s="5">
        <f t="shared" si="7"/>
        <v>0</v>
      </c>
      <c r="AC68" s="5">
        <f t="shared" si="7"/>
        <v>0</v>
      </c>
    </row>
    <row r="69" spans="1:29" x14ac:dyDescent="0.55000000000000004">
      <c r="C69" t="s">
        <v>35</v>
      </c>
      <c r="D69" s="5">
        <f>SUM(D42,D53,D64)/1000</f>
        <v>0</v>
      </c>
      <c r="E69" s="5">
        <f t="shared" ref="E69:AC69" si="8">SUM(E42,E53,E64)/1000</f>
        <v>14.752000000000001</v>
      </c>
      <c r="F69" s="5">
        <f t="shared" si="8"/>
        <v>12.576000000000001</v>
      </c>
      <c r="G69" s="5">
        <f t="shared" si="8"/>
        <v>353.20499999999998</v>
      </c>
      <c r="H69" s="5">
        <f t="shared" si="8"/>
        <v>190.99</v>
      </c>
      <c r="I69" s="5">
        <f t="shared" si="8"/>
        <v>111.08499999999999</v>
      </c>
      <c r="J69" s="5">
        <f t="shared" si="8"/>
        <v>127.544</v>
      </c>
      <c r="K69" s="5">
        <f t="shared" si="8"/>
        <v>65.271000000000001</v>
      </c>
      <c r="L69" s="5">
        <f t="shared" si="8"/>
        <v>12.757999999999999</v>
      </c>
      <c r="M69" s="5">
        <f t="shared" si="8"/>
        <v>192.62899999999999</v>
      </c>
      <c r="N69" s="5">
        <f t="shared" si="8"/>
        <v>60.813000000000002</v>
      </c>
      <c r="O69" s="5">
        <f t="shared" si="8"/>
        <v>45.256999999999998</v>
      </c>
      <c r="P69" s="5">
        <f t="shared" si="8"/>
        <v>133.56399999999999</v>
      </c>
      <c r="Q69" s="5">
        <f t="shared" si="8"/>
        <v>24.664000000000001</v>
      </c>
      <c r="R69" s="5">
        <f t="shared" si="8"/>
        <v>8.7270000000000003</v>
      </c>
      <c r="S69" s="5">
        <f t="shared" si="8"/>
        <v>229</v>
      </c>
      <c r="T69" s="5">
        <f t="shared" si="8"/>
        <v>6.6239999999999997</v>
      </c>
      <c r="U69" s="5">
        <f t="shared" si="8"/>
        <v>84.665000000000006</v>
      </c>
      <c r="V69" s="5">
        <f t="shared" si="8"/>
        <v>26.911000000000001</v>
      </c>
      <c r="W69" s="5">
        <f t="shared" si="8"/>
        <v>114.51</v>
      </c>
      <c r="X69" s="5">
        <f t="shared" si="8"/>
        <v>130.68</v>
      </c>
      <c r="Y69" s="5">
        <f t="shared" si="8"/>
        <v>16</v>
      </c>
      <c r="Z69" s="5">
        <f t="shared" si="8"/>
        <v>644.54140000000007</v>
      </c>
      <c r="AA69" s="5">
        <f t="shared" si="8"/>
        <v>21.795999999999999</v>
      </c>
      <c r="AB69" s="5">
        <f t="shared" si="8"/>
        <v>0</v>
      </c>
      <c r="AC69" s="5">
        <f t="shared" si="8"/>
        <v>0</v>
      </c>
    </row>
    <row r="70" spans="1:29" x14ac:dyDescent="0.55000000000000004"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</row>
    <row r="71" spans="1:29" x14ac:dyDescent="0.55000000000000004">
      <c r="B71">
        <v>15</v>
      </c>
      <c r="C71" t="s">
        <v>56</v>
      </c>
      <c r="D71" s="5">
        <f>SUM(D39:D40)/1000</f>
        <v>0</v>
      </c>
      <c r="E71" s="5">
        <f t="shared" ref="E71:AC71" si="9">SUM(E39:E40)/1000</f>
        <v>21.928000000000001</v>
      </c>
      <c r="F71" s="5">
        <f t="shared" si="9"/>
        <v>70.69</v>
      </c>
      <c r="G71" s="5">
        <f t="shared" si="9"/>
        <v>1704.3</v>
      </c>
      <c r="H71" s="5">
        <f t="shared" si="9"/>
        <v>172.99799999999999</v>
      </c>
      <c r="I71" s="5">
        <f t="shared" si="9"/>
        <v>129.80000000000001</v>
      </c>
      <c r="J71" s="5">
        <f t="shared" si="9"/>
        <v>1296.8544999999999</v>
      </c>
      <c r="K71" s="5">
        <f t="shared" si="9"/>
        <v>563.66800000000001</v>
      </c>
      <c r="L71" s="5">
        <f t="shared" si="9"/>
        <v>100.623</v>
      </c>
      <c r="M71" s="5">
        <f t="shared" si="9"/>
        <v>493.80900000000003</v>
      </c>
      <c r="N71" s="5">
        <f t="shared" si="9"/>
        <v>51.526000000000003</v>
      </c>
      <c r="O71" s="5">
        <f t="shared" si="9"/>
        <v>0</v>
      </c>
      <c r="P71" s="5">
        <f t="shared" si="9"/>
        <v>16.024999999999999</v>
      </c>
      <c r="Q71" s="5">
        <f t="shared" si="9"/>
        <v>39.548000000000002</v>
      </c>
      <c r="R71" s="5">
        <f t="shared" si="9"/>
        <v>24</v>
      </c>
      <c r="S71" s="5">
        <f t="shared" si="9"/>
        <v>1302.259</v>
      </c>
      <c r="T71" s="5">
        <f t="shared" si="9"/>
        <v>53</v>
      </c>
      <c r="U71" s="5">
        <f t="shared" si="9"/>
        <v>157.238</v>
      </c>
      <c r="V71" s="5">
        <f t="shared" si="9"/>
        <v>36.625999999999998</v>
      </c>
      <c r="W71" s="5">
        <f t="shared" si="9"/>
        <v>1032.51</v>
      </c>
      <c r="X71" s="5">
        <f t="shared" si="9"/>
        <v>132.02600000000001</v>
      </c>
      <c r="Y71" s="5">
        <f t="shared" si="9"/>
        <v>88</v>
      </c>
      <c r="Z71" s="5">
        <f t="shared" si="9"/>
        <v>1363.27</v>
      </c>
      <c r="AA71" s="5">
        <f t="shared" si="9"/>
        <v>1165.123</v>
      </c>
      <c r="AB71" s="5">
        <f t="shared" si="9"/>
        <v>0</v>
      </c>
      <c r="AC71" s="5">
        <f t="shared" si="9"/>
        <v>0</v>
      </c>
    </row>
    <row r="72" spans="1:29" x14ac:dyDescent="0.55000000000000004">
      <c r="B72">
        <v>16</v>
      </c>
      <c r="C72" t="s">
        <v>58</v>
      </c>
      <c r="D72" s="5">
        <f>SUM(D50:D51)/1000</f>
        <v>0</v>
      </c>
      <c r="E72" s="5">
        <f t="shared" ref="E72:AC72" si="10">SUM(E50:E51)/1000</f>
        <v>18.788</v>
      </c>
      <c r="F72" s="5">
        <f t="shared" si="10"/>
        <v>35.573999999999998</v>
      </c>
      <c r="G72" s="5">
        <f t="shared" si="10"/>
        <v>357.67</v>
      </c>
      <c r="H72" s="5">
        <f t="shared" si="10"/>
        <v>3.48</v>
      </c>
      <c r="I72" s="5">
        <f t="shared" si="10"/>
        <v>14.025</v>
      </c>
      <c r="J72" s="5">
        <f t="shared" si="10"/>
        <v>64.534499999999994</v>
      </c>
      <c r="K72" s="5">
        <f t="shared" si="10"/>
        <v>0</v>
      </c>
      <c r="L72" s="5">
        <f t="shared" si="10"/>
        <v>16.75</v>
      </c>
      <c r="M72" s="5">
        <f t="shared" si="10"/>
        <v>337.76400000000001</v>
      </c>
      <c r="N72" s="5">
        <f t="shared" si="10"/>
        <v>9.64</v>
      </c>
      <c r="O72" s="5">
        <f t="shared" si="10"/>
        <v>0</v>
      </c>
      <c r="P72" s="5">
        <f t="shared" si="10"/>
        <v>5.61</v>
      </c>
      <c r="Q72" s="5">
        <f t="shared" si="10"/>
        <v>63.734000000000002</v>
      </c>
      <c r="R72" s="5">
        <f t="shared" si="10"/>
        <v>16.440000000000001</v>
      </c>
      <c r="S72" s="5">
        <f t="shared" si="10"/>
        <v>101.551</v>
      </c>
      <c r="T72" s="5">
        <f t="shared" si="10"/>
        <v>27.875</v>
      </c>
      <c r="U72" s="5">
        <f t="shared" si="10"/>
        <v>52.285199999999996</v>
      </c>
      <c r="V72" s="5">
        <f t="shared" si="10"/>
        <v>20.538</v>
      </c>
      <c r="W72" s="5">
        <f t="shared" si="10"/>
        <v>144.97300000000001</v>
      </c>
      <c r="X72" s="5">
        <f t="shared" si="10"/>
        <v>39.212000000000003</v>
      </c>
      <c r="Y72" s="5">
        <f t="shared" si="10"/>
        <v>6</v>
      </c>
      <c r="Z72" s="5">
        <f t="shared" si="10"/>
        <v>68.16</v>
      </c>
      <c r="AA72" s="5">
        <f t="shared" si="10"/>
        <v>205.28700000000001</v>
      </c>
      <c r="AB72" s="5">
        <f t="shared" si="10"/>
        <v>0</v>
      </c>
      <c r="AC72" s="5">
        <f t="shared" si="10"/>
        <v>0</v>
      </c>
    </row>
    <row r="73" spans="1:29" x14ac:dyDescent="0.55000000000000004">
      <c r="B73">
        <v>17</v>
      </c>
      <c r="C73" t="s">
        <v>57</v>
      </c>
      <c r="D73" s="5">
        <f>SUM(D61:D62)/1000</f>
        <v>0</v>
      </c>
      <c r="E73" s="5">
        <f t="shared" ref="E73:AC73" si="11">SUM(E61:E62)/1000</f>
        <v>0</v>
      </c>
      <c r="F73" s="5">
        <f t="shared" si="11"/>
        <v>0</v>
      </c>
      <c r="G73" s="5">
        <f t="shared" si="11"/>
        <v>70.099999999999994</v>
      </c>
      <c r="H73" s="5">
        <f t="shared" si="11"/>
        <v>7.76</v>
      </c>
      <c r="I73" s="5">
        <f t="shared" si="11"/>
        <v>0</v>
      </c>
      <c r="J73" s="5">
        <f t="shared" si="11"/>
        <v>11.938000000000001</v>
      </c>
      <c r="K73" s="5">
        <f t="shared" si="11"/>
        <v>0</v>
      </c>
      <c r="L73" s="5">
        <f t="shared" si="11"/>
        <v>0</v>
      </c>
      <c r="M73" s="5">
        <f t="shared" si="11"/>
        <v>77.760999999999996</v>
      </c>
      <c r="N73" s="5">
        <f t="shared" si="11"/>
        <v>0</v>
      </c>
      <c r="O73" s="5">
        <f t="shared" si="11"/>
        <v>0</v>
      </c>
      <c r="P73" s="5">
        <f t="shared" si="11"/>
        <v>0</v>
      </c>
      <c r="Q73" s="5">
        <f t="shared" si="11"/>
        <v>3.84</v>
      </c>
      <c r="R73" s="5">
        <f t="shared" si="11"/>
        <v>0</v>
      </c>
      <c r="S73" s="5">
        <f t="shared" si="11"/>
        <v>2.8</v>
      </c>
      <c r="T73" s="5">
        <f t="shared" si="11"/>
        <v>0</v>
      </c>
      <c r="U73" s="5">
        <f t="shared" si="11"/>
        <v>0</v>
      </c>
      <c r="V73" s="5">
        <f t="shared" si="11"/>
        <v>0</v>
      </c>
      <c r="W73" s="5">
        <f t="shared" si="11"/>
        <v>61.122999999999998</v>
      </c>
      <c r="X73" s="5">
        <f t="shared" si="11"/>
        <v>4.68</v>
      </c>
      <c r="Y73" s="5">
        <f t="shared" si="11"/>
        <v>22.32</v>
      </c>
      <c r="Z73" s="5">
        <f t="shared" si="11"/>
        <v>0</v>
      </c>
      <c r="AA73" s="5">
        <f t="shared" si="11"/>
        <v>104.809</v>
      </c>
      <c r="AB73" s="5">
        <f t="shared" si="11"/>
        <v>0</v>
      </c>
      <c r="AC73" s="5">
        <f t="shared" si="11"/>
        <v>0</v>
      </c>
    </row>
    <row r="74" spans="1:29" x14ac:dyDescent="0.55000000000000004"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 spans="1:29" x14ac:dyDescent="0.55000000000000004">
      <c r="C75" t="s">
        <v>43</v>
      </c>
      <c r="D75" s="7">
        <f>SUM(D36:D43,D47:D54,D58:D65)/1000</f>
        <v>0</v>
      </c>
      <c r="E75" s="7">
        <f t="shared" ref="E75:AC75" si="12">SUM(E36:E43,E47:E54,E58:E65)/1000</f>
        <v>67.468000000000004</v>
      </c>
      <c r="F75" s="7">
        <f t="shared" si="12"/>
        <v>191.40700000000001</v>
      </c>
      <c r="G75" s="7">
        <f t="shared" si="12"/>
        <v>3515.1849999999999</v>
      </c>
      <c r="H75" s="7">
        <f t="shared" si="12"/>
        <v>518.39499999999998</v>
      </c>
      <c r="I75" s="7">
        <f t="shared" si="12"/>
        <v>620.29999999999995</v>
      </c>
      <c r="J75" s="7">
        <f t="shared" si="12"/>
        <v>2158.7559999999999</v>
      </c>
      <c r="K75" s="7">
        <f t="shared" si="12"/>
        <v>631.93899999999996</v>
      </c>
      <c r="L75" s="7">
        <f t="shared" si="12"/>
        <v>260.38499999999999</v>
      </c>
      <c r="M75" s="7">
        <f t="shared" si="12"/>
        <v>1522.653</v>
      </c>
      <c r="N75" s="7">
        <f t="shared" si="12"/>
        <v>391.279</v>
      </c>
      <c r="O75" s="7">
        <f t="shared" si="12"/>
        <v>45.256999999999998</v>
      </c>
      <c r="P75" s="7">
        <f t="shared" si="12"/>
        <v>274.75400000000002</v>
      </c>
      <c r="Q75" s="7">
        <f t="shared" si="12"/>
        <v>155.858</v>
      </c>
      <c r="R75" s="7">
        <f t="shared" si="12"/>
        <v>126.56699999999999</v>
      </c>
      <c r="S75" s="7">
        <f t="shared" si="12"/>
        <v>1653.25</v>
      </c>
      <c r="T75" s="7">
        <f t="shared" si="12"/>
        <v>234.35</v>
      </c>
      <c r="U75" s="7">
        <f t="shared" si="12"/>
        <v>699.33319999999992</v>
      </c>
      <c r="V75" s="7">
        <f t="shared" si="12"/>
        <v>171.48599999999999</v>
      </c>
      <c r="W75" s="7">
        <f t="shared" si="12"/>
        <v>1895.7840000000001</v>
      </c>
      <c r="X75" s="7">
        <f t="shared" si="12"/>
        <v>763.44799999999998</v>
      </c>
      <c r="Y75" s="7">
        <f t="shared" si="12"/>
        <v>280.82</v>
      </c>
      <c r="Z75" s="7">
        <f t="shared" si="12"/>
        <v>2583.6754000000001</v>
      </c>
      <c r="AA75" s="7">
        <f t="shared" si="12"/>
        <v>1747.144</v>
      </c>
      <c r="AB75" s="7">
        <f t="shared" si="12"/>
        <v>0</v>
      </c>
      <c r="AC75" s="7">
        <f t="shared" si="12"/>
        <v>0</v>
      </c>
    </row>
    <row r="77" spans="1:29" x14ac:dyDescent="0.55000000000000004">
      <c r="A77" s="9" t="s">
        <v>46</v>
      </c>
      <c r="B77" s="9" t="s">
        <v>47</v>
      </c>
      <c r="C77" s="6" t="s">
        <v>1</v>
      </c>
      <c r="D77" s="6" t="s">
        <v>2</v>
      </c>
      <c r="E77" s="6" t="s">
        <v>3</v>
      </c>
      <c r="F77" s="6" t="s">
        <v>4</v>
      </c>
      <c r="G77" s="6" t="s">
        <v>5</v>
      </c>
      <c r="H77" s="6" t="s">
        <v>6</v>
      </c>
      <c r="I77" s="6" t="s">
        <v>7</v>
      </c>
      <c r="J77" s="6" t="s">
        <v>8</v>
      </c>
      <c r="K77" s="6" t="s">
        <v>9</v>
      </c>
      <c r="L77" s="6" t="s">
        <v>10</v>
      </c>
      <c r="M77" s="6" t="s">
        <v>11</v>
      </c>
      <c r="N77" s="6" t="s">
        <v>12</v>
      </c>
      <c r="O77" s="6" t="s">
        <v>13</v>
      </c>
      <c r="P77" s="6" t="s">
        <v>14</v>
      </c>
      <c r="Q77" s="6" t="s">
        <v>15</v>
      </c>
      <c r="R77" s="6" t="s">
        <v>16</v>
      </c>
      <c r="S77" s="6" t="s">
        <v>17</v>
      </c>
      <c r="T77" s="6" t="s">
        <v>18</v>
      </c>
      <c r="U77" s="6" t="s">
        <v>19</v>
      </c>
      <c r="V77" s="6" t="s">
        <v>20</v>
      </c>
      <c r="W77" s="6" t="s">
        <v>21</v>
      </c>
      <c r="X77" s="6" t="s">
        <v>22</v>
      </c>
      <c r="Y77" s="6" t="s">
        <v>23</v>
      </c>
      <c r="Z77" s="6" t="s">
        <v>24</v>
      </c>
      <c r="AA77" s="6" t="s">
        <v>25</v>
      </c>
      <c r="AB77" s="6" t="s">
        <v>26</v>
      </c>
      <c r="AC77" s="6" t="s">
        <v>27</v>
      </c>
    </row>
    <row r="78" spans="1:29" x14ac:dyDescent="0.55000000000000004">
      <c r="A78" s="2" t="s">
        <v>48</v>
      </c>
      <c r="B78" s="10" t="s">
        <v>0</v>
      </c>
      <c r="C78" s="7">
        <v>118706</v>
      </c>
      <c r="D78" s="7">
        <v>0</v>
      </c>
      <c r="E78" s="7">
        <v>0</v>
      </c>
      <c r="F78" s="7">
        <v>0</v>
      </c>
      <c r="G78" s="7">
        <v>4000</v>
      </c>
      <c r="H78" s="7">
        <v>0</v>
      </c>
      <c r="I78" s="7">
        <v>0</v>
      </c>
      <c r="J78" s="7">
        <v>0</v>
      </c>
      <c r="K78" s="7">
        <v>24821</v>
      </c>
      <c r="L78" s="7">
        <v>0</v>
      </c>
      <c r="M78" s="7">
        <v>0</v>
      </c>
      <c r="N78" s="7">
        <v>0</v>
      </c>
      <c r="O78" s="7">
        <v>0</v>
      </c>
      <c r="P78" s="7">
        <v>12000</v>
      </c>
      <c r="Q78" s="7">
        <v>0</v>
      </c>
      <c r="R78" s="7">
        <v>0</v>
      </c>
      <c r="S78" s="7">
        <v>6000</v>
      </c>
      <c r="T78" s="7">
        <v>0</v>
      </c>
      <c r="U78" s="7">
        <v>7760</v>
      </c>
      <c r="V78" s="7">
        <v>0</v>
      </c>
      <c r="W78" s="7">
        <v>30125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34000</v>
      </c>
    </row>
    <row r="79" spans="1:29" x14ac:dyDescent="0.55000000000000004">
      <c r="A79" s="2" t="s">
        <v>49</v>
      </c>
      <c r="B79" s="10" t="s">
        <v>0</v>
      </c>
      <c r="C79" s="7">
        <v>3200</v>
      </c>
      <c r="D79" s="7">
        <v>0</v>
      </c>
      <c r="E79" s="7">
        <v>0</v>
      </c>
      <c r="F79" s="7">
        <v>0</v>
      </c>
      <c r="G79" s="7">
        <v>2000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1200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</row>
    <row r="80" spans="1:29" x14ac:dyDescent="0.55000000000000004">
      <c r="A80" s="2" t="s">
        <v>50</v>
      </c>
      <c r="B80" s="10" t="s">
        <v>0</v>
      </c>
      <c r="C80" s="7">
        <v>321690</v>
      </c>
      <c r="D80" s="7">
        <v>0</v>
      </c>
      <c r="E80" s="7">
        <v>98800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22100</v>
      </c>
      <c r="N80" s="7">
        <v>0</v>
      </c>
      <c r="O80" s="7">
        <v>0</v>
      </c>
      <c r="P80" s="7">
        <v>49300</v>
      </c>
      <c r="Q80" s="7">
        <v>0</v>
      </c>
      <c r="R80" s="7">
        <v>0</v>
      </c>
      <c r="S80" s="7">
        <v>5000</v>
      </c>
      <c r="T80" s="7">
        <v>0</v>
      </c>
      <c r="U80" s="7">
        <v>5000</v>
      </c>
      <c r="V80" s="7">
        <v>16000</v>
      </c>
      <c r="W80" s="7">
        <v>50390</v>
      </c>
      <c r="X80" s="7">
        <v>0</v>
      </c>
      <c r="Y80" s="7">
        <v>0</v>
      </c>
      <c r="Z80" s="7">
        <v>14000</v>
      </c>
      <c r="AA80" s="7">
        <v>12100</v>
      </c>
      <c r="AB80" s="7">
        <v>0</v>
      </c>
      <c r="AC80" s="7">
        <v>49000</v>
      </c>
    </row>
    <row r="81" spans="1:29" x14ac:dyDescent="0.55000000000000004">
      <c r="A81" s="2" t="s">
        <v>51</v>
      </c>
      <c r="B81" s="10" t="s">
        <v>0</v>
      </c>
      <c r="C81" s="7">
        <v>51116</v>
      </c>
      <c r="D81" s="7">
        <v>0</v>
      </c>
      <c r="E81" s="7">
        <v>0</v>
      </c>
      <c r="F81" s="7">
        <v>16000</v>
      </c>
      <c r="G81" s="7">
        <v>0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6616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28500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</row>
    <row r="82" spans="1:29" x14ac:dyDescent="0.55000000000000004">
      <c r="A82" s="2" t="s">
        <v>52</v>
      </c>
      <c r="B82" s="10" t="s">
        <v>0</v>
      </c>
      <c r="C82" s="7">
        <v>3571962</v>
      </c>
      <c r="D82" s="7">
        <v>798676</v>
      </c>
      <c r="E82" s="7">
        <v>345710</v>
      </c>
      <c r="F82" s="7">
        <v>76626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187098</v>
      </c>
      <c r="N82" s="7">
        <v>88740</v>
      </c>
      <c r="O82" s="7">
        <v>0</v>
      </c>
      <c r="P82" s="7">
        <v>154722</v>
      </c>
      <c r="Q82" s="7">
        <v>0</v>
      </c>
      <c r="R82" s="7">
        <v>0</v>
      </c>
      <c r="S82" s="7">
        <v>0</v>
      </c>
      <c r="T82" s="7">
        <v>159534</v>
      </c>
      <c r="U82" s="7">
        <v>26305</v>
      </c>
      <c r="V82" s="7">
        <v>105900</v>
      </c>
      <c r="W82" s="7">
        <v>226400</v>
      </c>
      <c r="X82" s="7">
        <v>1238901</v>
      </c>
      <c r="Y82" s="7">
        <v>0</v>
      </c>
      <c r="Z82" s="7">
        <v>0</v>
      </c>
      <c r="AA82" s="7">
        <v>0</v>
      </c>
      <c r="AB82" s="7">
        <v>140250</v>
      </c>
      <c r="AC82" s="7">
        <v>23100</v>
      </c>
    </row>
    <row r="83" spans="1:29" x14ac:dyDescent="0.55000000000000004">
      <c r="A83" s="2" t="s">
        <v>53</v>
      </c>
      <c r="B83" s="10" t="s">
        <v>0</v>
      </c>
      <c r="C83" s="7">
        <v>435794</v>
      </c>
      <c r="D83" s="7">
        <v>89160</v>
      </c>
      <c r="E83" s="7">
        <v>0</v>
      </c>
      <c r="F83" s="7">
        <v>44440</v>
      </c>
      <c r="G83" s="7">
        <v>0</v>
      </c>
      <c r="H83" s="7">
        <v>0</v>
      </c>
      <c r="I83" s="7">
        <v>0</v>
      </c>
      <c r="J83" s="7">
        <v>0</v>
      </c>
      <c r="K83" s="7">
        <v>21600</v>
      </c>
      <c r="L83" s="7">
        <v>0</v>
      </c>
      <c r="M83" s="7">
        <v>0</v>
      </c>
      <c r="N83" s="7">
        <v>0</v>
      </c>
      <c r="O83" s="7">
        <v>0</v>
      </c>
      <c r="P83" s="7">
        <v>28638</v>
      </c>
      <c r="Q83" s="7">
        <v>0</v>
      </c>
      <c r="R83" s="7">
        <v>0</v>
      </c>
      <c r="S83" s="7">
        <v>11000</v>
      </c>
      <c r="T83" s="7">
        <v>35456</v>
      </c>
      <c r="U83" s="7">
        <v>0</v>
      </c>
      <c r="V83" s="7">
        <v>0</v>
      </c>
      <c r="W83" s="7">
        <v>205500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</row>
    <row r="84" spans="1:29" x14ac:dyDescent="0.55000000000000004">
      <c r="A84" s="2" t="s">
        <v>32</v>
      </c>
      <c r="B84" s="10" t="s">
        <v>0</v>
      </c>
      <c r="C84" s="7">
        <v>661512</v>
      </c>
      <c r="D84" s="7">
        <v>0</v>
      </c>
      <c r="E84" s="7">
        <v>216840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26704</v>
      </c>
      <c r="L84" s="7">
        <v>0</v>
      </c>
      <c r="M84" s="7">
        <v>76500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71000</v>
      </c>
      <c r="U84" s="7">
        <v>78795</v>
      </c>
      <c r="V84" s="7">
        <v>0</v>
      </c>
      <c r="W84" s="7">
        <v>26969</v>
      </c>
      <c r="X84" s="7">
        <v>41890</v>
      </c>
      <c r="Y84" s="7">
        <v>0</v>
      </c>
      <c r="Z84" s="7">
        <v>111814</v>
      </c>
      <c r="AA84" s="7">
        <v>0</v>
      </c>
      <c r="AB84" s="7">
        <v>1000</v>
      </c>
      <c r="AC84" s="7">
        <v>10000</v>
      </c>
    </row>
    <row r="85" spans="1:29" x14ac:dyDescent="0.55000000000000004">
      <c r="A85" s="2" t="s">
        <v>33</v>
      </c>
      <c r="B85" s="10" t="s">
        <v>0</v>
      </c>
      <c r="C85" s="7">
        <v>3039529</v>
      </c>
      <c r="D85" s="7">
        <v>16228</v>
      </c>
      <c r="E85" s="7">
        <v>91400</v>
      </c>
      <c r="F85" s="7">
        <v>0</v>
      </c>
      <c r="G85" s="7">
        <v>13500</v>
      </c>
      <c r="H85" s="7">
        <v>0</v>
      </c>
      <c r="I85" s="7">
        <v>0</v>
      </c>
      <c r="J85" s="7">
        <v>0</v>
      </c>
      <c r="K85" s="7">
        <v>0</v>
      </c>
      <c r="L85" s="7">
        <v>116698</v>
      </c>
      <c r="M85" s="7">
        <v>96000</v>
      </c>
      <c r="N85" s="7">
        <v>0</v>
      </c>
      <c r="O85" s="7">
        <v>0</v>
      </c>
      <c r="P85" s="7">
        <v>331892</v>
      </c>
      <c r="Q85" s="7">
        <v>0</v>
      </c>
      <c r="R85" s="7">
        <v>0</v>
      </c>
      <c r="S85" s="7">
        <v>0</v>
      </c>
      <c r="T85" s="7">
        <v>167636</v>
      </c>
      <c r="U85" s="7">
        <v>333745</v>
      </c>
      <c r="V85" s="7">
        <v>58550</v>
      </c>
      <c r="W85" s="7">
        <v>231050</v>
      </c>
      <c r="X85" s="7">
        <v>22000</v>
      </c>
      <c r="Y85" s="7">
        <v>0</v>
      </c>
      <c r="Z85" s="7">
        <v>187450</v>
      </c>
      <c r="AA85" s="7">
        <v>0</v>
      </c>
      <c r="AB85" s="7">
        <v>1365380</v>
      </c>
      <c r="AC85" s="7">
        <v>8000</v>
      </c>
    </row>
    <row r="86" spans="1:29" x14ac:dyDescent="0.55000000000000004">
      <c r="A86" s="8" t="s">
        <v>35</v>
      </c>
      <c r="B86" s="10" t="s">
        <v>0</v>
      </c>
      <c r="C86" s="7">
        <v>47527</v>
      </c>
      <c r="D86" s="7">
        <v>0</v>
      </c>
      <c r="E86" s="7">
        <v>3800</v>
      </c>
      <c r="F86" s="7">
        <v>6387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2410</v>
      </c>
      <c r="N86" s="7">
        <v>0</v>
      </c>
      <c r="O86" s="7">
        <v>0</v>
      </c>
      <c r="P86" s="7">
        <v>12841</v>
      </c>
      <c r="Q86" s="7">
        <v>0</v>
      </c>
      <c r="R86" s="7">
        <v>0</v>
      </c>
      <c r="S86" s="7">
        <v>0</v>
      </c>
      <c r="T86" s="7">
        <v>3000</v>
      </c>
      <c r="U86" s="7">
        <v>4980</v>
      </c>
      <c r="V86" s="7">
        <v>2640</v>
      </c>
      <c r="W86" s="7">
        <v>8969</v>
      </c>
      <c r="X86" s="7">
        <v>2500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</row>
    <row r="87" spans="1:29" x14ac:dyDescent="0.55000000000000004">
      <c r="A87" s="8" t="s">
        <v>35</v>
      </c>
      <c r="B87" s="10" t="s">
        <v>0</v>
      </c>
      <c r="C87" s="7">
        <v>1023458</v>
      </c>
      <c r="D87" s="7">
        <v>415976</v>
      </c>
      <c r="E87" s="7">
        <v>64000</v>
      </c>
      <c r="F87" s="7">
        <v>29140</v>
      </c>
      <c r="G87" s="7">
        <v>23900</v>
      </c>
      <c r="H87" s="7">
        <v>0</v>
      </c>
      <c r="I87" s="7">
        <v>0</v>
      </c>
      <c r="J87" s="7">
        <v>0</v>
      </c>
      <c r="K87" s="7">
        <v>8630</v>
      </c>
      <c r="L87" s="7">
        <v>0</v>
      </c>
      <c r="M87" s="7">
        <v>95845</v>
      </c>
      <c r="N87" s="7">
        <v>13400</v>
      </c>
      <c r="O87" s="7">
        <v>0</v>
      </c>
      <c r="P87" s="7">
        <v>37393</v>
      </c>
      <c r="Q87" s="7">
        <v>0</v>
      </c>
      <c r="R87" s="7">
        <v>3310</v>
      </c>
      <c r="S87" s="7">
        <v>2500</v>
      </c>
      <c r="T87" s="7">
        <v>66950</v>
      </c>
      <c r="U87" s="7">
        <v>17600</v>
      </c>
      <c r="V87" s="7">
        <v>67932</v>
      </c>
      <c r="W87" s="7">
        <v>32304</v>
      </c>
      <c r="X87" s="7">
        <v>11378</v>
      </c>
      <c r="Y87" s="7">
        <v>0</v>
      </c>
      <c r="Z87" s="7">
        <v>14216</v>
      </c>
      <c r="AA87" s="7">
        <v>6240</v>
      </c>
      <c r="AB87" s="7">
        <v>60124</v>
      </c>
      <c r="AC87" s="7">
        <v>52620</v>
      </c>
    </row>
    <row r="88" spans="1:29" x14ac:dyDescent="0.55000000000000004">
      <c r="A88" s="8" t="s">
        <v>35</v>
      </c>
      <c r="B88" s="10" t="s">
        <v>0</v>
      </c>
      <c r="C88" s="7">
        <v>0</v>
      </c>
      <c r="D88" s="7">
        <v>0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</row>
    <row r="89" spans="1:29" x14ac:dyDescent="0.55000000000000004">
      <c r="A89" s="2" t="s">
        <v>36</v>
      </c>
      <c r="B89" s="10" t="s">
        <v>0</v>
      </c>
      <c r="C89" s="7">
        <v>58425</v>
      </c>
      <c r="D89" s="7">
        <v>0</v>
      </c>
      <c r="E89" s="7">
        <v>0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39925</v>
      </c>
      <c r="V89" s="7">
        <v>0</v>
      </c>
      <c r="W89" s="7">
        <v>18500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</row>
    <row r="90" spans="1:29" x14ac:dyDescent="0.55000000000000004">
      <c r="A90" s="8" t="s">
        <v>54</v>
      </c>
      <c r="B90" s="10" t="s">
        <v>0</v>
      </c>
      <c r="C90" s="7">
        <v>6870157</v>
      </c>
      <c r="D90" s="7">
        <v>9490</v>
      </c>
      <c r="E90" s="7">
        <v>6002800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337500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260054</v>
      </c>
      <c r="U90" s="7">
        <v>24500</v>
      </c>
      <c r="V90" s="7">
        <v>0</v>
      </c>
      <c r="W90" s="7">
        <v>90813</v>
      </c>
      <c r="X90" s="7">
        <v>0</v>
      </c>
      <c r="Y90" s="7">
        <v>0</v>
      </c>
      <c r="Z90" s="7">
        <v>0</v>
      </c>
      <c r="AA90" s="7">
        <v>145000</v>
      </c>
      <c r="AB90" s="7">
        <v>0</v>
      </c>
      <c r="AC90" s="7">
        <v>0</v>
      </c>
    </row>
    <row r="93" spans="1:29" x14ac:dyDescent="0.55000000000000004">
      <c r="A93" s="1" t="s">
        <v>28</v>
      </c>
      <c r="B93" s="1" t="s">
        <v>41</v>
      </c>
      <c r="D93" s="4" t="s">
        <v>20</v>
      </c>
      <c r="E93" s="4" t="s">
        <v>17</v>
      </c>
      <c r="F93" s="4" t="s">
        <v>16</v>
      </c>
      <c r="G93" s="4" t="s">
        <v>3</v>
      </c>
      <c r="H93" s="4" t="s">
        <v>14</v>
      </c>
      <c r="I93" s="4" t="s">
        <v>13</v>
      </c>
      <c r="J93" s="4" t="s">
        <v>11</v>
      </c>
      <c r="K93" s="4" t="s">
        <v>26</v>
      </c>
      <c r="L93" s="4" t="s">
        <v>9</v>
      </c>
      <c r="M93" s="4" t="s">
        <v>19</v>
      </c>
      <c r="N93" s="4" t="s">
        <v>27</v>
      </c>
      <c r="O93" s="4" t="s">
        <v>4</v>
      </c>
      <c r="P93" s="4" t="s">
        <v>25</v>
      </c>
      <c r="Q93" s="4" t="s">
        <v>8</v>
      </c>
      <c r="R93" s="4" t="s">
        <v>7</v>
      </c>
      <c r="S93" s="4" t="s">
        <v>18</v>
      </c>
      <c r="T93" s="4" t="s">
        <v>15</v>
      </c>
      <c r="U93" s="4" t="s">
        <v>12</v>
      </c>
      <c r="V93" s="4" t="s">
        <v>6</v>
      </c>
      <c r="W93" s="4" t="s">
        <v>21</v>
      </c>
      <c r="X93" s="4" t="s">
        <v>22</v>
      </c>
      <c r="Y93" s="4" t="s">
        <v>5</v>
      </c>
      <c r="Z93" s="4" t="s">
        <v>23</v>
      </c>
      <c r="AA93" s="4" t="s">
        <v>24</v>
      </c>
      <c r="AB93" s="4" t="s">
        <v>10</v>
      </c>
      <c r="AC93" s="4" t="s">
        <v>2</v>
      </c>
    </row>
    <row r="94" spans="1:29" x14ac:dyDescent="0.55000000000000004">
      <c r="A94" s="2" t="s">
        <v>48</v>
      </c>
      <c r="B94">
        <v>2</v>
      </c>
      <c r="D94" s="7">
        <f>HLOOKUP(D$93,$D$77:$AC$90,$B94,FALSE)</f>
        <v>0</v>
      </c>
      <c r="E94" s="7">
        <f t="shared" ref="E94:AC104" si="13">HLOOKUP(E$93,$D$77:$AC$90,$B94,FALSE)</f>
        <v>6000</v>
      </c>
      <c r="F94" s="7">
        <f t="shared" si="13"/>
        <v>0</v>
      </c>
      <c r="G94" s="7">
        <f t="shared" si="13"/>
        <v>0</v>
      </c>
      <c r="H94" s="7">
        <f t="shared" si="13"/>
        <v>12000</v>
      </c>
      <c r="I94" s="7">
        <f t="shared" si="13"/>
        <v>0</v>
      </c>
      <c r="J94" s="7">
        <f t="shared" si="13"/>
        <v>0</v>
      </c>
      <c r="K94" s="7">
        <f t="shared" si="13"/>
        <v>0</v>
      </c>
      <c r="L94" s="7">
        <f t="shared" si="13"/>
        <v>24821</v>
      </c>
      <c r="M94" s="7">
        <f t="shared" si="13"/>
        <v>7760</v>
      </c>
      <c r="N94" s="7">
        <f t="shared" si="13"/>
        <v>34000</v>
      </c>
      <c r="O94" s="7">
        <f t="shared" si="13"/>
        <v>0</v>
      </c>
      <c r="P94" s="7">
        <f t="shared" si="13"/>
        <v>0</v>
      </c>
      <c r="Q94" s="7">
        <f t="shared" si="13"/>
        <v>0</v>
      </c>
      <c r="R94" s="7">
        <f t="shared" si="13"/>
        <v>0</v>
      </c>
      <c r="S94" s="7">
        <f t="shared" si="13"/>
        <v>0</v>
      </c>
      <c r="T94" s="7">
        <f t="shared" si="13"/>
        <v>0</v>
      </c>
      <c r="U94" s="7">
        <f t="shared" si="13"/>
        <v>0</v>
      </c>
      <c r="V94" s="7">
        <f t="shared" si="13"/>
        <v>0</v>
      </c>
      <c r="W94" s="7">
        <f t="shared" si="13"/>
        <v>30125</v>
      </c>
      <c r="X94" s="7">
        <f t="shared" si="13"/>
        <v>0</v>
      </c>
      <c r="Y94" s="7">
        <f t="shared" si="13"/>
        <v>4000</v>
      </c>
      <c r="Z94" s="7">
        <f t="shared" si="13"/>
        <v>0</v>
      </c>
      <c r="AA94" s="7">
        <f t="shared" si="13"/>
        <v>0</v>
      </c>
      <c r="AB94" s="7">
        <f t="shared" si="13"/>
        <v>0</v>
      </c>
      <c r="AC94" s="7">
        <f t="shared" si="13"/>
        <v>0</v>
      </c>
    </row>
    <row r="95" spans="1:29" x14ac:dyDescent="0.55000000000000004">
      <c r="A95" s="2" t="s">
        <v>49</v>
      </c>
      <c r="B95">
        <v>3</v>
      </c>
      <c r="D95" s="7">
        <f t="shared" ref="D95:S106" si="14">HLOOKUP(D$93,$D$77:$AC$90,$B95,FALSE)</f>
        <v>0</v>
      </c>
      <c r="E95" s="7">
        <f t="shared" si="14"/>
        <v>0</v>
      </c>
      <c r="F95" s="7">
        <f t="shared" si="14"/>
        <v>0</v>
      </c>
      <c r="G95" s="7">
        <f t="shared" si="14"/>
        <v>0</v>
      </c>
      <c r="H95" s="7">
        <f t="shared" si="14"/>
        <v>1200</v>
      </c>
      <c r="I95" s="7">
        <f t="shared" si="14"/>
        <v>0</v>
      </c>
      <c r="J95" s="7">
        <f t="shared" si="14"/>
        <v>0</v>
      </c>
      <c r="K95" s="7">
        <f t="shared" si="14"/>
        <v>0</v>
      </c>
      <c r="L95" s="7">
        <f t="shared" si="14"/>
        <v>0</v>
      </c>
      <c r="M95" s="7">
        <f t="shared" si="14"/>
        <v>0</v>
      </c>
      <c r="N95" s="7">
        <f t="shared" si="14"/>
        <v>0</v>
      </c>
      <c r="O95" s="7">
        <f t="shared" si="14"/>
        <v>0</v>
      </c>
      <c r="P95" s="7">
        <f t="shared" si="14"/>
        <v>0</v>
      </c>
      <c r="Q95" s="7">
        <f t="shared" si="14"/>
        <v>0</v>
      </c>
      <c r="R95" s="7">
        <f t="shared" si="14"/>
        <v>0</v>
      </c>
      <c r="S95" s="7">
        <f t="shared" si="14"/>
        <v>0</v>
      </c>
      <c r="T95" s="7">
        <f t="shared" si="13"/>
        <v>0</v>
      </c>
      <c r="U95" s="7">
        <f t="shared" si="13"/>
        <v>0</v>
      </c>
      <c r="V95" s="7">
        <f t="shared" si="13"/>
        <v>0</v>
      </c>
      <c r="W95" s="7">
        <f t="shared" si="13"/>
        <v>0</v>
      </c>
      <c r="X95" s="7">
        <f t="shared" si="13"/>
        <v>0</v>
      </c>
      <c r="Y95" s="7">
        <f t="shared" si="13"/>
        <v>2000</v>
      </c>
      <c r="Z95" s="7">
        <f t="shared" si="13"/>
        <v>0</v>
      </c>
      <c r="AA95" s="7">
        <f t="shared" si="13"/>
        <v>0</v>
      </c>
      <c r="AB95" s="7">
        <f t="shared" si="13"/>
        <v>0</v>
      </c>
      <c r="AC95" s="7">
        <f t="shared" si="13"/>
        <v>0</v>
      </c>
    </row>
    <row r="96" spans="1:29" x14ac:dyDescent="0.55000000000000004">
      <c r="A96" s="2" t="s">
        <v>50</v>
      </c>
      <c r="B96">
        <v>4</v>
      </c>
      <c r="D96" s="7">
        <f t="shared" si="14"/>
        <v>16000</v>
      </c>
      <c r="E96" s="7">
        <f t="shared" si="13"/>
        <v>5000</v>
      </c>
      <c r="F96" s="7">
        <f t="shared" si="13"/>
        <v>0</v>
      </c>
      <c r="G96" s="7">
        <f t="shared" si="13"/>
        <v>98800</v>
      </c>
      <c r="H96" s="7">
        <f t="shared" si="13"/>
        <v>49300</v>
      </c>
      <c r="I96" s="7">
        <f t="shared" si="13"/>
        <v>0</v>
      </c>
      <c r="J96" s="7">
        <f t="shared" si="13"/>
        <v>22100</v>
      </c>
      <c r="K96" s="7">
        <f t="shared" si="13"/>
        <v>0</v>
      </c>
      <c r="L96" s="7">
        <f t="shared" si="13"/>
        <v>0</v>
      </c>
      <c r="M96" s="7">
        <f t="shared" si="13"/>
        <v>5000</v>
      </c>
      <c r="N96" s="7">
        <f t="shared" si="13"/>
        <v>49000</v>
      </c>
      <c r="O96" s="7">
        <f t="shared" si="13"/>
        <v>0</v>
      </c>
      <c r="P96" s="7">
        <f t="shared" si="13"/>
        <v>12100</v>
      </c>
      <c r="Q96" s="7">
        <f t="shared" si="13"/>
        <v>0</v>
      </c>
      <c r="R96" s="7">
        <f t="shared" si="13"/>
        <v>0</v>
      </c>
      <c r="S96" s="7">
        <f t="shared" si="13"/>
        <v>0</v>
      </c>
      <c r="T96" s="7">
        <f t="shared" si="13"/>
        <v>0</v>
      </c>
      <c r="U96" s="7">
        <f t="shared" si="13"/>
        <v>0</v>
      </c>
      <c r="V96" s="7">
        <f t="shared" si="13"/>
        <v>0</v>
      </c>
      <c r="W96" s="7">
        <f t="shared" si="13"/>
        <v>50390</v>
      </c>
      <c r="X96" s="7">
        <f t="shared" si="13"/>
        <v>0</v>
      </c>
      <c r="Y96" s="7">
        <f t="shared" si="13"/>
        <v>0</v>
      </c>
      <c r="Z96" s="7">
        <f t="shared" si="13"/>
        <v>0</v>
      </c>
      <c r="AA96" s="7">
        <f t="shared" si="13"/>
        <v>14000</v>
      </c>
      <c r="AB96" s="7">
        <f t="shared" si="13"/>
        <v>0</v>
      </c>
      <c r="AC96" s="7">
        <f t="shared" si="13"/>
        <v>0</v>
      </c>
    </row>
    <row r="97" spans="1:29" x14ac:dyDescent="0.55000000000000004">
      <c r="A97" s="2" t="s">
        <v>51</v>
      </c>
      <c r="B97">
        <v>5</v>
      </c>
      <c r="D97" s="7">
        <f t="shared" si="14"/>
        <v>0</v>
      </c>
      <c r="E97" s="7">
        <f t="shared" si="13"/>
        <v>0</v>
      </c>
      <c r="F97" s="7">
        <f t="shared" si="13"/>
        <v>0</v>
      </c>
      <c r="G97" s="7">
        <f t="shared" si="13"/>
        <v>0</v>
      </c>
      <c r="H97" s="7">
        <f t="shared" si="13"/>
        <v>6616</v>
      </c>
      <c r="I97" s="7">
        <f t="shared" si="13"/>
        <v>0</v>
      </c>
      <c r="J97" s="7">
        <f t="shared" si="13"/>
        <v>0</v>
      </c>
      <c r="K97" s="7">
        <f t="shared" si="13"/>
        <v>0</v>
      </c>
      <c r="L97" s="7">
        <f t="shared" si="13"/>
        <v>0</v>
      </c>
      <c r="M97" s="7">
        <f t="shared" si="13"/>
        <v>0</v>
      </c>
      <c r="N97" s="7">
        <f t="shared" si="13"/>
        <v>0</v>
      </c>
      <c r="O97" s="7">
        <f t="shared" si="13"/>
        <v>16000</v>
      </c>
      <c r="P97" s="7">
        <f t="shared" si="13"/>
        <v>0</v>
      </c>
      <c r="Q97" s="7">
        <f t="shared" si="13"/>
        <v>0</v>
      </c>
      <c r="R97" s="7">
        <f t="shared" si="13"/>
        <v>0</v>
      </c>
      <c r="S97" s="7">
        <f t="shared" si="13"/>
        <v>0</v>
      </c>
      <c r="T97" s="7">
        <f t="shared" si="13"/>
        <v>0</v>
      </c>
      <c r="U97" s="7">
        <f t="shared" si="13"/>
        <v>0</v>
      </c>
      <c r="V97" s="7">
        <f t="shared" si="13"/>
        <v>0</v>
      </c>
      <c r="W97" s="7">
        <f t="shared" si="13"/>
        <v>28500</v>
      </c>
      <c r="X97" s="7">
        <f t="shared" si="13"/>
        <v>0</v>
      </c>
      <c r="Y97" s="7">
        <f t="shared" si="13"/>
        <v>0</v>
      </c>
      <c r="Z97" s="7">
        <f t="shared" si="13"/>
        <v>0</v>
      </c>
      <c r="AA97" s="7">
        <f t="shared" si="13"/>
        <v>0</v>
      </c>
      <c r="AB97" s="7">
        <f t="shared" si="13"/>
        <v>0</v>
      </c>
      <c r="AC97" s="7">
        <f t="shared" si="13"/>
        <v>0</v>
      </c>
    </row>
    <row r="98" spans="1:29" x14ac:dyDescent="0.55000000000000004">
      <c r="A98" s="2" t="s">
        <v>52</v>
      </c>
      <c r="B98">
        <v>6</v>
      </c>
      <c r="D98" s="7">
        <f t="shared" si="14"/>
        <v>105900</v>
      </c>
      <c r="E98" s="7">
        <f t="shared" si="13"/>
        <v>0</v>
      </c>
      <c r="F98" s="7">
        <f t="shared" si="13"/>
        <v>0</v>
      </c>
      <c r="G98" s="7">
        <f t="shared" si="13"/>
        <v>345710</v>
      </c>
      <c r="H98" s="7">
        <f t="shared" si="13"/>
        <v>154722</v>
      </c>
      <c r="I98" s="7">
        <f t="shared" si="13"/>
        <v>0</v>
      </c>
      <c r="J98" s="7">
        <f t="shared" si="13"/>
        <v>187098</v>
      </c>
      <c r="K98" s="7">
        <f t="shared" si="13"/>
        <v>140250</v>
      </c>
      <c r="L98" s="7">
        <f t="shared" si="13"/>
        <v>0</v>
      </c>
      <c r="M98" s="7">
        <f t="shared" si="13"/>
        <v>26305</v>
      </c>
      <c r="N98" s="7">
        <f t="shared" si="13"/>
        <v>23100</v>
      </c>
      <c r="O98" s="7">
        <f t="shared" si="13"/>
        <v>76626</v>
      </c>
      <c r="P98" s="7">
        <f t="shared" si="13"/>
        <v>0</v>
      </c>
      <c r="Q98" s="7">
        <f t="shared" si="13"/>
        <v>0</v>
      </c>
      <c r="R98" s="7">
        <f t="shared" si="13"/>
        <v>0</v>
      </c>
      <c r="S98" s="7">
        <f t="shared" si="13"/>
        <v>159534</v>
      </c>
      <c r="T98" s="7">
        <f t="shared" si="13"/>
        <v>0</v>
      </c>
      <c r="U98" s="7">
        <f t="shared" si="13"/>
        <v>88740</v>
      </c>
      <c r="V98" s="7">
        <f t="shared" si="13"/>
        <v>0</v>
      </c>
      <c r="W98" s="7">
        <f t="shared" si="13"/>
        <v>226400</v>
      </c>
      <c r="X98" s="7">
        <f t="shared" si="13"/>
        <v>1238901</v>
      </c>
      <c r="Y98" s="7">
        <f t="shared" si="13"/>
        <v>0</v>
      </c>
      <c r="Z98" s="7">
        <f t="shared" si="13"/>
        <v>0</v>
      </c>
      <c r="AA98" s="7">
        <f t="shared" si="13"/>
        <v>0</v>
      </c>
      <c r="AB98" s="7">
        <f t="shared" si="13"/>
        <v>0</v>
      </c>
      <c r="AC98" s="7">
        <f t="shared" si="13"/>
        <v>798676</v>
      </c>
    </row>
    <row r="99" spans="1:29" x14ac:dyDescent="0.55000000000000004">
      <c r="A99" s="2" t="s">
        <v>53</v>
      </c>
      <c r="B99">
        <v>7</v>
      </c>
      <c r="D99" s="7">
        <f t="shared" si="14"/>
        <v>0</v>
      </c>
      <c r="E99" s="7">
        <f t="shared" si="13"/>
        <v>11000</v>
      </c>
      <c r="F99" s="7">
        <f t="shared" si="13"/>
        <v>0</v>
      </c>
      <c r="G99" s="7">
        <f t="shared" si="13"/>
        <v>0</v>
      </c>
      <c r="H99" s="7">
        <f t="shared" si="13"/>
        <v>28638</v>
      </c>
      <c r="I99" s="7">
        <f t="shared" si="13"/>
        <v>0</v>
      </c>
      <c r="J99" s="7">
        <f t="shared" si="13"/>
        <v>0</v>
      </c>
      <c r="K99" s="7">
        <f t="shared" si="13"/>
        <v>0</v>
      </c>
      <c r="L99" s="7">
        <f t="shared" si="13"/>
        <v>21600</v>
      </c>
      <c r="M99" s="7">
        <f t="shared" si="13"/>
        <v>0</v>
      </c>
      <c r="N99" s="7">
        <f t="shared" si="13"/>
        <v>0</v>
      </c>
      <c r="O99" s="7">
        <f t="shared" si="13"/>
        <v>44440</v>
      </c>
      <c r="P99" s="7">
        <f t="shared" si="13"/>
        <v>0</v>
      </c>
      <c r="Q99" s="7">
        <f t="shared" si="13"/>
        <v>0</v>
      </c>
      <c r="R99" s="7">
        <f t="shared" si="13"/>
        <v>0</v>
      </c>
      <c r="S99" s="7">
        <f t="shared" si="13"/>
        <v>35456</v>
      </c>
      <c r="T99" s="7">
        <f t="shared" si="13"/>
        <v>0</v>
      </c>
      <c r="U99" s="7">
        <f t="shared" si="13"/>
        <v>0</v>
      </c>
      <c r="V99" s="7">
        <f t="shared" si="13"/>
        <v>0</v>
      </c>
      <c r="W99" s="7">
        <f t="shared" si="13"/>
        <v>205500</v>
      </c>
      <c r="X99" s="7">
        <f t="shared" si="13"/>
        <v>0</v>
      </c>
      <c r="Y99" s="7">
        <f t="shared" si="13"/>
        <v>0</v>
      </c>
      <c r="Z99" s="7">
        <f t="shared" si="13"/>
        <v>0</v>
      </c>
      <c r="AA99" s="7">
        <f t="shared" si="13"/>
        <v>0</v>
      </c>
      <c r="AB99" s="7">
        <f t="shared" si="13"/>
        <v>0</v>
      </c>
      <c r="AC99" s="7">
        <f t="shared" si="13"/>
        <v>89160</v>
      </c>
    </row>
    <row r="100" spans="1:29" x14ac:dyDescent="0.55000000000000004">
      <c r="A100" s="2" t="s">
        <v>32</v>
      </c>
      <c r="B100">
        <v>8</v>
      </c>
      <c r="D100" s="7">
        <f t="shared" si="14"/>
        <v>0</v>
      </c>
      <c r="E100" s="7">
        <f t="shared" si="13"/>
        <v>0</v>
      </c>
      <c r="F100" s="7">
        <f t="shared" si="13"/>
        <v>0</v>
      </c>
      <c r="G100" s="7">
        <f t="shared" si="13"/>
        <v>216840</v>
      </c>
      <c r="H100" s="7">
        <f t="shared" si="13"/>
        <v>0</v>
      </c>
      <c r="I100" s="7">
        <f t="shared" si="13"/>
        <v>0</v>
      </c>
      <c r="J100" s="7">
        <f t="shared" si="13"/>
        <v>76500</v>
      </c>
      <c r="K100" s="7">
        <f t="shared" si="13"/>
        <v>1000</v>
      </c>
      <c r="L100" s="7">
        <f t="shared" si="13"/>
        <v>26704</v>
      </c>
      <c r="M100" s="7">
        <f t="shared" si="13"/>
        <v>78795</v>
      </c>
      <c r="N100" s="7">
        <f t="shared" si="13"/>
        <v>10000</v>
      </c>
      <c r="O100" s="7">
        <f t="shared" si="13"/>
        <v>0</v>
      </c>
      <c r="P100" s="7">
        <f t="shared" si="13"/>
        <v>0</v>
      </c>
      <c r="Q100" s="7">
        <f t="shared" si="13"/>
        <v>0</v>
      </c>
      <c r="R100" s="7">
        <f t="shared" si="13"/>
        <v>0</v>
      </c>
      <c r="S100" s="7">
        <f t="shared" si="13"/>
        <v>71000</v>
      </c>
      <c r="T100" s="7">
        <f t="shared" si="13"/>
        <v>0</v>
      </c>
      <c r="U100" s="7">
        <f t="shared" si="13"/>
        <v>0</v>
      </c>
      <c r="V100" s="7">
        <f t="shared" si="13"/>
        <v>0</v>
      </c>
      <c r="W100" s="7">
        <f t="shared" si="13"/>
        <v>26969</v>
      </c>
      <c r="X100" s="7">
        <f t="shared" si="13"/>
        <v>41890</v>
      </c>
      <c r="Y100" s="7">
        <f t="shared" si="13"/>
        <v>0</v>
      </c>
      <c r="Z100" s="7">
        <f t="shared" si="13"/>
        <v>0</v>
      </c>
      <c r="AA100" s="7">
        <f t="shared" si="13"/>
        <v>111814</v>
      </c>
      <c r="AB100" s="7">
        <f t="shared" si="13"/>
        <v>0</v>
      </c>
      <c r="AC100" s="7">
        <f t="shared" si="13"/>
        <v>0</v>
      </c>
    </row>
    <row r="101" spans="1:29" x14ac:dyDescent="0.55000000000000004">
      <c r="A101" s="2" t="s">
        <v>33</v>
      </c>
      <c r="B101">
        <v>9</v>
      </c>
      <c r="D101" s="7">
        <f t="shared" si="14"/>
        <v>58550</v>
      </c>
      <c r="E101" s="7">
        <f t="shared" si="13"/>
        <v>0</v>
      </c>
      <c r="F101" s="7">
        <f t="shared" si="13"/>
        <v>0</v>
      </c>
      <c r="G101" s="7">
        <f t="shared" si="13"/>
        <v>91400</v>
      </c>
      <c r="H101" s="7">
        <f t="shared" si="13"/>
        <v>331892</v>
      </c>
      <c r="I101" s="7">
        <f t="shared" si="13"/>
        <v>0</v>
      </c>
      <c r="J101" s="7">
        <f t="shared" si="13"/>
        <v>96000</v>
      </c>
      <c r="K101" s="7">
        <f t="shared" si="13"/>
        <v>1365380</v>
      </c>
      <c r="L101" s="7">
        <f t="shared" si="13"/>
        <v>0</v>
      </c>
      <c r="M101" s="7">
        <f t="shared" si="13"/>
        <v>333745</v>
      </c>
      <c r="N101" s="7">
        <f t="shared" si="13"/>
        <v>8000</v>
      </c>
      <c r="O101" s="7">
        <f t="shared" si="13"/>
        <v>0</v>
      </c>
      <c r="P101" s="7">
        <f t="shared" si="13"/>
        <v>0</v>
      </c>
      <c r="Q101" s="7">
        <f t="shared" si="13"/>
        <v>0</v>
      </c>
      <c r="R101" s="7">
        <f t="shared" si="13"/>
        <v>0</v>
      </c>
      <c r="S101" s="7">
        <f t="shared" si="13"/>
        <v>167636</v>
      </c>
      <c r="T101" s="7">
        <f t="shared" si="13"/>
        <v>0</v>
      </c>
      <c r="U101" s="7">
        <f t="shared" si="13"/>
        <v>0</v>
      </c>
      <c r="V101" s="7">
        <f t="shared" si="13"/>
        <v>0</v>
      </c>
      <c r="W101" s="7">
        <f t="shared" si="13"/>
        <v>231050</v>
      </c>
      <c r="X101" s="7">
        <f t="shared" si="13"/>
        <v>22000</v>
      </c>
      <c r="Y101" s="7">
        <f t="shared" si="13"/>
        <v>13500</v>
      </c>
      <c r="Z101" s="7">
        <f t="shared" si="13"/>
        <v>0</v>
      </c>
      <c r="AA101" s="7">
        <f t="shared" si="13"/>
        <v>187450</v>
      </c>
      <c r="AB101" s="7">
        <f t="shared" si="13"/>
        <v>116698</v>
      </c>
      <c r="AC101" s="7">
        <f t="shared" si="13"/>
        <v>16228</v>
      </c>
    </row>
    <row r="102" spans="1:29" x14ac:dyDescent="0.55000000000000004">
      <c r="A102" s="8" t="s">
        <v>35</v>
      </c>
      <c r="B102">
        <v>10</v>
      </c>
      <c r="D102" s="7">
        <f t="shared" si="14"/>
        <v>2640</v>
      </c>
      <c r="E102" s="7">
        <f t="shared" si="13"/>
        <v>0</v>
      </c>
      <c r="F102" s="7">
        <f t="shared" si="13"/>
        <v>0</v>
      </c>
      <c r="G102" s="7">
        <f t="shared" si="13"/>
        <v>3800</v>
      </c>
      <c r="H102" s="7">
        <f t="shared" si="13"/>
        <v>12841</v>
      </c>
      <c r="I102" s="7">
        <f t="shared" si="13"/>
        <v>0</v>
      </c>
      <c r="J102" s="7">
        <f t="shared" si="13"/>
        <v>2410</v>
      </c>
      <c r="K102" s="7">
        <f t="shared" si="13"/>
        <v>0</v>
      </c>
      <c r="L102" s="7">
        <f t="shared" si="13"/>
        <v>0</v>
      </c>
      <c r="M102" s="7">
        <f t="shared" si="13"/>
        <v>4980</v>
      </c>
      <c r="N102" s="7">
        <f t="shared" si="13"/>
        <v>0</v>
      </c>
      <c r="O102" s="7">
        <f t="shared" si="13"/>
        <v>6387</v>
      </c>
      <c r="P102" s="7">
        <f t="shared" si="13"/>
        <v>0</v>
      </c>
      <c r="Q102" s="7">
        <f t="shared" si="13"/>
        <v>0</v>
      </c>
      <c r="R102" s="7">
        <f t="shared" si="13"/>
        <v>0</v>
      </c>
      <c r="S102" s="7">
        <f t="shared" si="13"/>
        <v>3000</v>
      </c>
      <c r="T102" s="7">
        <f t="shared" si="13"/>
        <v>0</v>
      </c>
      <c r="U102" s="7">
        <f t="shared" si="13"/>
        <v>0</v>
      </c>
      <c r="V102" s="7">
        <f t="shared" si="13"/>
        <v>0</v>
      </c>
      <c r="W102" s="7">
        <f t="shared" si="13"/>
        <v>8969</v>
      </c>
      <c r="X102" s="7">
        <f t="shared" si="13"/>
        <v>2500</v>
      </c>
      <c r="Y102" s="7">
        <f t="shared" si="13"/>
        <v>0</v>
      </c>
      <c r="Z102" s="7">
        <f t="shared" si="13"/>
        <v>0</v>
      </c>
      <c r="AA102" s="7">
        <f t="shared" si="13"/>
        <v>0</v>
      </c>
      <c r="AB102" s="7">
        <f t="shared" si="13"/>
        <v>0</v>
      </c>
      <c r="AC102" s="7">
        <f t="shared" si="13"/>
        <v>0</v>
      </c>
    </row>
    <row r="103" spans="1:29" x14ac:dyDescent="0.55000000000000004">
      <c r="A103" s="8" t="s">
        <v>35</v>
      </c>
      <c r="B103">
        <v>11</v>
      </c>
      <c r="D103" s="7">
        <f t="shared" si="14"/>
        <v>67932</v>
      </c>
      <c r="E103" s="7">
        <f t="shared" si="13"/>
        <v>2500</v>
      </c>
      <c r="F103" s="7">
        <f t="shared" si="13"/>
        <v>3310</v>
      </c>
      <c r="G103" s="7">
        <f t="shared" si="13"/>
        <v>64000</v>
      </c>
      <c r="H103" s="7">
        <f t="shared" si="13"/>
        <v>37393</v>
      </c>
      <c r="I103" s="7">
        <f t="shared" si="13"/>
        <v>0</v>
      </c>
      <c r="J103" s="7">
        <f t="shared" si="13"/>
        <v>95845</v>
      </c>
      <c r="K103" s="7">
        <f t="shared" si="13"/>
        <v>60124</v>
      </c>
      <c r="L103" s="7">
        <f t="shared" si="13"/>
        <v>8630</v>
      </c>
      <c r="M103" s="7">
        <f t="shared" si="13"/>
        <v>17600</v>
      </c>
      <c r="N103" s="7">
        <f t="shared" si="13"/>
        <v>52620</v>
      </c>
      <c r="O103" s="7">
        <f t="shared" si="13"/>
        <v>29140</v>
      </c>
      <c r="P103" s="7">
        <f t="shared" si="13"/>
        <v>6240</v>
      </c>
      <c r="Q103" s="7">
        <f t="shared" si="13"/>
        <v>0</v>
      </c>
      <c r="R103" s="7">
        <f t="shared" si="13"/>
        <v>0</v>
      </c>
      <c r="S103" s="7">
        <f t="shared" si="13"/>
        <v>66950</v>
      </c>
      <c r="T103" s="7">
        <f t="shared" si="13"/>
        <v>0</v>
      </c>
      <c r="U103" s="7">
        <f t="shared" si="13"/>
        <v>13400</v>
      </c>
      <c r="V103" s="7">
        <f t="shared" si="13"/>
        <v>0</v>
      </c>
      <c r="W103" s="7">
        <f t="shared" si="13"/>
        <v>32304</v>
      </c>
      <c r="X103" s="7">
        <f t="shared" si="13"/>
        <v>11378</v>
      </c>
      <c r="Y103" s="7">
        <f t="shared" si="13"/>
        <v>23900</v>
      </c>
      <c r="Z103" s="7">
        <f t="shared" si="13"/>
        <v>0</v>
      </c>
      <c r="AA103" s="7">
        <f t="shared" si="13"/>
        <v>14216</v>
      </c>
      <c r="AB103" s="7">
        <f t="shared" si="13"/>
        <v>0</v>
      </c>
      <c r="AC103" s="7">
        <f t="shared" si="13"/>
        <v>415976</v>
      </c>
    </row>
    <row r="104" spans="1:29" x14ac:dyDescent="0.55000000000000004">
      <c r="A104" s="8" t="s">
        <v>35</v>
      </c>
      <c r="B104">
        <v>12</v>
      </c>
      <c r="D104" s="7">
        <f t="shared" si="14"/>
        <v>0</v>
      </c>
      <c r="E104" s="7">
        <f t="shared" si="13"/>
        <v>0</v>
      </c>
      <c r="F104" s="7">
        <f t="shared" si="13"/>
        <v>0</v>
      </c>
      <c r="G104" s="7">
        <f t="shared" si="13"/>
        <v>0</v>
      </c>
      <c r="H104" s="7">
        <f t="shared" si="13"/>
        <v>0</v>
      </c>
      <c r="I104" s="7">
        <f t="shared" si="13"/>
        <v>0</v>
      </c>
      <c r="J104" s="7">
        <f t="shared" si="13"/>
        <v>0</v>
      </c>
      <c r="K104" s="7">
        <f t="shared" si="13"/>
        <v>0</v>
      </c>
      <c r="L104" s="7">
        <f t="shared" si="13"/>
        <v>0</v>
      </c>
      <c r="M104" s="7">
        <f t="shared" si="13"/>
        <v>0</v>
      </c>
      <c r="N104" s="7">
        <f t="shared" si="13"/>
        <v>0</v>
      </c>
      <c r="O104" s="7">
        <f t="shared" si="13"/>
        <v>0</v>
      </c>
      <c r="P104" s="7">
        <f t="shared" si="13"/>
        <v>0</v>
      </c>
      <c r="Q104" s="7">
        <f t="shared" si="13"/>
        <v>0</v>
      </c>
      <c r="R104" s="7">
        <f t="shared" si="13"/>
        <v>0</v>
      </c>
      <c r="S104" s="7">
        <f t="shared" si="13"/>
        <v>0</v>
      </c>
      <c r="T104" s="7">
        <f t="shared" si="13"/>
        <v>0</v>
      </c>
      <c r="U104" s="7">
        <f t="shared" si="13"/>
        <v>0</v>
      </c>
      <c r="V104" s="7">
        <f t="shared" si="13"/>
        <v>0</v>
      </c>
      <c r="W104" s="7">
        <f t="shared" si="13"/>
        <v>0</v>
      </c>
      <c r="X104" s="7">
        <f t="shared" si="13"/>
        <v>0</v>
      </c>
      <c r="Y104" s="7">
        <f t="shared" ref="E104:AC106" si="15">HLOOKUP(Y$93,$D$77:$AC$90,$B104,FALSE)</f>
        <v>0</v>
      </c>
      <c r="Z104" s="7">
        <f t="shared" si="15"/>
        <v>0</v>
      </c>
      <c r="AA104" s="7">
        <f t="shared" si="15"/>
        <v>0</v>
      </c>
      <c r="AB104" s="7">
        <f t="shared" si="15"/>
        <v>0</v>
      </c>
      <c r="AC104" s="7">
        <f t="shared" si="15"/>
        <v>0</v>
      </c>
    </row>
    <row r="105" spans="1:29" x14ac:dyDescent="0.55000000000000004">
      <c r="A105" s="2" t="s">
        <v>36</v>
      </c>
      <c r="B105">
        <v>13</v>
      </c>
      <c r="D105" s="7">
        <f t="shared" si="14"/>
        <v>0</v>
      </c>
      <c r="E105" s="7">
        <f t="shared" si="15"/>
        <v>0</v>
      </c>
      <c r="F105" s="7">
        <f t="shared" si="15"/>
        <v>0</v>
      </c>
      <c r="G105" s="7">
        <f t="shared" si="15"/>
        <v>0</v>
      </c>
      <c r="H105" s="7">
        <f t="shared" si="15"/>
        <v>0</v>
      </c>
      <c r="I105" s="7">
        <f t="shared" si="15"/>
        <v>0</v>
      </c>
      <c r="J105" s="7">
        <f t="shared" si="15"/>
        <v>0</v>
      </c>
      <c r="K105" s="7">
        <f t="shared" si="15"/>
        <v>0</v>
      </c>
      <c r="L105" s="7">
        <f t="shared" si="15"/>
        <v>0</v>
      </c>
      <c r="M105" s="7">
        <f t="shared" si="15"/>
        <v>39925</v>
      </c>
      <c r="N105" s="7">
        <f t="shared" si="15"/>
        <v>0</v>
      </c>
      <c r="O105" s="7">
        <f t="shared" si="15"/>
        <v>0</v>
      </c>
      <c r="P105" s="7">
        <f t="shared" si="15"/>
        <v>0</v>
      </c>
      <c r="Q105" s="7">
        <f t="shared" si="15"/>
        <v>0</v>
      </c>
      <c r="R105" s="7">
        <f t="shared" si="15"/>
        <v>0</v>
      </c>
      <c r="S105" s="7">
        <f t="shared" si="15"/>
        <v>0</v>
      </c>
      <c r="T105" s="7">
        <f t="shared" si="15"/>
        <v>0</v>
      </c>
      <c r="U105" s="7">
        <f t="shared" si="15"/>
        <v>0</v>
      </c>
      <c r="V105" s="7">
        <f t="shared" si="15"/>
        <v>0</v>
      </c>
      <c r="W105" s="7">
        <f t="shared" si="15"/>
        <v>18500</v>
      </c>
      <c r="X105" s="7">
        <f t="shared" si="15"/>
        <v>0</v>
      </c>
      <c r="Y105" s="7">
        <f t="shared" si="15"/>
        <v>0</v>
      </c>
      <c r="Z105" s="7">
        <f t="shared" si="15"/>
        <v>0</v>
      </c>
      <c r="AA105" s="7">
        <f t="shared" si="15"/>
        <v>0</v>
      </c>
      <c r="AB105" s="7">
        <f t="shared" si="15"/>
        <v>0</v>
      </c>
      <c r="AC105" s="7">
        <f t="shared" si="15"/>
        <v>0</v>
      </c>
    </row>
    <row r="106" spans="1:29" x14ac:dyDescent="0.55000000000000004">
      <c r="A106" s="8" t="s">
        <v>54</v>
      </c>
      <c r="B106">
        <v>14</v>
      </c>
      <c r="D106" s="7">
        <f t="shared" si="14"/>
        <v>0</v>
      </c>
      <c r="E106" s="7">
        <f t="shared" si="15"/>
        <v>0</v>
      </c>
      <c r="F106" s="7">
        <f t="shared" si="15"/>
        <v>0</v>
      </c>
      <c r="G106" s="7">
        <f t="shared" si="15"/>
        <v>6002800</v>
      </c>
      <c r="H106" s="7">
        <f t="shared" si="15"/>
        <v>0</v>
      </c>
      <c r="I106" s="7">
        <f t="shared" si="15"/>
        <v>0</v>
      </c>
      <c r="J106" s="7">
        <f t="shared" si="15"/>
        <v>0</v>
      </c>
      <c r="K106" s="7">
        <f t="shared" si="15"/>
        <v>0</v>
      </c>
      <c r="L106" s="7">
        <f t="shared" si="15"/>
        <v>337500</v>
      </c>
      <c r="M106" s="7">
        <f t="shared" si="15"/>
        <v>24500</v>
      </c>
      <c r="N106" s="7">
        <f t="shared" si="15"/>
        <v>0</v>
      </c>
      <c r="O106" s="7">
        <f t="shared" si="15"/>
        <v>0</v>
      </c>
      <c r="P106" s="7">
        <f t="shared" si="15"/>
        <v>145000</v>
      </c>
      <c r="Q106" s="7">
        <f t="shared" si="15"/>
        <v>0</v>
      </c>
      <c r="R106" s="7">
        <f t="shared" si="15"/>
        <v>0</v>
      </c>
      <c r="S106" s="7">
        <f t="shared" si="15"/>
        <v>260054</v>
      </c>
      <c r="T106" s="7">
        <f t="shared" si="15"/>
        <v>0</v>
      </c>
      <c r="U106" s="7">
        <f t="shared" si="15"/>
        <v>0</v>
      </c>
      <c r="V106" s="7">
        <f t="shared" si="15"/>
        <v>0</v>
      </c>
      <c r="W106" s="7">
        <f t="shared" si="15"/>
        <v>90813</v>
      </c>
      <c r="X106" s="7">
        <f t="shared" si="15"/>
        <v>0</v>
      </c>
      <c r="Y106" s="7">
        <f t="shared" si="15"/>
        <v>0</v>
      </c>
      <c r="Z106" s="7">
        <f t="shared" si="15"/>
        <v>0</v>
      </c>
      <c r="AA106" s="7">
        <f t="shared" si="15"/>
        <v>0</v>
      </c>
      <c r="AB106" s="7">
        <f t="shared" si="15"/>
        <v>0</v>
      </c>
      <c r="AC106" s="7">
        <f t="shared" si="15"/>
        <v>9490</v>
      </c>
    </row>
    <row r="108" spans="1:29" x14ac:dyDescent="0.55000000000000004">
      <c r="C108" t="s">
        <v>42</v>
      </c>
      <c r="D108" s="7">
        <f>SUM(D100:D101)/1000</f>
        <v>58.55</v>
      </c>
      <c r="E108" s="7">
        <f t="shared" ref="E108:AC108" si="16">SUM(E100:E101)/1000</f>
        <v>0</v>
      </c>
      <c r="F108" s="7">
        <f t="shared" si="16"/>
        <v>0</v>
      </c>
      <c r="G108" s="7">
        <f t="shared" si="16"/>
        <v>308.24</v>
      </c>
      <c r="H108" s="7">
        <f t="shared" si="16"/>
        <v>331.892</v>
      </c>
      <c r="I108" s="7">
        <f t="shared" si="16"/>
        <v>0</v>
      </c>
      <c r="J108" s="7">
        <f t="shared" si="16"/>
        <v>172.5</v>
      </c>
      <c r="K108" s="7">
        <f t="shared" si="16"/>
        <v>1366.38</v>
      </c>
      <c r="L108" s="7">
        <f t="shared" si="16"/>
        <v>26.704000000000001</v>
      </c>
      <c r="M108" s="7">
        <f t="shared" si="16"/>
        <v>412.54</v>
      </c>
      <c r="N108" s="7">
        <f t="shared" si="16"/>
        <v>18</v>
      </c>
      <c r="O108" s="7">
        <f t="shared" si="16"/>
        <v>0</v>
      </c>
      <c r="P108" s="7">
        <f t="shared" si="16"/>
        <v>0</v>
      </c>
      <c r="Q108" s="7">
        <f t="shared" si="16"/>
        <v>0</v>
      </c>
      <c r="R108" s="7">
        <f t="shared" si="16"/>
        <v>0</v>
      </c>
      <c r="S108" s="7">
        <f t="shared" si="16"/>
        <v>238.636</v>
      </c>
      <c r="T108" s="7">
        <f t="shared" si="16"/>
        <v>0</v>
      </c>
      <c r="U108" s="7">
        <f t="shared" si="16"/>
        <v>0</v>
      </c>
      <c r="V108" s="7">
        <f t="shared" si="16"/>
        <v>0</v>
      </c>
      <c r="W108" s="7">
        <f t="shared" si="16"/>
        <v>258.01900000000001</v>
      </c>
      <c r="X108" s="7">
        <f t="shared" si="16"/>
        <v>63.89</v>
      </c>
      <c r="Y108" s="7">
        <f t="shared" si="16"/>
        <v>13.5</v>
      </c>
      <c r="Z108" s="7">
        <f t="shared" si="16"/>
        <v>0</v>
      </c>
      <c r="AA108" s="7">
        <f t="shared" si="16"/>
        <v>299.26400000000001</v>
      </c>
      <c r="AB108" s="7">
        <f t="shared" si="16"/>
        <v>116.69799999999999</v>
      </c>
      <c r="AC108" s="7">
        <f t="shared" si="16"/>
        <v>16.228000000000002</v>
      </c>
    </row>
    <row r="109" spans="1:29" x14ac:dyDescent="0.55000000000000004">
      <c r="C109" t="s">
        <v>45</v>
      </c>
      <c r="D109" s="7">
        <f>SUM(D94:D97)/1000</f>
        <v>16</v>
      </c>
      <c r="E109" s="7">
        <f t="shared" ref="E109:AC109" si="17">SUM(E94:E97)/1000</f>
        <v>11</v>
      </c>
      <c r="F109" s="7">
        <f t="shared" si="17"/>
        <v>0</v>
      </c>
      <c r="G109" s="7">
        <f t="shared" si="17"/>
        <v>98.8</v>
      </c>
      <c r="H109" s="7">
        <f t="shared" si="17"/>
        <v>69.116</v>
      </c>
      <c r="I109" s="7">
        <f t="shared" si="17"/>
        <v>0</v>
      </c>
      <c r="J109" s="7">
        <f t="shared" si="17"/>
        <v>22.1</v>
      </c>
      <c r="K109" s="7">
        <f t="shared" si="17"/>
        <v>0</v>
      </c>
      <c r="L109" s="7">
        <f t="shared" si="17"/>
        <v>24.821000000000002</v>
      </c>
      <c r="M109" s="7">
        <f t="shared" si="17"/>
        <v>12.76</v>
      </c>
      <c r="N109" s="7">
        <f t="shared" si="17"/>
        <v>83</v>
      </c>
      <c r="O109" s="7">
        <f t="shared" si="17"/>
        <v>16</v>
      </c>
      <c r="P109" s="7">
        <f t="shared" si="17"/>
        <v>12.1</v>
      </c>
      <c r="Q109" s="7">
        <f t="shared" si="17"/>
        <v>0</v>
      </c>
      <c r="R109" s="7">
        <f t="shared" si="17"/>
        <v>0</v>
      </c>
      <c r="S109" s="7">
        <f t="shared" si="17"/>
        <v>0</v>
      </c>
      <c r="T109" s="7">
        <f t="shared" si="17"/>
        <v>0</v>
      </c>
      <c r="U109" s="7">
        <f t="shared" si="17"/>
        <v>0</v>
      </c>
      <c r="V109" s="7">
        <f t="shared" si="17"/>
        <v>0</v>
      </c>
      <c r="W109" s="7">
        <f t="shared" si="17"/>
        <v>109.015</v>
      </c>
      <c r="X109" s="7">
        <f t="shared" si="17"/>
        <v>0</v>
      </c>
      <c r="Y109" s="7">
        <f t="shared" si="17"/>
        <v>6</v>
      </c>
      <c r="Z109" s="7">
        <f t="shared" si="17"/>
        <v>0</v>
      </c>
      <c r="AA109" s="7">
        <f t="shared" si="17"/>
        <v>14</v>
      </c>
      <c r="AB109" s="7">
        <f t="shared" si="17"/>
        <v>0</v>
      </c>
      <c r="AC109" s="7">
        <f t="shared" si="17"/>
        <v>0</v>
      </c>
    </row>
    <row r="110" spans="1:29" x14ac:dyDescent="0.55000000000000004">
      <c r="C110" t="s">
        <v>35</v>
      </c>
      <c r="D110" s="7">
        <f>SUM(D102:D104)/1000</f>
        <v>70.572000000000003</v>
      </c>
      <c r="E110" s="7">
        <f t="shared" ref="E110:AC110" si="18">SUM(E102:E104)/1000</f>
        <v>2.5</v>
      </c>
      <c r="F110" s="7">
        <f t="shared" si="18"/>
        <v>3.31</v>
      </c>
      <c r="G110" s="7">
        <f t="shared" si="18"/>
        <v>67.8</v>
      </c>
      <c r="H110" s="7">
        <f t="shared" si="18"/>
        <v>50.234000000000002</v>
      </c>
      <c r="I110" s="7">
        <f t="shared" si="18"/>
        <v>0</v>
      </c>
      <c r="J110" s="7">
        <f t="shared" si="18"/>
        <v>98.254999999999995</v>
      </c>
      <c r="K110" s="7">
        <f t="shared" si="18"/>
        <v>60.124000000000002</v>
      </c>
      <c r="L110" s="7">
        <f t="shared" si="18"/>
        <v>8.6300000000000008</v>
      </c>
      <c r="M110" s="7">
        <f t="shared" si="18"/>
        <v>22.58</v>
      </c>
      <c r="N110" s="7">
        <f t="shared" si="18"/>
        <v>52.62</v>
      </c>
      <c r="O110" s="7">
        <f t="shared" si="18"/>
        <v>35.527000000000001</v>
      </c>
      <c r="P110" s="7">
        <f t="shared" si="18"/>
        <v>6.24</v>
      </c>
      <c r="Q110" s="7">
        <f t="shared" si="18"/>
        <v>0</v>
      </c>
      <c r="R110" s="7">
        <f t="shared" si="18"/>
        <v>0</v>
      </c>
      <c r="S110" s="7">
        <f t="shared" si="18"/>
        <v>69.95</v>
      </c>
      <c r="T110" s="7">
        <f t="shared" si="18"/>
        <v>0</v>
      </c>
      <c r="U110" s="7">
        <f t="shared" si="18"/>
        <v>13.4</v>
      </c>
      <c r="V110" s="7">
        <f t="shared" si="18"/>
        <v>0</v>
      </c>
      <c r="W110" s="7">
        <f t="shared" si="18"/>
        <v>41.273000000000003</v>
      </c>
      <c r="X110" s="7">
        <f t="shared" si="18"/>
        <v>13.878</v>
      </c>
      <c r="Y110" s="7">
        <f t="shared" si="18"/>
        <v>23.9</v>
      </c>
      <c r="Z110" s="7">
        <f t="shared" si="18"/>
        <v>0</v>
      </c>
      <c r="AA110" s="7">
        <f t="shared" si="18"/>
        <v>14.215999999999999</v>
      </c>
      <c r="AB110" s="7">
        <f t="shared" si="18"/>
        <v>0</v>
      </c>
      <c r="AC110" s="7">
        <f t="shared" si="18"/>
        <v>415.976</v>
      </c>
    </row>
    <row r="111" spans="1:29" x14ac:dyDescent="0.55000000000000004"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 spans="1:29" x14ac:dyDescent="0.55000000000000004">
      <c r="C112" t="s">
        <v>43</v>
      </c>
      <c r="D112" s="7">
        <f>SUM(D94:D106)/1000</f>
        <v>251.02199999999999</v>
      </c>
      <c r="E112" s="7">
        <f t="shared" ref="E112:AC112" si="19">SUM(E94:E106)/1000</f>
        <v>24.5</v>
      </c>
      <c r="F112" s="7">
        <f t="shared" si="19"/>
        <v>3.31</v>
      </c>
      <c r="G112" s="7">
        <f t="shared" si="19"/>
        <v>6823.35</v>
      </c>
      <c r="H112" s="7">
        <f t="shared" si="19"/>
        <v>634.60199999999998</v>
      </c>
      <c r="I112" s="7">
        <f t="shared" si="19"/>
        <v>0</v>
      </c>
      <c r="J112" s="7">
        <f t="shared" si="19"/>
        <v>479.95299999999997</v>
      </c>
      <c r="K112" s="7">
        <f t="shared" si="19"/>
        <v>1566.7539999999999</v>
      </c>
      <c r="L112" s="7">
        <f t="shared" si="19"/>
        <v>419.255</v>
      </c>
      <c r="M112" s="7">
        <f t="shared" si="19"/>
        <v>538.61</v>
      </c>
      <c r="N112" s="7">
        <f t="shared" si="19"/>
        <v>176.72</v>
      </c>
      <c r="O112" s="7">
        <f t="shared" si="19"/>
        <v>172.59299999999999</v>
      </c>
      <c r="P112" s="7">
        <f t="shared" si="19"/>
        <v>163.34</v>
      </c>
      <c r="Q112" s="7">
        <f t="shared" si="19"/>
        <v>0</v>
      </c>
      <c r="R112" s="7">
        <f t="shared" si="19"/>
        <v>0</v>
      </c>
      <c r="S112" s="7">
        <f t="shared" si="19"/>
        <v>763.63</v>
      </c>
      <c r="T112" s="7">
        <f t="shared" si="19"/>
        <v>0</v>
      </c>
      <c r="U112" s="7">
        <f t="shared" si="19"/>
        <v>102.14</v>
      </c>
      <c r="V112" s="7">
        <f t="shared" si="19"/>
        <v>0</v>
      </c>
      <c r="W112" s="7">
        <f t="shared" si="19"/>
        <v>949.52</v>
      </c>
      <c r="X112" s="7">
        <f t="shared" si="19"/>
        <v>1316.6690000000001</v>
      </c>
      <c r="Y112" s="7">
        <f t="shared" si="19"/>
        <v>43.4</v>
      </c>
      <c r="Z112" s="7">
        <f t="shared" si="19"/>
        <v>0</v>
      </c>
      <c r="AA112" s="7">
        <f t="shared" si="19"/>
        <v>327.48</v>
      </c>
      <c r="AB112" s="7">
        <f t="shared" si="19"/>
        <v>116.69799999999999</v>
      </c>
      <c r="AC112" s="7">
        <f t="shared" si="19"/>
        <v>1329.53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53FC3-6B9B-4135-932A-93AF0826E0BC}">
  <dimension ref="A1:AC71"/>
  <sheetViews>
    <sheetView topLeftCell="A43" workbookViewId="0">
      <selection activeCell="C67" sqref="C67:AC69"/>
    </sheetView>
  </sheetViews>
  <sheetFormatPr defaultRowHeight="14.4" x14ac:dyDescent="0.55000000000000004"/>
  <cols>
    <col min="1" max="1" width="34.41796875" bestFit="1" customWidth="1"/>
    <col min="2" max="2" width="3.89453125" bestFit="1" customWidth="1"/>
  </cols>
  <sheetData>
    <row r="1" spans="1:29" x14ac:dyDescent="0.55000000000000004">
      <c r="A1" s="1" t="s">
        <v>37</v>
      </c>
      <c r="B1" s="2"/>
    </row>
    <row r="2" spans="1:29" x14ac:dyDescent="0.55000000000000004">
      <c r="A2" s="1" t="s">
        <v>28</v>
      </c>
      <c r="B2" s="1" t="s">
        <v>40</v>
      </c>
      <c r="C2" s="12" t="s">
        <v>1</v>
      </c>
      <c r="D2" s="12" t="s">
        <v>2</v>
      </c>
      <c r="E2" s="12" t="s">
        <v>3</v>
      </c>
      <c r="F2" s="12" t="s">
        <v>4</v>
      </c>
      <c r="G2" s="12" t="s">
        <v>5</v>
      </c>
      <c r="H2" s="12" t="s">
        <v>6</v>
      </c>
      <c r="I2" s="12" t="s">
        <v>7</v>
      </c>
      <c r="J2" s="12" t="s">
        <v>8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13</v>
      </c>
      <c r="P2" s="12" t="s">
        <v>14</v>
      </c>
      <c r="Q2" s="12" t="s">
        <v>15</v>
      </c>
      <c r="R2" s="12" t="s">
        <v>16</v>
      </c>
      <c r="S2" s="12" t="s">
        <v>17</v>
      </c>
      <c r="T2" s="12" t="s">
        <v>18</v>
      </c>
      <c r="U2" s="12" t="s">
        <v>19</v>
      </c>
      <c r="V2" s="12" t="s">
        <v>20</v>
      </c>
      <c r="W2" s="12" t="s">
        <v>21</v>
      </c>
      <c r="X2" s="12" t="s">
        <v>22</v>
      </c>
      <c r="Y2" s="12" t="s">
        <v>23</v>
      </c>
      <c r="Z2" s="12" t="s">
        <v>24</v>
      </c>
      <c r="AA2" s="12" t="s">
        <v>25</v>
      </c>
      <c r="AB2" s="12" t="s">
        <v>26</v>
      </c>
      <c r="AC2" s="12" t="s">
        <v>27</v>
      </c>
    </row>
    <row r="3" spans="1:29" x14ac:dyDescent="0.55000000000000004">
      <c r="A3" s="2" t="s">
        <v>29</v>
      </c>
      <c r="B3" s="3" t="s">
        <v>55</v>
      </c>
      <c r="C3" s="11">
        <v>20</v>
      </c>
      <c r="D3" s="11">
        <v>0</v>
      </c>
      <c r="E3" s="11">
        <v>0</v>
      </c>
      <c r="F3" s="11">
        <v>0</v>
      </c>
      <c r="G3" s="11">
        <v>0</v>
      </c>
      <c r="H3" s="11">
        <v>0</v>
      </c>
      <c r="I3" s="11">
        <v>1</v>
      </c>
      <c r="J3" s="11">
        <v>0</v>
      </c>
      <c r="K3" s="11">
        <v>1</v>
      </c>
      <c r="L3" s="11">
        <v>0</v>
      </c>
      <c r="M3" s="11">
        <v>1</v>
      </c>
      <c r="N3" s="11">
        <v>0</v>
      </c>
      <c r="O3" s="11">
        <v>0</v>
      </c>
      <c r="P3" s="11">
        <v>0</v>
      </c>
      <c r="Q3" s="11">
        <v>0</v>
      </c>
      <c r="R3" s="11">
        <v>1</v>
      </c>
      <c r="S3" s="11">
        <v>0</v>
      </c>
      <c r="T3" s="11">
        <v>2</v>
      </c>
      <c r="U3" s="11">
        <v>5</v>
      </c>
      <c r="V3" s="11">
        <v>0</v>
      </c>
      <c r="W3" s="11">
        <v>0</v>
      </c>
      <c r="X3" s="11">
        <v>0</v>
      </c>
      <c r="Y3" s="11">
        <v>6</v>
      </c>
      <c r="Z3" s="11">
        <v>0</v>
      </c>
      <c r="AA3" s="11">
        <v>0</v>
      </c>
      <c r="AB3" s="11">
        <v>0</v>
      </c>
      <c r="AC3" s="11">
        <v>3</v>
      </c>
    </row>
    <row r="4" spans="1:29" x14ac:dyDescent="0.55000000000000004">
      <c r="A4" s="2" t="s">
        <v>30</v>
      </c>
      <c r="B4" s="3" t="s">
        <v>55</v>
      </c>
      <c r="C4" s="11">
        <v>70</v>
      </c>
      <c r="D4" s="11">
        <v>0</v>
      </c>
      <c r="E4" s="11">
        <v>23</v>
      </c>
      <c r="F4" s="11">
        <v>0</v>
      </c>
      <c r="G4" s="11">
        <v>1</v>
      </c>
      <c r="H4" s="11">
        <v>0</v>
      </c>
      <c r="I4" s="11">
        <v>0</v>
      </c>
      <c r="J4" s="11">
        <v>0</v>
      </c>
      <c r="K4" s="11">
        <v>0</v>
      </c>
      <c r="L4" s="11">
        <v>0</v>
      </c>
      <c r="M4" s="11">
        <v>5</v>
      </c>
      <c r="N4" s="11">
        <v>4</v>
      </c>
      <c r="O4" s="11">
        <v>0</v>
      </c>
      <c r="P4" s="11">
        <v>1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11">
        <v>1</v>
      </c>
      <c r="X4" s="11">
        <v>0</v>
      </c>
      <c r="Y4" s="11">
        <v>20</v>
      </c>
      <c r="Z4" s="11">
        <v>0</v>
      </c>
      <c r="AA4" s="11">
        <v>6</v>
      </c>
      <c r="AB4" s="11">
        <v>2</v>
      </c>
      <c r="AC4" s="11">
        <v>7</v>
      </c>
    </row>
    <row r="5" spans="1:29" x14ac:dyDescent="0.55000000000000004">
      <c r="A5" s="2" t="s">
        <v>31</v>
      </c>
      <c r="B5" s="3" t="s">
        <v>55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</row>
    <row r="6" spans="1:29" x14ac:dyDescent="0.55000000000000004">
      <c r="A6" s="2" t="s">
        <v>32</v>
      </c>
      <c r="B6" s="3" t="s">
        <v>55</v>
      </c>
      <c r="C6" s="11">
        <v>272</v>
      </c>
      <c r="D6" s="11">
        <v>0</v>
      </c>
      <c r="E6" s="11">
        <v>66</v>
      </c>
      <c r="F6" s="11">
        <v>0</v>
      </c>
      <c r="G6" s="11">
        <v>1</v>
      </c>
      <c r="H6" s="11">
        <v>0</v>
      </c>
      <c r="I6" s="11">
        <v>0</v>
      </c>
      <c r="J6" s="11">
        <v>0</v>
      </c>
      <c r="K6" s="11">
        <v>5</v>
      </c>
      <c r="L6" s="11">
        <v>0</v>
      </c>
      <c r="M6" s="11">
        <v>9</v>
      </c>
      <c r="N6" s="11">
        <v>2</v>
      </c>
      <c r="O6" s="11">
        <v>0</v>
      </c>
      <c r="P6" s="11">
        <v>7</v>
      </c>
      <c r="Q6" s="11">
        <v>0</v>
      </c>
      <c r="R6" s="11">
        <v>0</v>
      </c>
      <c r="S6" s="11">
        <v>0</v>
      </c>
      <c r="T6" s="11">
        <v>33</v>
      </c>
      <c r="U6" s="11">
        <v>8</v>
      </c>
      <c r="V6" s="11">
        <v>0</v>
      </c>
      <c r="W6" s="11">
        <v>27</v>
      </c>
      <c r="X6" s="11">
        <v>6</v>
      </c>
      <c r="Y6" s="11">
        <v>13</v>
      </c>
      <c r="Z6" s="11">
        <v>15</v>
      </c>
      <c r="AA6" s="11">
        <v>0</v>
      </c>
      <c r="AB6" s="11">
        <v>73</v>
      </c>
      <c r="AC6" s="11">
        <v>7</v>
      </c>
    </row>
    <row r="7" spans="1:29" x14ac:dyDescent="0.55000000000000004">
      <c r="A7" s="2" t="s">
        <v>33</v>
      </c>
      <c r="B7" s="3" t="s">
        <v>55</v>
      </c>
      <c r="C7" s="11">
        <v>79</v>
      </c>
      <c r="D7" s="11">
        <v>0</v>
      </c>
      <c r="E7" s="11">
        <v>17</v>
      </c>
      <c r="F7" s="11">
        <v>0</v>
      </c>
      <c r="G7" s="11">
        <v>0</v>
      </c>
      <c r="H7" s="11">
        <v>0</v>
      </c>
      <c r="I7" s="11">
        <v>2</v>
      </c>
      <c r="J7" s="11">
        <v>0</v>
      </c>
      <c r="K7" s="11">
        <v>0</v>
      </c>
      <c r="L7" s="11">
        <v>0</v>
      </c>
      <c r="M7" s="11">
        <v>10</v>
      </c>
      <c r="N7" s="11">
        <v>6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19</v>
      </c>
      <c r="U7" s="11">
        <v>5</v>
      </c>
      <c r="V7" s="11">
        <v>0</v>
      </c>
      <c r="W7" s="11">
        <v>12</v>
      </c>
      <c r="X7" s="11">
        <v>0</v>
      </c>
      <c r="Y7" s="11">
        <v>5</v>
      </c>
      <c r="Z7" s="11">
        <v>1</v>
      </c>
      <c r="AA7" s="11">
        <v>1</v>
      </c>
      <c r="AB7" s="11">
        <v>1</v>
      </c>
      <c r="AC7" s="11">
        <v>0</v>
      </c>
    </row>
    <row r="8" spans="1:29" x14ac:dyDescent="0.55000000000000004">
      <c r="A8" s="2" t="s">
        <v>34</v>
      </c>
      <c r="B8" s="3" t="s">
        <v>55</v>
      </c>
      <c r="C8" s="11">
        <v>68</v>
      </c>
      <c r="D8" s="11">
        <v>0</v>
      </c>
      <c r="E8" s="11">
        <v>13</v>
      </c>
      <c r="F8" s="11">
        <v>0</v>
      </c>
      <c r="G8" s="11">
        <v>3</v>
      </c>
      <c r="H8" s="11">
        <v>0</v>
      </c>
      <c r="I8" s="11">
        <v>2</v>
      </c>
      <c r="J8" s="11">
        <v>0</v>
      </c>
      <c r="K8" s="11">
        <v>0</v>
      </c>
      <c r="L8" s="11">
        <v>0</v>
      </c>
      <c r="M8" s="11">
        <v>28</v>
      </c>
      <c r="N8" s="11">
        <v>1</v>
      </c>
      <c r="O8" s="11">
        <v>2</v>
      </c>
      <c r="P8" s="11">
        <v>10</v>
      </c>
      <c r="Q8" s="11">
        <v>0</v>
      </c>
      <c r="R8" s="11">
        <v>4</v>
      </c>
      <c r="S8" s="11">
        <v>0</v>
      </c>
      <c r="T8" s="11">
        <v>0</v>
      </c>
      <c r="U8" s="11">
        <v>0</v>
      </c>
      <c r="V8" s="11">
        <v>0</v>
      </c>
      <c r="W8" s="11">
        <v>2</v>
      </c>
      <c r="X8" s="11">
        <v>3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</row>
    <row r="9" spans="1:29" x14ac:dyDescent="0.55000000000000004">
      <c r="A9" s="2" t="s">
        <v>35</v>
      </c>
      <c r="B9" s="3" t="s">
        <v>55</v>
      </c>
      <c r="C9" s="11">
        <v>263</v>
      </c>
      <c r="D9" s="11">
        <v>0</v>
      </c>
      <c r="E9" s="11">
        <v>31</v>
      </c>
      <c r="F9" s="11">
        <v>0</v>
      </c>
      <c r="G9" s="11">
        <v>2</v>
      </c>
      <c r="H9" s="11">
        <v>0</v>
      </c>
      <c r="I9" s="11">
        <v>0</v>
      </c>
      <c r="J9" s="11">
        <v>0</v>
      </c>
      <c r="K9" s="11">
        <v>1</v>
      </c>
      <c r="L9" s="11">
        <v>0</v>
      </c>
      <c r="M9" s="11">
        <v>15</v>
      </c>
      <c r="N9" s="11">
        <v>10</v>
      </c>
      <c r="O9" s="11">
        <v>14</v>
      </c>
      <c r="P9" s="11">
        <v>24</v>
      </c>
      <c r="Q9" s="11">
        <v>0</v>
      </c>
      <c r="R9" s="11">
        <v>4</v>
      </c>
      <c r="S9" s="11">
        <v>2</v>
      </c>
      <c r="T9" s="11">
        <v>37</v>
      </c>
      <c r="U9" s="11">
        <v>11</v>
      </c>
      <c r="V9" s="11">
        <v>0</v>
      </c>
      <c r="W9" s="11">
        <v>14</v>
      </c>
      <c r="X9" s="11">
        <v>15</v>
      </c>
      <c r="Y9" s="11">
        <v>40</v>
      </c>
      <c r="Z9" s="11">
        <v>3</v>
      </c>
      <c r="AA9" s="11">
        <v>6</v>
      </c>
      <c r="AB9" s="11">
        <v>16</v>
      </c>
      <c r="AC9" s="11">
        <v>18</v>
      </c>
    </row>
    <row r="10" spans="1:29" x14ac:dyDescent="0.55000000000000004">
      <c r="A10" s="2" t="s">
        <v>36</v>
      </c>
      <c r="B10" s="3" t="s">
        <v>55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</row>
    <row r="11" spans="1:29" x14ac:dyDescent="0.55000000000000004">
      <c r="A11" s="2"/>
      <c r="B11" s="3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3"/>
      <c r="Z11" s="13"/>
      <c r="AA11" s="13"/>
      <c r="AB11" s="13"/>
      <c r="AC11" s="13"/>
    </row>
    <row r="12" spans="1:29" x14ac:dyDescent="0.55000000000000004">
      <c r="A12" s="1" t="s">
        <v>39</v>
      </c>
      <c r="B12" s="2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</row>
    <row r="13" spans="1:29" x14ac:dyDescent="0.55000000000000004">
      <c r="A13" s="1" t="s">
        <v>28</v>
      </c>
      <c r="B13" s="1" t="s">
        <v>40</v>
      </c>
      <c r="C13" s="12" t="s">
        <v>1</v>
      </c>
      <c r="D13" s="12" t="s">
        <v>2</v>
      </c>
      <c r="E13" s="12" t="s">
        <v>3</v>
      </c>
      <c r="F13" s="12" t="s">
        <v>4</v>
      </c>
      <c r="G13" s="12" t="s">
        <v>5</v>
      </c>
      <c r="H13" s="12" t="s">
        <v>6</v>
      </c>
      <c r="I13" s="12" t="s">
        <v>7</v>
      </c>
      <c r="J13" s="12" t="s">
        <v>8</v>
      </c>
      <c r="K13" s="12" t="s">
        <v>9</v>
      </c>
      <c r="L13" s="12" t="s">
        <v>10</v>
      </c>
      <c r="M13" s="12" t="s">
        <v>11</v>
      </c>
      <c r="N13" s="12" t="s">
        <v>12</v>
      </c>
      <c r="O13" s="12" t="s">
        <v>13</v>
      </c>
      <c r="P13" s="12" t="s">
        <v>14</v>
      </c>
      <c r="Q13" s="12" t="s">
        <v>15</v>
      </c>
      <c r="R13" s="12" t="s">
        <v>16</v>
      </c>
      <c r="S13" s="12" t="s">
        <v>17</v>
      </c>
      <c r="T13" s="12" t="s">
        <v>18</v>
      </c>
      <c r="U13" s="12" t="s">
        <v>19</v>
      </c>
      <c r="V13" s="12" t="s">
        <v>20</v>
      </c>
      <c r="W13" s="12" t="s">
        <v>21</v>
      </c>
      <c r="X13" s="12" t="s">
        <v>22</v>
      </c>
      <c r="Y13" s="12" t="s">
        <v>23</v>
      </c>
      <c r="Z13" s="12" t="s">
        <v>24</v>
      </c>
      <c r="AA13" s="12" t="s">
        <v>25</v>
      </c>
      <c r="AB13" s="12" t="s">
        <v>26</v>
      </c>
      <c r="AC13" s="12" t="s">
        <v>27</v>
      </c>
    </row>
    <row r="14" spans="1:29" x14ac:dyDescent="0.55000000000000004">
      <c r="A14" s="2" t="s">
        <v>29</v>
      </c>
      <c r="B14" s="3" t="s">
        <v>55</v>
      </c>
      <c r="C14" s="11">
        <v>4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1</v>
      </c>
      <c r="J14" s="11">
        <v>0</v>
      </c>
      <c r="K14" s="11">
        <v>0</v>
      </c>
      <c r="L14" s="11">
        <v>0</v>
      </c>
      <c r="M14" s="11">
        <v>0</v>
      </c>
      <c r="N14" s="11">
        <v>1</v>
      </c>
      <c r="O14" s="11">
        <v>0</v>
      </c>
      <c r="P14" s="11">
        <v>0</v>
      </c>
      <c r="Q14" s="11">
        <v>0</v>
      </c>
      <c r="R14" s="11">
        <v>0</v>
      </c>
      <c r="S14" s="11">
        <v>1</v>
      </c>
      <c r="T14" s="11">
        <v>0</v>
      </c>
      <c r="U14" s="11">
        <v>1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</row>
    <row r="15" spans="1:29" x14ac:dyDescent="0.55000000000000004">
      <c r="A15" s="2" t="s">
        <v>30</v>
      </c>
      <c r="B15" s="3" t="s">
        <v>55</v>
      </c>
      <c r="C15" s="11">
        <v>29</v>
      </c>
      <c r="D15" s="11">
        <v>0</v>
      </c>
      <c r="E15" s="11">
        <v>11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3</v>
      </c>
      <c r="N15" s="11">
        <v>0</v>
      </c>
      <c r="O15" s="11">
        <v>0</v>
      </c>
      <c r="P15" s="11">
        <v>3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5</v>
      </c>
      <c r="Z15" s="11">
        <v>0</v>
      </c>
      <c r="AA15" s="11">
        <v>6</v>
      </c>
      <c r="AB15" s="11">
        <v>0</v>
      </c>
      <c r="AC15" s="11">
        <v>1</v>
      </c>
    </row>
    <row r="16" spans="1:29" x14ac:dyDescent="0.55000000000000004">
      <c r="A16" s="2" t="s">
        <v>31</v>
      </c>
      <c r="B16" s="3" t="s">
        <v>55</v>
      </c>
      <c r="C16" s="11">
        <v>1</v>
      </c>
      <c r="D16" s="11">
        <v>0</v>
      </c>
      <c r="E16" s="11">
        <v>1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</row>
    <row r="17" spans="1:29" x14ac:dyDescent="0.55000000000000004">
      <c r="A17" s="2" t="s">
        <v>32</v>
      </c>
      <c r="B17" s="3" t="s">
        <v>55</v>
      </c>
      <c r="C17" s="11">
        <v>33</v>
      </c>
      <c r="D17" s="11">
        <v>0</v>
      </c>
      <c r="E17" s="11">
        <v>12</v>
      </c>
      <c r="F17" s="11">
        <v>0</v>
      </c>
      <c r="G17" s="11">
        <v>1</v>
      </c>
      <c r="H17" s="11">
        <v>0</v>
      </c>
      <c r="I17" s="11">
        <v>1</v>
      </c>
      <c r="J17" s="11">
        <v>0</v>
      </c>
      <c r="K17" s="11">
        <v>0</v>
      </c>
      <c r="L17" s="11">
        <v>0</v>
      </c>
      <c r="M17" s="11">
        <v>4</v>
      </c>
      <c r="N17" s="11">
        <v>1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3</v>
      </c>
      <c r="U17" s="11">
        <v>2</v>
      </c>
      <c r="V17" s="11">
        <v>0</v>
      </c>
      <c r="W17" s="11">
        <v>5</v>
      </c>
      <c r="X17" s="11">
        <v>1</v>
      </c>
      <c r="Y17" s="11">
        <v>0</v>
      </c>
      <c r="Z17" s="11">
        <v>3</v>
      </c>
      <c r="AA17" s="11">
        <v>0</v>
      </c>
      <c r="AB17" s="11">
        <v>0</v>
      </c>
      <c r="AC17" s="11">
        <v>0</v>
      </c>
    </row>
    <row r="18" spans="1:29" x14ac:dyDescent="0.55000000000000004">
      <c r="A18" s="2" t="s">
        <v>33</v>
      </c>
      <c r="B18" s="3" t="s">
        <v>55</v>
      </c>
      <c r="C18" s="11">
        <v>23</v>
      </c>
      <c r="D18" s="11">
        <v>0</v>
      </c>
      <c r="E18" s="11">
        <v>3</v>
      </c>
      <c r="F18" s="11">
        <v>0</v>
      </c>
      <c r="G18" s="11">
        <v>1</v>
      </c>
      <c r="H18" s="11">
        <v>0</v>
      </c>
      <c r="I18" s="11">
        <v>1</v>
      </c>
      <c r="J18" s="11">
        <v>1</v>
      </c>
      <c r="K18" s="11">
        <v>0</v>
      </c>
      <c r="L18" s="11">
        <v>0</v>
      </c>
      <c r="M18" s="11">
        <v>2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4</v>
      </c>
      <c r="U18" s="11">
        <v>7</v>
      </c>
      <c r="V18" s="11">
        <v>0</v>
      </c>
      <c r="W18" s="11">
        <v>2</v>
      </c>
      <c r="X18" s="11">
        <v>0</v>
      </c>
      <c r="Y18" s="11">
        <v>1</v>
      </c>
      <c r="Z18" s="11">
        <v>0</v>
      </c>
      <c r="AA18" s="11">
        <v>0</v>
      </c>
      <c r="AB18" s="11">
        <v>0</v>
      </c>
      <c r="AC18" s="11">
        <v>1</v>
      </c>
    </row>
    <row r="19" spans="1:29" x14ac:dyDescent="0.55000000000000004">
      <c r="A19" s="2" t="s">
        <v>34</v>
      </c>
      <c r="B19" s="3" t="s">
        <v>55</v>
      </c>
      <c r="C19" s="11">
        <v>37</v>
      </c>
      <c r="D19" s="11">
        <v>0</v>
      </c>
      <c r="E19" s="11">
        <v>5</v>
      </c>
      <c r="F19" s="11">
        <v>0</v>
      </c>
      <c r="G19" s="11">
        <v>1</v>
      </c>
      <c r="H19" s="11">
        <v>0</v>
      </c>
      <c r="I19" s="11">
        <v>2</v>
      </c>
      <c r="J19" s="11">
        <v>0</v>
      </c>
      <c r="K19" s="11">
        <v>0</v>
      </c>
      <c r="L19" s="11">
        <v>0</v>
      </c>
      <c r="M19" s="11">
        <v>14</v>
      </c>
      <c r="N19" s="11">
        <v>0</v>
      </c>
      <c r="O19" s="11">
        <v>1</v>
      </c>
      <c r="P19" s="11">
        <v>8</v>
      </c>
      <c r="Q19" s="11">
        <v>0</v>
      </c>
      <c r="R19" s="11">
        <v>0</v>
      </c>
      <c r="S19" s="11">
        <v>0</v>
      </c>
      <c r="T19" s="11">
        <v>0</v>
      </c>
      <c r="U19" s="11">
        <v>5</v>
      </c>
      <c r="V19" s="11">
        <v>0</v>
      </c>
      <c r="W19" s="11">
        <v>0</v>
      </c>
      <c r="X19" s="11">
        <v>0</v>
      </c>
      <c r="Y19" s="11">
        <v>0</v>
      </c>
      <c r="Z19" s="11">
        <v>1</v>
      </c>
      <c r="AA19" s="11">
        <v>0</v>
      </c>
      <c r="AB19" s="11">
        <v>0</v>
      </c>
      <c r="AC19" s="11">
        <v>0</v>
      </c>
    </row>
    <row r="20" spans="1:29" x14ac:dyDescent="0.55000000000000004">
      <c r="A20" s="2" t="s">
        <v>35</v>
      </c>
      <c r="B20" s="3" t="s">
        <v>55</v>
      </c>
      <c r="C20" s="11">
        <v>67</v>
      </c>
      <c r="D20" s="11">
        <v>0</v>
      </c>
      <c r="E20" s="11">
        <v>11</v>
      </c>
      <c r="F20" s="11">
        <v>0</v>
      </c>
      <c r="G20" s="11">
        <v>1</v>
      </c>
      <c r="H20" s="11">
        <v>0</v>
      </c>
      <c r="I20" s="11">
        <v>1</v>
      </c>
      <c r="J20" s="11">
        <v>2</v>
      </c>
      <c r="K20" s="11">
        <v>0</v>
      </c>
      <c r="L20" s="11">
        <v>0</v>
      </c>
      <c r="M20" s="11">
        <v>4</v>
      </c>
      <c r="N20" s="11">
        <v>4</v>
      </c>
      <c r="O20" s="11">
        <v>2</v>
      </c>
      <c r="P20" s="11">
        <v>4</v>
      </c>
      <c r="Q20" s="11">
        <v>0</v>
      </c>
      <c r="R20" s="11">
        <v>1</v>
      </c>
      <c r="S20" s="11">
        <v>0</v>
      </c>
      <c r="T20" s="11">
        <v>3</v>
      </c>
      <c r="U20" s="11">
        <v>6</v>
      </c>
      <c r="V20" s="11">
        <v>0</v>
      </c>
      <c r="W20" s="11">
        <v>7</v>
      </c>
      <c r="X20" s="11">
        <v>4</v>
      </c>
      <c r="Y20" s="11">
        <v>6</v>
      </c>
      <c r="Z20" s="11">
        <v>2</v>
      </c>
      <c r="AA20" s="11">
        <v>3</v>
      </c>
      <c r="AB20" s="11">
        <v>4</v>
      </c>
      <c r="AC20" s="11">
        <v>2</v>
      </c>
    </row>
    <row r="21" spans="1:29" x14ac:dyDescent="0.55000000000000004">
      <c r="A21" s="2" t="s">
        <v>36</v>
      </c>
      <c r="B21" s="3" t="s">
        <v>55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</row>
    <row r="22" spans="1:29" x14ac:dyDescent="0.55000000000000004">
      <c r="A22" s="2"/>
      <c r="B22" s="3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3"/>
      <c r="Z22" s="13"/>
      <c r="AA22" s="13"/>
      <c r="AB22" s="13"/>
      <c r="AC22" s="13"/>
    </row>
    <row r="23" spans="1:29" x14ac:dyDescent="0.55000000000000004">
      <c r="A23" s="1" t="s">
        <v>38</v>
      </c>
      <c r="B23" s="2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</row>
    <row r="24" spans="1:29" x14ac:dyDescent="0.55000000000000004">
      <c r="A24" s="1" t="s">
        <v>28</v>
      </c>
      <c r="B24" s="1" t="s">
        <v>40</v>
      </c>
      <c r="C24" s="12" t="s">
        <v>1</v>
      </c>
      <c r="D24" s="12" t="s">
        <v>2</v>
      </c>
      <c r="E24" s="12" t="s">
        <v>3</v>
      </c>
      <c r="F24" s="12" t="s">
        <v>4</v>
      </c>
      <c r="G24" s="12" t="s">
        <v>5</v>
      </c>
      <c r="H24" s="12" t="s">
        <v>6</v>
      </c>
      <c r="I24" s="12" t="s">
        <v>7</v>
      </c>
      <c r="J24" s="12" t="s">
        <v>8</v>
      </c>
      <c r="K24" s="12" t="s">
        <v>9</v>
      </c>
      <c r="L24" s="12" t="s">
        <v>10</v>
      </c>
      <c r="M24" s="12" t="s">
        <v>11</v>
      </c>
      <c r="N24" s="12" t="s">
        <v>12</v>
      </c>
      <c r="O24" s="12" t="s">
        <v>13</v>
      </c>
      <c r="P24" s="12" t="s">
        <v>14</v>
      </c>
      <c r="Q24" s="12" t="s">
        <v>15</v>
      </c>
      <c r="R24" s="12" t="s">
        <v>16</v>
      </c>
      <c r="S24" s="12" t="s">
        <v>17</v>
      </c>
      <c r="T24" s="12" t="s">
        <v>18</v>
      </c>
      <c r="U24" s="12" t="s">
        <v>19</v>
      </c>
      <c r="V24" s="12" t="s">
        <v>20</v>
      </c>
      <c r="W24" s="12" t="s">
        <v>21</v>
      </c>
      <c r="X24" s="12" t="s">
        <v>22</v>
      </c>
      <c r="Y24" s="12" t="s">
        <v>23</v>
      </c>
      <c r="Z24" s="12" t="s">
        <v>24</v>
      </c>
      <c r="AA24" s="12" t="s">
        <v>25</v>
      </c>
      <c r="AB24" s="12" t="s">
        <v>26</v>
      </c>
      <c r="AC24" s="12" t="s">
        <v>27</v>
      </c>
    </row>
    <row r="25" spans="1:29" x14ac:dyDescent="0.55000000000000004">
      <c r="A25" s="2" t="s">
        <v>29</v>
      </c>
      <c r="B25" s="3" t="s">
        <v>55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</row>
    <row r="26" spans="1:29" x14ac:dyDescent="0.55000000000000004">
      <c r="A26" s="2" t="s">
        <v>30</v>
      </c>
      <c r="B26" s="3" t="s">
        <v>55</v>
      </c>
      <c r="C26" s="11">
        <v>3</v>
      </c>
      <c r="D26" s="11">
        <v>0</v>
      </c>
      <c r="E26" s="11">
        <v>1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2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</row>
    <row r="27" spans="1:29" x14ac:dyDescent="0.55000000000000004">
      <c r="A27" s="2" t="s">
        <v>31</v>
      </c>
      <c r="B27" s="3" t="s">
        <v>55</v>
      </c>
      <c r="C27" s="11">
        <v>4</v>
      </c>
      <c r="D27" s="11">
        <v>0</v>
      </c>
      <c r="E27" s="11">
        <v>1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1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1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1</v>
      </c>
      <c r="AB27" s="11">
        <v>0</v>
      </c>
      <c r="AC27" s="11">
        <v>0</v>
      </c>
    </row>
    <row r="28" spans="1:29" x14ac:dyDescent="0.55000000000000004">
      <c r="A28" s="2" t="s">
        <v>32</v>
      </c>
      <c r="B28" s="3" t="s">
        <v>55</v>
      </c>
      <c r="C28" s="11">
        <v>4</v>
      </c>
      <c r="D28" s="11">
        <v>0</v>
      </c>
      <c r="E28" s="11">
        <v>2</v>
      </c>
      <c r="F28" s="11">
        <v>0</v>
      </c>
      <c r="G28" s="11">
        <v>1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1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</row>
    <row r="29" spans="1:29" x14ac:dyDescent="0.55000000000000004">
      <c r="A29" s="2" t="s">
        <v>33</v>
      </c>
      <c r="B29" s="3" t="s">
        <v>55</v>
      </c>
      <c r="C29" s="11">
        <v>2</v>
      </c>
      <c r="D29" s="11">
        <v>0</v>
      </c>
      <c r="E29" s="11">
        <v>1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1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</row>
    <row r="30" spans="1:29" x14ac:dyDescent="0.55000000000000004">
      <c r="A30" s="2" t="s">
        <v>34</v>
      </c>
      <c r="B30" s="3" t="s">
        <v>55</v>
      </c>
      <c r="C30" s="11">
        <v>8</v>
      </c>
      <c r="D30" s="11">
        <v>0</v>
      </c>
      <c r="E30" s="11">
        <v>2</v>
      </c>
      <c r="F30" s="11">
        <v>0</v>
      </c>
      <c r="G30" s="11">
        <v>0</v>
      </c>
      <c r="H30" s="11">
        <v>0</v>
      </c>
      <c r="I30" s="11">
        <v>1</v>
      </c>
      <c r="J30" s="11">
        <v>0</v>
      </c>
      <c r="K30" s="11">
        <v>0</v>
      </c>
      <c r="L30" s="11">
        <v>0</v>
      </c>
      <c r="M30" s="11">
        <v>1</v>
      </c>
      <c r="N30" s="11">
        <v>1</v>
      </c>
      <c r="O30" s="11">
        <v>0</v>
      </c>
      <c r="P30" s="11">
        <v>2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1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</row>
    <row r="31" spans="1:29" x14ac:dyDescent="0.55000000000000004">
      <c r="A31" s="2" t="s">
        <v>35</v>
      </c>
      <c r="B31" s="3" t="s">
        <v>55</v>
      </c>
      <c r="C31" s="11">
        <v>10</v>
      </c>
      <c r="D31" s="11">
        <v>0</v>
      </c>
      <c r="E31" s="11">
        <v>2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1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1</v>
      </c>
      <c r="U31" s="11">
        <v>1</v>
      </c>
      <c r="V31" s="11">
        <v>0</v>
      </c>
      <c r="W31" s="11">
        <v>1</v>
      </c>
      <c r="X31" s="11">
        <v>1</v>
      </c>
      <c r="Y31" s="11">
        <v>0</v>
      </c>
      <c r="Z31" s="11">
        <v>0</v>
      </c>
      <c r="AA31" s="11">
        <v>0</v>
      </c>
      <c r="AB31" s="11">
        <v>3</v>
      </c>
      <c r="AC31" s="11">
        <v>0</v>
      </c>
    </row>
    <row r="32" spans="1:29" x14ac:dyDescent="0.55000000000000004">
      <c r="A32" s="2" t="s">
        <v>36</v>
      </c>
      <c r="B32" s="3" t="s">
        <v>55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</row>
    <row r="34" spans="1:29" x14ac:dyDescent="0.55000000000000004">
      <c r="A34" s="1" t="s">
        <v>37</v>
      </c>
      <c r="B34" s="1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spans="1:29" x14ac:dyDescent="0.55000000000000004">
      <c r="A35" s="1" t="s">
        <v>28</v>
      </c>
      <c r="B35" s="1" t="s">
        <v>41</v>
      </c>
      <c r="D35" s="4" t="s">
        <v>20</v>
      </c>
      <c r="E35" s="4" t="s">
        <v>17</v>
      </c>
      <c r="F35" s="4" t="s">
        <v>16</v>
      </c>
      <c r="G35" s="4" t="s">
        <v>3</v>
      </c>
      <c r="H35" s="4" t="s">
        <v>14</v>
      </c>
      <c r="I35" s="4" t="s">
        <v>13</v>
      </c>
      <c r="J35" s="4" t="s">
        <v>11</v>
      </c>
      <c r="K35" s="4" t="s">
        <v>26</v>
      </c>
      <c r="L35" s="4" t="s">
        <v>9</v>
      </c>
      <c r="M35" s="4" t="s">
        <v>19</v>
      </c>
      <c r="N35" s="4" t="s">
        <v>27</v>
      </c>
      <c r="O35" s="4" t="s">
        <v>4</v>
      </c>
      <c r="P35" s="4" t="s">
        <v>25</v>
      </c>
      <c r="Q35" s="4" t="s">
        <v>8</v>
      </c>
      <c r="R35" s="4" t="s">
        <v>7</v>
      </c>
      <c r="S35" s="4" t="s">
        <v>18</v>
      </c>
      <c r="T35" s="4" t="s">
        <v>15</v>
      </c>
      <c r="U35" s="4" t="s">
        <v>12</v>
      </c>
      <c r="V35" s="4" t="s">
        <v>6</v>
      </c>
      <c r="W35" s="4" t="s">
        <v>21</v>
      </c>
      <c r="X35" s="4" t="s">
        <v>22</v>
      </c>
      <c r="Y35" s="4" t="s">
        <v>5</v>
      </c>
      <c r="Z35" s="4" t="s">
        <v>23</v>
      </c>
      <c r="AA35" s="4" t="s">
        <v>24</v>
      </c>
      <c r="AB35" s="4" t="s">
        <v>10</v>
      </c>
      <c r="AC35" s="4" t="s">
        <v>2</v>
      </c>
    </row>
    <row r="36" spans="1:29" x14ac:dyDescent="0.55000000000000004">
      <c r="A36" s="2" t="s">
        <v>29</v>
      </c>
      <c r="B36">
        <v>2</v>
      </c>
      <c r="D36" s="11">
        <f>HLOOKUP(D$35,$D$2:$AC$10,$B36,FALSE)</f>
        <v>0</v>
      </c>
      <c r="E36" s="11">
        <f t="shared" ref="E36:AC43" si="0">HLOOKUP(E$35,$D$2:$AC$10,$B36,FALSE)</f>
        <v>0</v>
      </c>
      <c r="F36" s="11">
        <f t="shared" si="0"/>
        <v>1</v>
      </c>
      <c r="G36" s="11">
        <f t="shared" si="0"/>
        <v>0</v>
      </c>
      <c r="H36" s="11">
        <f t="shared" si="0"/>
        <v>0</v>
      </c>
      <c r="I36" s="11">
        <f t="shared" si="0"/>
        <v>0</v>
      </c>
      <c r="J36" s="11">
        <f t="shared" si="0"/>
        <v>1</v>
      </c>
      <c r="K36" s="11">
        <f t="shared" si="0"/>
        <v>0</v>
      </c>
      <c r="L36" s="11">
        <f t="shared" si="0"/>
        <v>1</v>
      </c>
      <c r="M36" s="11">
        <f t="shared" si="0"/>
        <v>5</v>
      </c>
      <c r="N36" s="11">
        <f t="shared" si="0"/>
        <v>3</v>
      </c>
      <c r="O36" s="11">
        <f t="shared" si="0"/>
        <v>0</v>
      </c>
      <c r="P36" s="11">
        <f t="shared" si="0"/>
        <v>0</v>
      </c>
      <c r="Q36" s="11">
        <f t="shared" si="0"/>
        <v>0</v>
      </c>
      <c r="R36" s="11">
        <f t="shared" si="0"/>
        <v>1</v>
      </c>
      <c r="S36" s="11">
        <f t="shared" si="0"/>
        <v>2</v>
      </c>
      <c r="T36" s="11">
        <f t="shared" si="0"/>
        <v>0</v>
      </c>
      <c r="U36" s="11">
        <f t="shared" si="0"/>
        <v>0</v>
      </c>
      <c r="V36" s="11">
        <f t="shared" si="0"/>
        <v>0</v>
      </c>
      <c r="W36" s="11">
        <f t="shared" si="0"/>
        <v>0</v>
      </c>
      <c r="X36" s="11">
        <f t="shared" si="0"/>
        <v>0</v>
      </c>
      <c r="Y36" s="11">
        <f t="shared" si="0"/>
        <v>0</v>
      </c>
      <c r="Z36" s="11">
        <f t="shared" si="0"/>
        <v>6</v>
      </c>
      <c r="AA36" s="11">
        <f t="shared" si="0"/>
        <v>0</v>
      </c>
      <c r="AB36" s="11">
        <f t="shared" si="0"/>
        <v>0</v>
      </c>
      <c r="AC36" s="11">
        <f t="shared" si="0"/>
        <v>0</v>
      </c>
    </row>
    <row r="37" spans="1:29" x14ac:dyDescent="0.55000000000000004">
      <c r="A37" s="2" t="s">
        <v>30</v>
      </c>
      <c r="B37">
        <v>3</v>
      </c>
      <c r="D37" s="11">
        <f t="shared" ref="D37:S43" si="1">HLOOKUP(D$35,$D$2:$AC$10,$B37,FALSE)</f>
        <v>0</v>
      </c>
      <c r="E37" s="11">
        <f t="shared" si="1"/>
        <v>0</v>
      </c>
      <c r="F37" s="11">
        <f t="shared" si="1"/>
        <v>0</v>
      </c>
      <c r="G37" s="11">
        <f t="shared" si="1"/>
        <v>23</v>
      </c>
      <c r="H37" s="11">
        <f t="shared" si="1"/>
        <v>1</v>
      </c>
      <c r="I37" s="11">
        <f t="shared" si="1"/>
        <v>0</v>
      </c>
      <c r="J37" s="11">
        <f t="shared" si="1"/>
        <v>5</v>
      </c>
      <c r="K37" s="11">
        <f t="shared" si="1"/>
        <v>2</v>
      </c>
      <c r="L37" s="11">
        <f t="shared" si="1"/>
        <v>0</v>
      </c>
      <c r="M37" s="11">
        <f t="shared" si="1"/>
        <v>0</v>
      </c>
      <c r="N37" s="11">
        <f t="shared" si="1"/>
        <v>7</v>
      </c>
      <c r="O37" s="11">
        <f t="shared" si="1"/>
        <v>0</v>
      </c>
      <c r="P37" s="11">
        <f t="shared" si="1"/>
        <v>6</v>
      </c>
      <c r="Q37" s="11">
        <f t="shared" si="1"/>
        <v>0</v>
      </c>
      <c r="R37" s="11">
        <f t="shared" si="1"/>
        <v>0</v>
      </c>
      <c r="S37" s="11">
        <f t="shared" si="1"/>
        <v>0</v>
      </c>
      <c r="T37" s="11">
        <f t="shared" si="0"/>
        <v>0</v>
      </c>
      <c r="U37" s="11">
        <f t="shared" si="0"/>
        <v>4</v>
      </c>
      <c r="V37" s="11">
        <f t="shared" si="0"/>
        <v>0</v>
      </c>
      <c r="W37" s="11">
        <f t="shared" si="0"/>
        <v>1</v>
      </c>
      <c r="X37" s="11">
        <f t="shared" si="0"/>
        <v>0</v>
      </c>
      <c r="Y37" s="11">
        <f t="shared" si="0"/>
        <v>1</v>
      </c>
      <c r="Z37" s="11">
        <f t="shared" si="0"/>
        <v>20</v>
      </c>
      <c r="AA37" s="11">
        <f t="shared" si="0"/>
        <v>0</v>
      </c>
      <c r="AB37" s="11">
        <f t="shared" si="0"/>
        <v>0</v>
      </c>
      <c r="AC37" s="11">
        <f t="shared" si="0"/>
        <v>0</v>
      </c>
    </row>
    <row r="38" spans="1:29" x14ac:dyDescent="0.55000000000000004">
      <c r="A38" s="2" t="s">
        <v>31</v>
      </c>
      <c r="B38">
        <v>4</v>
      </c>
      <c r="D38" s="11">
        <f t="shared" si="1"/>
        <v>0</v>
      </c>
      <c r="E38" s="11">
        <f t="shared" si="0"/>
        <v>0</v>
      </c>
      <c r="F38" s="11">
        <f t="shared" si="0"/>
        <v>0</v>
      </c>
      <c r="G38" s="11">
        <f t="shared" si="0"/>
        <v>0</v>
      </c>
      <c r="H38" s="11">
        <f t="shared" si="0"/>
        <v>0</v>
      </c>
      <c r="I38" s="11">
        <f t="shared" si="0"/>
        <v>0</v>
      </c>
      <c r="J38" s="11">
        <f t="shared" si="0"/>
        <v>0</v>
      </c>
      <c r="K38" s="11">
        <f t="shared" si="0"/>
        <v>0</v>
      </c>
      <c r="L38" s="11">
        <f t="shared" si="0"/>
        <v>0</v>
      </c>
      <c r="M38" s="11">
        <f t="shared" si="0"/>
        <v>0</v>
      </c>
      <c r="N38" s="11">
        <f t="shared" si="0"/>
        <v>0</v>
      </c>
      <c r="O38" s="11">
        <f t="shared" si="0"/>
        <v>0</v>
      </c>
      <c r="P38" s="11">
        <f t="shared" si="0"/>
        <v>0</v>
      </c>
      <c r="Q38" s="11">
        <f t="shared" si="0"/>
        <v>0</v>
      </c>
      <c r="R38" s="11">
        <f t="shared" si="0"/>
        <v>0</v>
      </c>
      <c r="S38" s="11">
        <f t="shared" si="0"/>
        <v>0</v>
      </c>
      <c r="T38" s="11">
        <f t="shared" si="0"/>
        <v>0</v>
      </c>
      <c r="U38" s="11">
        <f t="shared" si="0"/>
        <v>0</v>
      </c>
      <c r="V38" s="11">
        <f t="shared" si="0"/>
        <v>0</v>
      </c>
      <c r="W38" s="11">
        <f t="shared" si="0"/>
        <v>0</v>
      </c>
      <c r="X38" s="11">
        <f t="shared" si="0"/>
        <v>0</v>
      </c>
      <c r="Y38" s="11">
        <f t="shared" si="0"/>
        <v>0</v>
      </c>
      <c r="Z38" s="11">
        <f t="shared" si="0"/>
        <v>0</v>
      </c>
      <c r="AA38" s="11">
        <f t="shared" si="0"/>
        <v>0</v>
      </c>
      <c r="AB38" s="11">
        <f t="shared" si="0"/>
        <v>0</v>
      </c>
      <c r="AC38" s="11">
        <f t="shared" si="0"/>
        <v>0</v>
      </c>
    </row>
    <row r="39" spans="1:29" x14ac:dyDescent="0.55000000000000004">
      <c r="A39" s="2" t="s">
        <v>32</v>
      </c>
      <c r="B39">
        <v>5</v>
      </c>
      <c r="D39" s="11">
        <f t="shared" si="1"/>
        <v>0</v>
      </c>
      <c r="E39" s="11">
        <f t="shared" si="0"/>
        <v>0</v>
      </c>
      <c r="F39" s="11">
        <f t="shared" si="0"/>
        <v>0</v>
      </c>
      <c r="G39" s="11">
        <f t="shared" si="0"/>
        <v>66</v>
      </c>
      <c r="H39" s="11">
        <f t="shared" si="0"/>
        <v>7</v>
      </c>
      <c r="I39" s="11">
        <f t="shared" si="0"/>
        <v>0</v>
      </c>
      <c r="J39" s="11">
        <f t="shared" si="0"/>
        <v>9</v>
      </c>
      <c r="K39" s="11">
        <f t="shared" si="0"/>
        <v>73</v>
      </c>
      <c r="L39" s="11">
        <f t="shared" si="0"/>
        <v>5</v>
      </c>
      <c r="M39" s="11">
        <f t="shared" si="0"/>
        <v>8</v>
      </c>
      <c r="N39" s="11">
        <f t="shared" si="0"/>
        <v>7</v>
      </c>
      <c r="O39" s="11">
        <f t="shared" si="0"/>
        <v>0</v>
      </c>
      <c r="P39" s="11">
        <f t="shared" si="0"/>
        <v>0</v>
      </c>
      <c r="Q39" s="11">
        <f t="shared" si="0"/>
        <v>0</v>
      </c>
      <c r="R39" s="11">
        <f t="shared" si="0"/>
        <v>0</v>
      </c>
      <c r="S39" s="11">
        <f t="shared" si="0"/>
        <v>33</v>
      </c>
      <c r="T39" s="11">
        <f t="shared" si="0"/>
        <v>0</v>
      </c>
      <c r="U39" s="11">
        <f t="shared" si="0"/>
        <v>2</v>
      </c>
      <c r="V39" s="11">
        <f t="shared" si="0"/>
        <v>0</v>
      </c>
      <c r="W39" s="11">
        <f t="shared" si="0"/>
        <v>27</v>
      </c>
      <c r="X39" s="11">
        <f t="shared" si="0"/>
        <v>6</v>
      </c>
      <c r="Y39" s="11">
        <f t="shared" si="0"/>
        <v>1</v>
      </c>
      <c r="Z39" s="11">
        <f t="shared" si="0"/>
        <v>13</v>
      </c>
      <c r="AA39" s="11">
        <f t="shared" si="0"/>
        <v>15</v>
      </c>
      <c r="AB39" s="11">
        <f t="shared" si="0"/>
        <v>0</v>
      </c>
      <c r="AC39" s="11">
        <f t="shared" si="0"/>
        <v>0</v>
      </c>
    </row>
    <row r="40" spans="1:29" x14ac:dyDescent="0.55000000000000004">
      <c r="A40" s="2" t="s">
        <v>33</v>
      </c>
      <c r="B40">
        <v>6</v>
      </c>
      <c r="D40" s="11">
        <f t="shared" si="1"/>
        <v>0</v>
      </c>
      <c r="E40" s="11">
        <f t="shared" si="0"/>
        <v>0</v>
      </c>
      <c r="F40" s="11">
        <f t="shared" si="0"/>
        <v>0</v>
      </c>
      <c r="G40" s="11">
        <f t="shared" si="0"/>
        <v>17</v>
      </c>
      <c r="H40" s="11">
        <f t="shared" si="0"/>
        <v>0</v>
      </c>
      <c r="I40" s="11">
        <f t="shared" si="0"/>
        <v>0</v>
      </c>
      <c r="J40" s="11">
        <f t="shared" si="0"/>
        <v>10</v>
      </c>
      <c r="K40" s="11">
        <f t="shared" si="0"/>
        <v>1</v>
      </c>
      <c r="L40" s="11">
        <f t="shared" si="0"/>
        <v>0</v>
      </c>
      <c r="M40" s="11">
        <f t="shared" si="0"/>
        <v>5</v>
      </c>
      <c r="N40" s="11">
        <f t="shared" si="0"/>
        <v>0</v>
      </c>
      <c r="O40" s="11">
        <f t="shared" si="0"/>
        <v>0</v>
      </c>
      <c r="P40" s="11">
        <f t="shared" si="0"/>
        <v>1</v>
      </c>
      <c r="Q40" s="11">
        <f t="shared" si="0"/>
        <v>0</v>
      </c>
      <c r="R40" s="11">
        <f t="shared" si="0"/>
        <v>2</v>
      </c>
      <c r="S40" s="11">
        <f t="shared" si="0"/>
        <v>19</v>
      </c>
      <c r="T40" s="11">
        <f t="shared" si="0"/>
        <v>0</v>
      </c>
      <c r="U40" s="11">
        <f t="shared" si="0"/>
        <v>6</v>
      </c>
      <c r="V40" s="11">
        <f t="shared" si="0"/>
        <v>0</v>
      </c>
      <c r="W40" s="11">
        <f t="shared" si="0"/>
        <v>12</v>
      </c>
      <c r="X40" s="11">
        <f t="shared" si="0"/>
        <v>0</v>
      </c>
      <c r="Y40" s="11">
        <f t="shared" si="0"/>
        <v>0</v>
      </c>
      <c r="Z40" s="11">
        <f t="shared" si="0"/>
        <v>5</v>
      </c>
      <c r="AA40" s="11">
        <f t="shared" si="0"/>
        <v>1</v>
      </c>
      <c r="AB40" s="11">
        <f t="shared" si="0"/>
        <v>0</v>
      </c>
      <c r="AC40" s="11">
        <f t="shared" si="0"/>
        <v>0</v>
      </c>
    </row>
    <row r="41" spans="1:29" x14ac:dyDescent="0.55000000000000004">
      <c r="A41" s="2" t="s">
        <v>34</v>
      </c>
      <c r="B41">
        <v>7</v>
      </c>
      <c r="D41" s="11">
        <f t="shared" si="1"/>
        <v>0</v>
      </c>
      <c r="E41" s="11">
        <f t="shared" si="0"/>
        <v>0</v>
      </c>
      <c r="F41" s="11">
        <f t="shared" si="0"/>
        <v>4</v>
      </c>
      <c r="G41" s="11">
        <f t="shared" si="0"/>
        <v>13</v>
      </c>
      <c r="H41" s="11">
        <f t="shared" si="0"/>
        <v>10</v>
      </c>
      <c r="I41" s="11">
        <f t="shared" si="0"/>
        <v>2</v>
      </c>
      <c r="J41" s="11">
        <f t="shared" si="0"/>
        <v>28</v>
      </c>
      <c r="K41" s="11">
        <f t="shared" si="0"/>
        <v>0</v>
      </c>
      <c r="L41" s="11">
        <f t="shared" si="0"/>
        <v>0</v>
      </c>
      <c r="M41" s="11">
        <f t="shared" si="0"/>
        <v>0</v>
      </c>
      <c r="N41" s="11">
        <f t="shared" si="0"/>
        <v>0</v>
      </c>
      <c r="O41" s="11">
        <f t="shared" si="0"/>
        <v>0</v>
      </c>
      <c r="P41" s="11">
        <f t="shared" si="0"/>
        <v>0</v>
      </c>
      <c r="Q41" s="11">
        <f t="shared" si="0"/>
        <v>0</v>
      </c>
      <c r="R41" s="11">
        <f t="shared" si="0"/>
        <v>2</v>
      </c>
      <c r="S41" s="11">
        <f t="shared" si="0"/>
        <v>0</v>
      </c>
      <c r="T41" s="11">
        <f t="shared" si="0"/>
        <v>0</v>
      </c>
      <c r="U41" s="11">
        <f t="shared" si="0"/>
        <v>1</v>
      </c>
      <c r="V41" s="11">
        <f t="shared" si="0"/>
        <v>0</v>
      </c>
      <c r="W41" s="11">
        <f t="shared" si="0"/>
        <v>2</v>
      </c>
      <c r="X41" s="11">
        <f t="shared" si="0"/>
        <v>3</v>
      </c>
      <c r="Y41" s="11">
        <f t="shared" si="0"/>
        <v>3</v>
      </c>
      <c r="Z41" s="11">
        <f t="shared" si="0"/>
        <v>0</v>
      </c>
      <c r="AA41" s="11">
        <f t="shared" si="0"/>
        <v>0</v>
      </c>
      <c r="AB41" s="11">
        <f t="shared" si="0"/>
        <v>0</v>
      </c>
      <c r="AC41" s="11">
        <f t="shared" si="0"/>
        <v>0</v>
      </c>
    </row>
    <row r="42" spans="1:29" x14ac:dyDescent="0.55000000000000004">
      <c r="A42" s="2" t="s">
        <v>35</v>
      </c>
      <c r="B42">
        <v>8</v>
      </c>
      <c r="D42" s="11">
        <f t="shared" si="1"/>
        <v>0</v>
      </c>
      <c r="E42" s="11">
        <f t="shared" si="0"/>
        <v>2</v>
      </c>
      <c r="F42" s="11">
        <f t="shared" si="0"/>
        <v>4</v>
      </c>
      <c r="G42" s="11">
        <f t="shared" si="0"/>
        <v>31</v>
      </c>
      <c r="H42" s="11">
        <f t="shared" si="0"/>
        <v>24</v>
      </c>
      <c r="I42" s="11">
        <f t="shared" si="0"/>
        <v>14</v>
      </c>
      <c r="J42" s="11">
        <f t="shared" si="0"/>
        <v>15</v>
      </c>
      <c r="K42" s="11">
        <f t="shared" si="0"/>
        <v>16</v>
      </c>
      <c r="L42" s="11">
        <f t="shared" si="0"/>
        <v>1</v>
      </c>
      <c r="M42" s="11">
        <f t="shared" si="0"/>
        <v>11</v>
      </c>
      <c r="N42" s="11">
        <f t="shared" si="0"/>
        <v>18</v>
      </c>
      <c r="O42" s="11">
        <f t="shared" si="0"/>
        <v>0</v>
      </c>
      <c r="P42" s="11">
        <f t="shared" si="0"/>
        <v>6</v>
      </c>
      <c r="Q42" s="11">
        <f t="shared" si="0"/>
        <v>0</v>
      </c>
      <c r="R42" s="11">
        <f t="shared" si="0"/>
        <v>0</v>
      </c>
      <c r="S42" s="11">
        <f t="shared" si="0"/>
        <v>37</v>
      </c>
      <c r="T42" s="11">
        <f t="shared" si="0"/>
        <v>0</v>
      </c>
      <c r="U42" s="11">
        <f t="shared" si="0"/>
        <v>10</v>
      </c>
      <c r="V42" s="11">
        <f t="shared" si="0"/>
        <v>0</v>
      </c>
      <c r="W42" s="11">
        <f t="shared" si="0"/>
        <v>14</v>
      </c>
      <c r="X42" s="11">
        <f t="shared" si="0"/>
        <v>15</v>
      </c>
      <c r="Y42" s="11">
        <f t="shared" si="0"/>
        <v>2</v>
      </c>
      <c r="Z42" s="11">
        <f t="shared" si="0"/>
        <v>40</v>
      </c>
      <c r="AA42" s="11">
        <f t="shared" si="0"/>
        <v>3</v>
      </c>
      <c r="AB42" s="11">
        <f t="shared" si="0"/>
        <v>0</v>
      </c>
      <c r="AC42" s="11">
        <f t="shared" si="0"/>
        <v>0</v>
      </c>
    </row>
    <row r="43" spans="1:29" x14ac:dyDescent="0.55000000000000004">
      <c r="A43" s="2" t="s">
        <v>36</v>
      </c>
      <c r="B43">
        <v>9</v>
      </c>
      <c r="D43" s="11">
        <f t="shared" si="1"/>
        <v>0</v>
      </c>
      <c r="E43" s="11">
        <f t="shared" si="0"/>
        <v>0</v>
      </c>
      <c r="F43" s="11">
        <f t="shared" si="0"/>
        <v>0</v>
      </c>
      <c r="G43" s="11">
        <f t="shared" si="0"/>
        <v>0</v>
      </c>
      <c r="H43" s="11">
        <f t="shared" si="0"/>
        <v>0</v>
      </c>
      <c r="I43" s="11">
        <f t="shared" si="0"/>
        <v>0</v>
      </c>
      <c r="J43" s="11">
        <f t="shared" si="0"/>
        <v>0</v>
      </c>
      <c r="K43" s="11">
        <f t="shared" si="0"/>
        <v>0</v>
      </c>
      <c r="L43" s="11">
        <f t="shared" si="0"/>
        <v>0</v>
      </c>
      <c r="M43" s="11">
        <f t="shared" si="0"/>
        <v>0</v>
      </c>
      <c r="N43" s="11">
        <f t="shared" si="0"/>
        <v>0</v>
      </c>
      <c r="O43" s="11">
        <f t="shared" si="0"/>
        <v>0</v>
      </c>
      <c r="P43" s="11">
        <f t="shared" si="0"/>
        <v>0</v>
      </c>
      <c r="Q43" s="11">
        <f t="shared" si="0"/>
        <v>0</v>
      </c>
      <c r="R43" s="11">
        <f t="shared" si="0"/>
        <v>0</v>
      </c>
      <c r="S43" s="11">
        <f t="shared" si="0"/>
        <v>0</v>
      </c>
      <c r="T43" s="11">
        <f t="shared" si="0"/>
        <v>0</v>
      </c>
      <c r="U43" s="11">
        <f t="shared" si="0"/>
        <v>0</v>
      </c>
      <c r="V43" s="11">
        <f t="shared" si="0"/>
        <v>0</v>
      </c>
      <c r="W43" s="11">
        <f t="shared" si="0"/>
        <v>0</v>
      </c>
      <c r="X43" s="11">
        <f t="shared" si="0"/>
        <v>0</v>
      </c>
      <c r="Y43" s="11">
        <f t="shared" si="0"/>
        <v>0</v>
      </c>
      <c r="Z43" s="11">
        <f t="shared" si="0"/>
        <v>0</v>
      </c>
      <c r="AA43" s="11">
        <f t="shared" si="0"/>
        <v>0</v>
      </c>
      <c r="AB43" s="11">
        <f t="shared" si="0"/>
        <v>0</v>
      </c>
      <c r="AC43" s="11">
        <f t="shared" si="0"/>
        <v>0</v>
      </c>
    </row>
    <row r="44" spans="1:29" x14ac:dyDescent="0.55000000000000004">
      <c r="A44" s="2"/>
    </row>
    <row r="45" spans="1:29" x14ac:dyDescent="0.55000000000000004">
      <c r="A45" s="1" t="s">
        <v>39</v>
      </c>
      <c r="B45" s="1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spans="1:29" x14ac:dyDescent="0.55000000000000004">
      <c r="A46" s="1" t="s">
        <v>28</v>
      </c>
      <c r="B46" s="1" t="s">
        <v>41</v>
      </c>
      <c r="D46" s="4" t="s">
        <v>20</v>
      </c>
      <c r="E46" s="4" t="s">
        <v>17</v>
      </c>
      <c r="F46" s="4" t="s">
        <v>16</v>
      </c>
      <c r="G46" s="4" t="s">
        <v>3</v>
      </c>
      <c r="H46" s="4" t="s">
        <v>14</v>
      </c>
      <c r="I46" s="4" t="s">
        <v>13</v>
      </c>
      <c r="J46" s="4" t="s">
        <v>11</v>
      </c>
      <c r="K46" s="4" t="s">
        <v>26</v>
      </c>
      <c r="L46" s="4" t="s">
        <v>9</v>
      </c>
      <c r="M46" s="4" t="s">
        <v>19</v>
      </c>
      <c r="N46" s="4" t="s">
        <v>27</v>
      </c>
      <c r="O46" s="4" t="s">
        <v>4</v>
      </c>
      <c r="P46" s="4" t="s">
        <v>25</v>
      </c>
      <c r="Q46" s="4" t="s">
        <v>8</v>
      </c>
      <c r="R46" s="4" t="s">
        <v>7</v>
      </c>
      <c r="S46" s="4" t="s">
        <v>18</v>
      </c>
      <c r="T46" s="4" t="s">
        <v>15</v>
      </c>
      <c r="U46" s="4" t="s">
        <v>12</v>
      </c>
      <c r="V46" s="4" t="s">
        <v>6</v>
      </c>
      <c r="W46" s="4" t="s">
        <v>21</v>
      </c>
      <c r="X46" s="4" t="s">
        <v>22</v>
      </c>
      <c r="Y46" s="4" t="s">
        <v>5</v>
      </c>
      <c r="Z46" s="4" t="s">
        <v>23</v>
      </c>
      <c r="AA46" s="4" t="s">
        <v>24</v>
      </c>
      <c r="AB46" s="4" t="s">
        <v>10</v>
      </c>
      <c r="AC46" s="4" t="s">
        <v>2</v>
      </c>
    </row>
    <row r="47" spans="1:29" x14ac:dyDescent="0.55000000000000004">
      <c r="A47" s="2" t="s">
        <v>29</v>
      </c>
      <c r="B47">
        <v>2</v>
      </c>
      <c r="D47" s="11">
        <f>HLOOKUP(D$46,$D$13:$AC$21,$B47,FALSE)</f>
        <v>0</v>
      </c>
      <c r="E47" s="11">
        <f t="shared" ref="E47:AC54" si="2">HLOOKUP(E$46,$D$13:$AC$21,$B47,FALSE)</f>
        <v>1</v>
      </c>
      <c r="F47" s="11">
        <f t="shared" si="2"/>
        <v>0</v>
      </c>
      <c r="G47" s="11">
        <f t="shared" si="2"/>
        <v>0</v>
      </c>
      <c r="H47" s="11">
        <f t="shared" si="2"/>
        <v>0</v>
      </c>
      <c r="I47" s="11">
        <f t="shared" si="2"/>
        <v>0</v>
      </c>
      <c r="J47" s="11">
        <f t="shared" si="2"/>
        <v>0</v>
      </c>
      <c r="K47" s="11">
        <f t="shared" si="2"/>
        <v>0</v>
      </c>
      <c r="L47" s="11">
        <f t="shared" si="2"/>
        <v>0</v>
      </c>
      <c r="M47" s="11">
        <f t="shared" si="2"/>
        <v>1</v>
      </c>
      <c r="N47" s="11">
        <f t="shared" si="2"/>
        <v>0</v>
      </c>
      <c r="O47" s="11">
        <f t="shared" si="2"/>
        <v>0</v>
      </c>
      <c r="P47" s="11">
        <f t="shared" si="2"/>
        <v>0</v>
      </c>
      <c r="Q47" s="11">
        <f t="shared" si="2"/>
        <v>0</v>
      </c>
      <c r="R47" s="11">
        <f t="shared" si="2"/>
        <v>1</v>
      </c>
      <c r="S47" s="11">
        <f t="shared" si="2"/>
        <v>0</v>
      </c>
      <c r="T47" s="11">
        <f t="shared" si="2"/>
        <v>0</v>
      </c>
      <c r="U47" s="11">
        <f t="shared" si="2"/>
        <v>1</v>
      </c>
      <c r="V47" s="11">
        <f t="shared" si="2"/>
        <v>0</v>
      </c>
      <c r="W47" s="11">
        <f t="shared" si="2"/>
        <v>0</v>
      </c>
      <c r="X47" s="11">
        <f t="shared" si="2"/>
        <v>0</v>
      </c>
      <c r="Y47" s="11">
        <f t="shared" si="2"/>
        <v>0</v>
      </c>
      <c r="Z47" s="11">
        <f t="shared" si="2"/>
        <v>0</v>
      </c>
      <c r="AA47" s="11">
        <f t="shared" si="2"/>
        <v>0</v>
      </c>
      <c r="AB47" s="11">
        <f t="shared" si="2"/>
        <v>0</v>
      </c>
      <c r="AC47" s="11">
        <f t="shared" si="2"/>
        <v>0</v>
      </c>
    </row>
    <row r="48" spans="1:29" x14ac:dyDescent="0.55000000000000004">
      <c r="A48" s="2" t="s">
        <v>30</v>
      </c>
      <c r="B48">
        <v>3</v>
      </c>
      <c r="D48" s="11">
        <f t="shared" ref="D48:S54" si="3">HLOOKUP(D$46,$D$13:$AC$21,$B48,FALSE)</f>
        <v>0</v>
      </c>
      <c r="E48" s="11">
        <f t="shared" si="3"/>
        <v>0</v>
      </c>
      <c r="F48" s="11">
        <f t="shared" si="3"/>
        <v>0</v>
      </c>
      <c r="G48" s="11">
        <f t="shared" si="3"/>
        <v>11</v>
      </c>
      <c r="H48" s="11">
        <f t="shared" si="3"/>
        <v>3</v>
      </c>
      <c r="I48" s="11">
        <f t="shared" si="3"/>
        <v>0</v>
      </c>
      <c r="J48" s="11">
        <f t="shared" si="3"/>
        <v>3</v>
      </c>
      <c r="K48" s="11">
        <f t="shared" si="3"/>
        <v>0</v>
      </c>
      <c r="L48" s="11">
        <f t="shared" si="3"/>
        <v>0</v>
      </c>
      <c r="M48" s="11">
        <f t="shared" si="3"/>
        <v>0</v>
      </c>
      <c r="N48" s="11">
        <f t="shared" si="3"/>
        <v>1</v>
      </c>
      <c r="O48" s="11">
        <f t="shared" si="3"/>
        <v>0</v>
      </c>
      <c r="P48" s="11">
        <f t="shared" si="3"/>
        <v>6</v>
      </c>
      <c r="Q48" s="11">
        <f t="shared" si="3"/>
        <v>0</v>
      </c>
      <c r="R48" s="11">
        <f t="shared" si="3"/>
        <v>0</v>
      </c>
      <c r="S48" s="11">
        <f t="shared" si="3"/>
        <v>0</v>
      </c>
      <c r="T48" s="11">
        <f t="shared" si="2"/>
        <v>0</v>
      </c>
      <c r="U48" s="11">
        <f t="shared" si="2"/>
        <v>0</v>
      </c>
      <c r="V48" s="11">
        <f t="shared" si="2"/>
        <v>0</v>
      </c>
      <c r="W48" s="11">
        <f t="shared" si="2"/>
        <v>0</v>
      </c>
      <c r="X48" s="11">
        <f t="shared" si="2"/>
        <v>0</v>
      </c>
      <c r="Y48" s="11">
        <f t="shared" si="2"/>
        <v>0</v>
      </c>
      <c r="Z48" s="11">
        <f t="shared" si="2"/>
        <v>5</v>
      </c>
      <c r="AA48" s="11">
        <f t="shared" si="2"/>
        <v>0</v>
      </c>
      <c r="AB48" s="11">
        <f t="shared" si="2"/>
        <v>0</v>
      </c>
      <c r="AC48" s="11">
        <f t="shared" si="2"/>
        <v>0</v>
      </c>
    </row>
    <row r="49" spans="1:29" x14ac:dyDescent="0.55000000000000004">
      <c r="A49" s="2" t="s">
        <v>31</v>
      </c>
      <c r="B49">
        <v>4</v>
      </c>
      <c r="D49" s="11">
        <f t="shared" si="3"/>
        <v>0</v>
      </c>
      <c r="E49" s="11">
        <f t="shared" si="2"/>
        <v>0</v>
      </c>
      <c r="F49" s="11">
        <f t="shared" si="2"/>
        <v>0</v>
      </c>
      <c r="G49" s="11">
        <f t="shared" si="2"/>
        <v>1</v>
      </c>
      <c r="H49" s="11">
        <f t="shared" si="2"/>
        <v>0</v>
      </c>
      <c r="I49" s="11">
        <f t="shared" si="2"/>
        <v>0</v>
      </c>
      <c r="J49" s="11">
        <f t="shared" si="2"/>
        <v>0</v>
      </c>
      <c r="K49" s="11">
        <f t="shared" si="2"/>
        <v>0</v>
      </c>
      <c r="L49" s="11">
        <f t="shared" si="2"/>
        <v>0</v>
      </c>
      <c r="M49" s="11">
        <f t="shared" si="2"/>
        <v>0</v>
      </c>
      <c r="N49" s="11">
        <f t="shared" si="2"/>
        <v>0</v>
      </c>
      <c r="O49" s="11">
        <f t="shared" si="2"/>
        <v>0</v>
      </c>
      <c r="P49" s="11">
        <f t="shared" si="2"/>
        <v>0</v>
      </c>
      <c r="Q49" s="11">
        <f t="shared" si="2"/>
        <v>0</v>
      </c>
      <c r="R49" s="11">
        <f t="shared" si="2"/>
        <v>0</v>
      </c>
      <c r="S49" s="11">
        <f t="shared" si="2"/>
        <v>0</v>
      </c>
      <c r="T49" s="11">
        <f t="shared" si="2"/>
        <v>0</v>
      </c>
      <c r="U49" s="11">
        <f t="shared" si="2"/>
        <v>0</v>
      </c>
      <c r="V49" s="11">
        <f t="shared" si="2"/>
        <v>0</v>
      </c>
      <c r="W49" s="11">
        <f t="shared" si="2"/>
        <v>0</v>
      </c>
      <c r="X49" s="11">
        <f t="shared" si="2"/>
        <v>0</v>
      </c>
      <c r="Y49" s="11">
        <f t="shared" si="2"/>
        <v>0</v>
      </c>
      <c r="Z49" s="11">
        <f t="shared" si="2"/>
        <v>0</v>
      </c>
      <c r="AA49" s="11">
        <f t="shared" si="2"/>
        <v>0</v>
      </c>
      <c r="AB49" s="11">
        <f t="shared" si="2"/>
        <v>0</v>
      </c>
      <c r="AC49" s="11">
        <f t="shared" si="2"/>
        <v>0</v>
      </c>
    </row>
    <row r="50" spans="1:29" x14ac:dyDescent="0.55000000000000004">
      <c r="A50" s="2" t="s">
        <v>32</v>
      </c>
      <c r="B50">
        <v>5</v>
      </c>
      <c r="D50" s="11">
        <f t="shared" si="3"/>
        <v>0</v>
      </c>
      <c r="E50" s="11">
        <f t="shared" si="2"/>
        <v>0</v>
      </c>
      <c r="F50" s="11">
        <f t="shared" si="2"/>
        <v>0</v>
      </c>
      <c r="G50" s="11">
        <f t="shared" si="2"/>
        <v>12</v>
      </c>
      <c r="H50" s="11">
        <f t="shared" si="2"/>
        <v>0</v>
      </c>
      <c r="I50" s="11">
        <f t="shared" si="2"/>
        <v>0</v>
      </c>
      <c r="J50" s="11">
        <f t="shared" si="2"/>
        <v>4</v>
      </c>
      <c r="K50" s="11">
        <f t="shared" si="2"/>
        <v>0</v>
      </c>
      <c r="L50" s="11">
        <f t="shared" si="2"/>
        <v>0</v>
      </c>
      <c r="M50" s="11">
        <f t="shared" si="2"/>
        <v>2</v>
      </c>
      <c r="N50" s="11">
        <f t="shared" si="2"/>
        <v>0</v>
      </c>
      <c r="O50" s="11">
        <f t="shared" si="2"/>
        <v>0</v>
      </c>
      <c r="P50" s="11">
        <f t="shared" si="2"/>
        <v>0</v>
      </c>
      <c r="Q50" s="11">
        <f t="shared" si="2"/>
        <v>0</v>
      </c>
      <c r="R50" s="11">
        <f t="shared" si="2"/>
        <v>1</v>
      </c>
      <c r="S50" s="11">
        <f t="shared" si="2"/>
        <v>3</v>
      </c>
      <c r="T50" s="11">
        <f t="shared" si="2"/>
        <v>0</v>
      </c>
      <c r="U50" s="11">
        <f t="shared" si="2"/>
        <v>1</v>
      </c>
      <c r="V50" s="11">
        <f t="shared" si="2"/>
        <v>0</v>
      </c>
      <c r="W50" s="11">
        <f t="shared" si="2"/>
        <v>5</v>
      </c>
      <c r="X50" s="11">
        <f t="shared" si="2"/>
        <v>1</v>
      </c>
      <c r="Y50" s="11">
        <f t="shared" si="2"/>
        <v>1</v>
      </c>
      <c r="Z50" s="11">
        <f t="shared" si="2"/>
        <v>0</v>
      </c>
      <c r="AA50" s="11">
        <f t="shared" si="2"/>
        <v>3</v>
      </c>
      <c r="AB50" s="11">
        <f t="shared" si="2"/>
        <v>0</v>
      </c>
      <c r="AC50" s="11">
        <f t="shared" si="2"/>
        <v>0</v>
      </c>
    </row>
    <row r="51" spans="1:29" x14ac:dyDescent="0.55000000000000004">
      <c r="A51" s="2" t="s">
        <v>33</v>
      </c>
      <c r="B51">
        <v>6</v>
      </c>
      <c r="D51" s="11">
        <f t="shared" si="3"/>
        <v>0</v>
      </c>
      <c r="E51" s="11">
        <f t="shared" si="2"/>
        <v>0</v>
      </c>
      <c r="F51" s="11">
        <f t="shared" si="2"/>
        <v>0</v>
      </c>
      <c r="G51" s="11">
        <f t="shared" si="2"/>
        <v>3</v>
      </c>
      <c r="H51" s="11">
        <f t="shared" si="2"/>
        <v>0</v>
      </c>
      <c r="I51" s="11">
        <f t="shared" si="2"/>
        <v>0</v>
      </c>
      <c r="J51" s="11">
        <f t="shared" si="2"/>
        <v>2</v>
      </c>
      <c r="K51" s="11">
        <f t="shared" si="2"/>
        <v>0</v>
      </c>
      <c r="L51" s="11">
        <f t="shared" si="2"/>
        <v>0</v>
      </c>
      <c r="M51" s="11">
        <f t="shared" si="2"/>
        <v>7</v>
      </c>
      <c r="N51" s="11">
        <f t="shared" si="2"/>
        <v>1</v>
      </c>
      <c r="O51" s="11">
        <f t="shared" si="2"/>
        <v>0</v>
      </c>
      <c r="P51" s="11">
        <f t="shared" si="2"/>
        <v>0</v>
      </c>
      <c r="Q51" s="11">
        <f t="shared" si="2"/>
        <v>1</v>
      </c>
      <c r="R51" s="11">
        <f t="shared" si="2"/>
        <v>1</v>
      </c>
      <c r="S51" s="11">
        <f t="shared" si="2"/>
        <v>4</v>
      </c>
      <c r="T51" s="11">
        <f t="shared" si="2"/>
        <v>0</v>
      </c>
      <c r="U51" s="11">
        <f t="shared" si="2"/>
        <v>0</v>
      </c>
      <c r="V51" s="11">
        <f t="shared" si="2"/>
        <v>0</v>
      </c>
      <c r="W51" s="11">
        <f t="shared" si="2"/>
        <v>2</v>
      </c>
      <c r="X51" s="11">
        <f t="shared" si="2"/>
        <v>0</v>
      </c>
      <c r="Y51" s="11">
        <f t="shared" si="2"/>
        <v>1</v>
      </c>
      <c r="Z51" s="11">
        <f t="shared" si="2"/>
        <v>1</v>
      </c>
      <c r="AA51" s="11">
        <f t="shared" si="2"/>
        <v>0</v>
      </c>
      <c r="AB51" s="11">
        <f t="shared" si="2"/>
        <v>0</v>
      </c>
      <c r="AC51" s="11">
        <f t="shared" si="2"/>
        <v>0</v>
      </c>
    </row>
    <row r="52" spans="1:29" x14ac:dyDescent="0.55000000000000004">
      <c r="A52" s="2" t="s">
        <v>34</v>
      </c>
      <c r="B52">
        <v>7</v>
      </c>
      <c r="D52" s="11">
        <f t="shared" si="3"/>
        <v>0</v>
      </c>
      <c r="E52" s="11">
        <f t="shared" si="2"/>
        <v>0</v>
      </c>
      <c r="F52" s="11">
        <f t="shared" si="2"/>
        <v>0</v>
      </c>
      <c r="G52" s="11">
        <f t="shared" si="2"/>
        <v>5</v>
      </c>
      <c r="H52" s="11">
        <f t="shared" si="2"/>
        <v>8</v>
      </c>
      <c r="I52" s="11">
        <f t="shared" si="2"/>
        <v>1</v>
      </c>
      <c r="J52" s="11">
        <f t="shared" si="2"/>
        <v>14</v>
      </c>
      <c r="K52" s="11">
        <f t="shared" si="2"/>
        <v>0</v>
      </c>
      <c r="L52" s="11">
        <f t="shared" si="2"/>
        <v>0</v>
      </c>
      <c r="M52" s="11">
        <f t="shared" si="2"/>
        <v>5</v>
      </c>
      <c r="N52" s="11">
        <f t="shared" si="2"/>
        <v>0</v>
      </c>
      <c r="O52" s="11">
        <f t="shared" si="2"/>
        <v>0</v>
      </c>
      <c r="P52" s="11">
        <f t="shared" si="2"/>
        <v>0</v>
      </c>
      <c r="Q52" s="11">
        <f t="shared" si="2"/>
        <v>0</v>
      </c>
      <c r="R52" s="11">
        <f t="shared" si="2"/>
        <v>2</v>
      </c>
      <c r="S52" s="11">
        <f t="shared" si="2"/>
        <v>0</v>
      </c>
      <c r="T52" s="11">
        <f t="shared" si="2"/>
        <v>0</v>
      </c>
      <c r="U52" s="11">
        <f t="shared" si="2"/>
        <v>0</v>
      </c>
      <c r="V52" s="11">
        <f t="shared" si="2"/>
        <v>0</v>
      </c>
      <c r="W52" s="11">
        <f t="shared" si="2"/>
        <v>0</v>
      </c>
      <c r="X52" s="11">
        <f t="shared" si="2"/>
        <v>0</v>
      </c>
      <c r="Y52" s="11">
        <f t="shared" si="2"/>
        <v>1</v>
      </c>
      <c r="Z52" s="11">
        <f t="shared" si="2"/>
        <v>0</v>
      </c>
      <c r="AA52" s="11">
        <f t="shared" si="2"/>
        <v>1</v>
      </c>
      <c r="AB52" s="11">
        <f t="shared" si="2"/>
        <v>0</v>
      </c>
      <c r="AC52" s="11">
        <f t="shared" si="2"/>
        <v>0</v>
      </c>
    </row>
    <row r="53" spans="1:29" x14ac:dyDescent="0.55000000000000004">
      <c r="A53" s="2" t="s">
        <v>35</v>
      </c>
      <c r="B53">
        <v>8</v>
      </c>
      <c r="D53" s="11">
        <f t="shared" si="3"/>
        <v>0</v>
      </c>
      <c r="E53" s="11">
        <f t="shared" si="2"/>
        <v>0</v>
      </c>
      <c r="F53" s="11">
        <f t="shared" si="2"/>
        <v>1</v>
      </c>
      <c r="G53" s="11">
        <f t="shared" si="2"/>
        <v>11</v>
      </c>
      <c r="H53" s="11">
        <f t="shared" si="2"/>
        <v>4</v>
      </c>
      <c r="I53" s="11">
        <f t="shared" si="2"/>
        <v>2</v>
      </c>
      <c r="J53" s="11">
        <f t="shared" si="2"/>
        <v>4</v>
      </c>
      <c r="K53" s="11">
        <f t="shared" si="2"/>
        <v>4</v>
      </c>
      <c r="L53" s="11">
        <f t="shared" si="2"/>
        <v>0</v>
      </c>
      <c r="M53" s="11">
        <f t="shared" si="2"/>
        <v>6</v>
      </c>
      <c r="N53" s="11">
        <f t="shared" si="2"/>
        <v>2</v>
      </c>
      <c r="O53" s="11">
        <f t="shared" si="2"/>
        <v>0</v>
      </c>
      <c r="P53" s="11">
        <f t="shared" si="2"/>
        <v>3</v>
      </c>
      <c r="Q53" s="11">
        <f t="shared" si="2"/>
        <v>2</v>
      </c>
      <c r="R53" s="11">
        <f t="shared" si="2"/>
        <v>1</v>
      </c>
      <c r="S53" s="11">
        <f t="shared" si="2"/>
        <v>3</v>
      </c>
      <c r="T53" s="11">
        <f t="shared" si="2"/>
        <v>0</v>
      </c>
      <c r="U53" s="11">
        <f t="shared" si="2"/>
        <v>4</v>
      </c>
      <c r="V53" s="11">
        <f t="shared" si="2"/>
        <v>0</v>
      </c>
      <c r="W53" s="11">
        <f t="shared" si="2"/>
        <v>7</v>
      </c>
      <c r="X53" s="11">
        <f t="shared" si="2"/>
        <v>4</v>
      </c>
      <c r="Y53" s="11">
        <f t="shared" si="2"/>
        <v>1</v>
      </c>
      <c r="Z53" s="11">
        <f t="shared" si="2"/>
        <v>6</v>
      </c>
      <c r="AA53" s="11">
        <f t="shared" si="2"/>
        <v>2</v>
      </c>
      <c r="AB53" s="11">
        <f t="shared" si="2"/>
        <v>0</v>
      </c>
      <c r="AC53" s="11">
        <f t="shared" si="2"/>
        <v>0</v>
      </c>
    </row>
    <row r="54" spans="1:29" x14ac:dyDescent="0.55000000000000004">
      <c r="A54" s="2" t="s">
        <v>36</v>
      </c>
      <c r="B54">
        <v>9</v>
      </c>
      <c r="D54" s="11">
        <f t="shared" si="3"/>
        <v>0</v>
      </c>
      <c r="E54" s="11">
        <f t="shared" si="2"/>
        <v>0</v>
      </c>
      <c r="F54" s="11">
        <f t="shared" si="2"/>
        <v>0</v>
      </c>
      <c r="G54" s="11">
        <f t="shared" si="2"/>
        <v>0</v>
      </c>
      <c r="H54" s="11">
        <f t="shared" si="2"/>
        <v>0</v>
      </c>
      <c r="I54" s="11">
        <f t="shared" si="2"/>
        <v>0</v>
      </c>
      <c r="J54" s="11">
        <f t="shared" si="2"/>
        <v>0</v>
      </c>
      <c r="K54" s="11">
        <f t="shared" si="2"/>
        <v>0</v>
      </c>
      <c r="L54" s="11">
        <f t="shared" si="2"/>
        <v>0</v>
      </c>
      <c r="M54" s="11">
        <f t="shared" si="2"/>
        <v>0</v>
      </c>
      <c r="N54" s="11">
        <f t="shared" si="2"/>
        <v>0</v>
      </c>
      <c r="O54" s="11">
        <f t="shared" si="2"/>
        <v>0</v>
      </c>
      <c r="P54" s="11">
        <f t="shared" si="2"/>
        <v>0</v>
      </c>
      <c r="Q54" s="11">
        <f t="shared" si="2"/>
        <v>0</v>
      </c>
      <c r="R54" s="11">
        <f t="shared" si="2"/>
        <v>0</v>
      </c>
      <c r="S54" s="11">
        <f t="shared" si="2"/>
        <v>0</v>
      </c>
      <c r="T54" s="11">
        <f t="shared" si="2"/>
        <v>0</v>
      </c>
      <c r="U54" s="11">
        <f t="shared" si="2"/>
        <v>0</v>
      </c>
      <c r="V54" s="11">
        <f t="shared" si="2"/>
        <v>0</v>
      </c>
      <c r="W54" s="11">
        <f t="shared" si="2"/>
        <v>0</v>
      </c>
      <c r="X54" s="11">
        <f t="shared" si="2"/>
        <v>0</v>
      </c>
      <c r="Y54" s="11">
        <f t="shared" si="2"/>
        <v>0</v>
      </c>
      <c r="Z54" s="11">
        <f t="shared" si="2"/>
        <v>0</v>
      </c>
      <c r="AA54" s="11">
        <f t="shared" si="2"/>
        <v>0</v>
      </c>
      <c r="AB54" s="11">
        <f t="shared" si="2"/>
        <v>0</v>
      </c>
      <c r="AC54" s="11">
        <f t="shared" si="2"/>
        <v>0</v>
      </c>
    </row>
    <row r="55" spans="1:29" x14ac:dyDescent="0.55000000000000004">
      <c r="A55" s="2"/>
    </row>
    <row r="56" spans="1:29" x14ac:dyDescent="0.55000000000000004">
      <c r="A56" s="1" t="s">
        <v>38</v>
      </c>
      <c r="B56" s="1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spans="1:29" x14ac:dyDescent="0.55000000000000004">
      <c r="A57" s="1" t="s">
        <v>28</v>
      </c>
      <c r="B57" s="1" t="s">
        <v>41</v>
      </c>
      <c r="D57" s="4" t="s">
        <v>20</v>
      </c>
      <c r="E57" s="4" t="s">
        <v>17</v>
      </c>
      <c r="F57" s="4" t="s">
        <v>16</v>
      </c>
      <c r="G57" s="4" t="s">
        <v>3</v>
      </c>
      <c r="H57" s="4" t="s">
        <v>14</v>
      </c>
      <c r="I57" s="4" t="s">
        <v>13</v>
      </c>
      <c r="J57" s="4" t="s">
        <v>11</v>
      </c>
      <c r="K57" s="4" t="s">
        <v>26</v>
      </c>
      <c r="L57" s="4" t="s">
        <v>9</v>
      </c>
      <c r="M57" s="4" t="s">
        <v>19</v>
      </c>
      <c r="N57" s="4" t="s">
        <v>27</v>
      </c>
      <c r="O57" s="4" t="s">
        <v>4</v>
      </c>
      <c r="P57" s="4" t="s">
        <v>25</v>
      </c>
      <c r="Q57" s="4" t="s">
        <v>8</v>
      </c>
      <c r="R57" s="4" t="s">
        <v>7</v>
      </c>
      <c r="S57" s="4" t="s">
        <v>18</v>
      </c>
      <c r="T57" s="4" t="s">
        <v>15</v>
      </c>
      <c r="U57" s="4" t="s">
        <v>12</v>
      </c>
      <c r="V57" s="4" t="s">
        <v>6</v>
      </c>
      <c r="W57" s="4" t="s">
        <v>21</v>
      </c>
      <c r="X57" s="4" t="s">
        <v>22</v>
      </c>
      <c r="Y57" s="4" t="s">
        <v>5</v>
      </c>
      <c r="Z57" s="4" t="s">
        <v>23</v>
      </c>
      <c r="AA57" s="4" t="s">
        <v>24</v>
      </c>
      <c r="AB57" s="4" t="s">
        <v>10</v>
      </c>
      <c r="AC57" s="4" t="s">
        <v>2</v>
      </c>
    </row>
    <row r="58" spans="1:29" x14ac:dyDescent="0.55000000000000004">
      <c r="A58" s="2" t="s">
        <v>29</v>
      </c>
      <c r="B58">
        <v>2</v>
      </c>
      <c r="D58" s="11">
        <f>HLOOKUP(D$57,$D$24:$AC$32,$B58,FALSE)</f>
        <v>0</v>
      </c>
      <c r="E58" s="11">
        <f t="shared" ref="E58:AC65" si="4">HLOOKUP(E$57,$D$24:$AC$32,$B58,FALSE)</f>
        <v>0</v>
      </c>
      <c r="F58" s="11">
        <f t="shared" si="4"/>
        <v>0</v>
      </c>
      <c r="G58" s="11">
        <f t="shared" si="4"/>
        <v>0</v>
      </c>
      <c r="H58" s="11">
        <f t="shared" si="4"/>
        <v>0</v>
      </c>
      <c r="I58" s="11">
        <f t="shared" si="4"/>
        <v>0</v>
      </c>
      <c r="J58" s="11">
        <f t="shared" si="4"/>
        <v>0</v>
      </c>
      <c r="K58" s="11">
        <f t="shared" si="4"/>
        <v>0</v>
      </c>
      <c r="L58" s="11">
        <f t="shared" si="4"/>
        <v>0</v>
      </c>
      <c r="M58" s="11">
        <f t="shared" si="4"/>
        <v>0</v>
      </c>
      <c r="N58" s="11">
        <f t="shared" si="4"/>
        <v>0</v>
      </c>
      <c r="O58" s="11">
        <f t="shared" si="4"/>
        <v>0</v>
      </c>
      <c r="P58" s="11">
        <f t="shared" si="4"/>
        <v>0</v>
      </c>
      <c r="Q58" s="11">
        <f t="shared" si="4"/>
        <v>0</v>
      </c>
      <c r="R58" s="11">
        <f t="shared" si="4"/>
        <v>0</v>
      </c>
      <c r="S58" s="11">
        <f t="shared" si="4"/>
        <v>0</v>
      </c>
      <c r="T58" s="11">
        <f t="shared" si="4"/>
        <v>0</v>
      </c>
      <c r="U58" s="11">
        <f t="shared" si="4"/>
        <v>0</v>
      </c>
      <c r="V58" s="11">
        <f t="shared" si="4"/>
        <v>0</v>
      </c>
      <c r="W58" s="11">
        <f t="shared" si="4"/>
        <v>0</v>
      </c>
      <c r="X58" s="11">
        <f t="shared" si="4"/>
        <v>0</v>
      </c>
      <c r="Y58" s="11">
        <f t="shared" si="4"/>
        <v>0</v>
      </c>
      <c r="Z58" s="11">
        <f t="shared" si="4"/>
        <v>0</v>
      </c>
      <c r="AA58" s="11">
        <f t="shared" si="4"/>
        <v>0</v>
      </c>
      <c r="AB58" s="11">
        <f t="shared" si="4"/>
        <v>0</v>
      </c>
      <c r="AC58" s="11">
        <f t="shared" si="4"/>
        <v>0</v>
      </c>
    </row>
    <row r="59" spans="1:29" x14ac:dyDescent="0.55000000000000004">
      <c r="A59" s="2" t="s">
        <v>30</v>
      </c>
      <c r="B59">
        <v>3</v>
      </c>
      <c r="D59" s="11">
        <f t="shared" ref="D59:D65" si="5">HLOOKUP(D$57,$D$24:$AC$32,$B59,FALSE)</f>
        <v>0</v>
      </c>
      <c r="E59" s="11">
        <f t="shared" si="4"/>
        <v>0</v>
      </c>
      <c r="F59" s="11">
        <f t="shared" si="4"/>
        <v>0</v>
      </c>
      <c r="G59" s="11">
        <f t="shared" si="4"/>
        <v>1</v>
      </c>
      <c r="H59" s="11">
        <f t="shared" si="4"/>
        <v>0</v>
      </c>
      <c r="I59" s="11">
        <f t="shared" si="4"/>
        <v>0</v>
      </c>
      <c r="J59" s="11">
        <f t="shared" si="4"/>
        <v>0</v>
      </c>
      <c r="K59" s="11">
        <f t="shared" si="4"/>
        <v>0</v>
      </c>
      <c r="L59" s="11">
        <f t="shared" si="4"/>
        <v>0</v>
      </c>
      <c r="M59" s="11">
        <f t="shared" si="4"/>
        <v>0</v>
      </c>
      <c r="N59" s="11">
        <f t="shared" si="4"/>
        <v>0</v>
      </c>
      <c r="O59" s="11">
        <f t="shared" si="4"/>
        <v>0</v>
      </c>
      <c r="P59" s="11">
        <f t="shared" si="4"/>
        <v>0</v>
      </c>
      <c r="Q59" s="11">
        <f t="shared" si="4"/>
        <v>0</v>
      </c>
      <c r="R59" s="11">
        <f t="shared" si="4"/>
        <v>0</v>
      </c>
      <c r="S59" s="11">
        <f t="shared" si="4"/>
        <v>0</v>
      </c>
      <c r="T59" s="11">
        <f t="shared" si="4"/>
        <v>0</v>
      </c>
      <c r="U59" s="11">
        <f t="shared" si="4"/>
        <v>0</v>
      </c>
      <c r="V59" s="11">
        <f t="shared" si="4"/>
        <v>0</v>
      </c>
      <c r="W59" s="11">
        <f t="shared" si="4"/>
        <v>2</v>
      </c>
      <c r="X59" s="11">
        <f t="shared" si="4"/>
        <v>0</v>
      </c>
      <c r="Y59" s="11">
        <f t="shared" si="4"/>
        <v>0</v>
      </c>
      <c r="Z59" s="11">
        <f t="shared" si="4"/>
        <v>0</v>
      </c>
      <c r="AA59" s="11">
        <f t="shared" si="4"/>
        <v>0</v>
      </c>
      <c r="AB59" s="11">
        <f t="shared" si="4"/>
        <v>0</v>
      </c>
      <c r="AC59" s="11">
        <f t="shared" si="4"/>
        <v>0</v>
      </c>
    </row>
    <row r="60" spans="1:29" x14ac:dyDescent="0.55000000000000004">
      <c r="A60" s="2" t="s">
        <v>31</v>
      </c>
      <c r="B60">
        <v>4</v>
      </c>
      <c r="D60" s="11">
        <f t="shared" si="5"/>
        <v>0</v>
      </c>
      <c r="E60" s="11">
        <f t="shared" si="4"/>
        <v>0</v>
      </c>
      <c r="F60" s="11">
        <f t="shared" si="4"/>
        <v>0</v>
      </c>
      <c r="G60" s="11">
        <f t="shared" si="4"/>
        <v>1</v>
      </c>
      <c r="H60" s="11">
        <f t="shared" si="4"/>
        <v>0</v>
      </c>
      <c r="I60" s="11">
        <f t="shared" si="4"/>
        <v>0</v>
      </c>
      <c r="J60" s="11">
        <f t="shared" si="4"/>
        <v>1</v>
      </c>
      <c r="K60" s="11">
        <f t="shared" si="4"/>
        <v>0</v>
      </c>
      <c r="L60" s="11">
        <f t="shared" si="4"/>
        <v>0</v>
      </c>
      <c r="M60" s="11">
        <f t="shared" si="4"/>
        <v>0</v>
      </c>
      <c r="N60" s="11">
        <f t="shared" si="4"/>
        <v>0</v>
      </c>
      <c r="O60" s="11">
        <f t="shared" si="4"/>
        <v>0</v>
      </c>
      <c r="P60" s="11">
        <f t="shared" si="4"/>
        <v>1</v>
      </c>
      <c r="Q60" s="11">
        <f t="shared" si="4"/>
        <v>0</v>
      </c>
      <c r="R60" s="11">
        <f t="shared" si="4"/>
        <v>0</v>
      </c>
      <c r="S60" s="11">
        <f t="shared" si="4"/>
        <v>1</v>
      </c>
      <c r="T60" s="11">
        <f t="shared" si="4"/>
        <v>0</v>
      </c>
      <c r="U60" s="11">
        <f t="shared" si="4"/>
        <v>0</v>
      </c>
      <c r="V60" s="11">
        <f t="shared" si="4"/>
        <v>0</v>
      </c>
      <c r="W60" s="11">
        <f t="shared" si="4"/>
        <v>0</v>
      </c>
      <c r="X60" s="11">
        <f t="shared" si="4"/>
        <v>0</v>
      </c>
      <c r="Y60" s="11">
        <f t="shared" si="4"/>
        <v>0</v>
      </c>
      <c r="Z60" s="11">
        <f t="shared" si="4"/>
        <v>0</v>
      </c>
      <c r="AA60" s="11">
        <f t="shared" si="4"/>
        <v>0</v>
      </c>
      <c r="AB60" s="11">
        <f t="shared" si="4"/>
        <v>0</v>
      </c>
      <c r="AC60" s="11">
        <f t="shared" si="4"/>
        <v>0</v>
      </c>
    </row>
    <row r="61" spans="1:29" x14ac:dyDescent="0.55000000000000004">
      <c r="A61" s="2" t="s">
        <v>32</v>
      </c>
      <c r="B61">
        <v>5</v>
      </c>
      <c r="D61" s="11">
        <f t="shared" si="5"/>
        <v>0</v>
      </c>
      <c r="E61" s="11">
        <f t="shared" si="4"/>
        <v>0</v>
      </c>
      <c r="F61" s="11">
        <f t="shared" si="4"/>
        <v>0</v>
      </c>
      <c r="G61" s="11">
        <f t="shared" si="4"/>
        <v>2</v>
      </c>
      <c r="H61" s="11">
        <f t="shared" si="4"/>
        <v>0</v>
      </c>
      <c r="I61" s="11">
        <f t="shared" si="4"/>
        <v>0</v>
      </c>
      <c r="J61" s="11">
        <f t="shared" si="4"/>
        <v>0</v>
      </c>
      <c r="K61" s="11">
        <f t="shared" si="4"/>
        <v>0</v>
      </c>
      <c r="L61" s="11">
        <f t="shared" si="4"/>
        <v>0</v>
      </c>
      <c r="M61" s="11">
        <f t="shared" si="4"/>
        <v>1</v>
      </c>
      <c r="N61" s="11">
        <f t="shared" si="4"/>
        <v>0</v>
      </c>
      <c r="O61" s="11">
        <f t="shared" si="4"/>
        <v>0</v>
      </c>
      <c r="P61" s="11">
        <f t="shared" si="4"/>
        <v>0</v>
      </c>
      <c r="Q61" s="11">
        <f t="shared" si="4"/>
        <v>0</v>
      </c>
      <c r="R61" s="11">
        <f>HLOOKUP(R$57,$D$24:$AC$32,$B61,FALSE)</f>
        <v>0</v>
      </c>
      <c r="S61" s="11">
        <f t="shared" si="4"/>
        <v>0</v>
      </c>
      <c r="T61" s="11">
        <f t="shared" si="4"/>
        <v>0</v>
      </c>
      <c r="U61" s="11">
        <f t="shared" si="4"/>
        <v>0</v>
      </c>
      <c r="V61" s="11">
        <f t="shared" si="4"/>
        <v>0</v>
      </c>
      <c r="W61" s="11">
        <f t="shared" si="4"/>
        <v>0</v>
      </c>
      <c r="X61" s="11">
        <f t="shared" si="4"/>
        <v>0</v>
      </c>
      <c r="Y61" s="11">
        <f t="shared" si="4"/>
        <v>1</v>
      </c>
      <c r="Z61" s="11">
        <f t="shared" si="4"/>
        <v>0</v>
      </c>
      <c r="AA61" s="11">
        <f t="shared" si="4"/>
        <v>0</v>
      </c>
      <c r="AB61" s="11">
        <f t="shared" si="4"/>
        <v>0</v>
      </c>
      <c r="AC61" s="11">
        <f t="shared" si="4"/>
        <v>0</v>
      </c>
    </row>
    <row r="62" spans="1:29" x14ac:dyDescent="0.55000000000000004">
      <c r="A62" s="2" t="s">
        <v>33</v>
      </c>
      <c r="B62">
        <v>6</v>
      </c>
      <c r="D62" s="11">
        <f t="shared" si="5"/>
        <v>0</v>
      </c>
      <c r="E62" s="11">
        <f t="shared" si="4"/>
        <v>0</v>
      </c>
      <c r="F62" s="11">
        <f t="shared" si="4"/>
        <v>0</v>
      </c>
      <c r="G62" s="11">
        <f t="shared" si="4"/>
        <v>1</v>
      </c>
      <c r="H62" s="11">
        <f t="shared" si="4"/>
        <v>0</v>
      </c>
      <c r="I62" s="11">
        <f t="shared" si="4"/>
        <v>0</v>
      </c>
      <c r="J62" s="11">
        <f t="shared" si="4"/>
        <v>0</v>
      </c>
      <c r="K62" s="11">
        <f t="shared" si="4"/>
        <v>0</v>
      </c>
      <c r="L62" s="11">
        <f t="shared" si="4"/>
        <v>0</v>
      </c>
      <c r="M62" s="11">
        <f t="shared" si="4"/>
        <v>1</v>
      </c>
      <c r="N62" s="11">
        <f t="shared" si="4"/>
        <v>0</v>
      </c>
      <c r="O62" s="11">
        <f t="shared" si="4"/>
        <v>0</v>
      </c>
      <c r="P62" s="11">
        <f t="shared" si="4"/>
        <v>0</v>
      </c>
      <c r="Q62" s="11">
        <f t="shared" si="4"/>
        <v>0</v>
      </c>
      <c r="R62" s="11">
        <f t="shared" si="4"/>
        <v>0</v>
      </c>
      <c r="S62" s="11">
        <f t="shared" si="4"/>
        <v>0</v>
      </c>
      <c r="T62" s="11">
        <f t="shared" si="4"/>
        <v>0</v>
      </c>
      <c r="U62" s="11">
        <f t="shared" si="4"/>
        <v>0</v>
      </c>
      <c r="V62" s="11">
        <f t="shared" si="4"/>
        <v>0</v>
      </c>
      <c r="W62" s="11">
        <f t="shared" si="4"/>
        <v>0</v>
      </c>
      <c r="X62" s="11">
        <f t="shared" si="4"/>
        <v>0</v>
      </c>
      <c r="Y62" s="11">
        <f t="shared" si="4"/>
        <v>0</v>
      </c>
      <c r="Z62" s="11">
        <f t="shared" si="4"/>
        <v>0</v>
      </c>
      <c r="AA62" s="11">
        <f t="shared" si="4"/>
        <v>0</v>
      </c>
      <c r="AB62" s="11">
        <f t="shared" si="4"/>
        <v>0</v>
      </c>
      <c r="AC62" s="11">
        <f t="shared" si="4"/>
        <v>0</v>
      </c>
    </row>
    <row r="63" spans="1:29" x14ac:dyDescent="0.55000000000000004">
      <c r="A63" s="2" t="s">
        <v>34</v>
      </c>
      <c r="B63">
        <v>7</v>
      </c>
      <c r="D63" s="11">
        <f t="shared" si="5"/>
        <v>0</v>
      </c>
      <c r="E63" s="11">
        <f t="shared" si="4"/>
        <v>0</v>
      </c>
      <c r="F63" s="11">
        <f t="shared" si="4"/>
        <v>0</v>
      </c>
      <c r="G63" s="11">
        <f t="shared" si="4"/>
        <v>2</v>
      </c>
      <c r="H63" s="11">
        <f t="shared" si="4"/>
        <v>2</v>
      </c>
      <c r="I63" s="11">
        <f t="shared" si="4"/>
        <v>0</v>
      </c>
      <c r="J63" s="11">
        <f t="shared" si="4"/>
        <v>1</v>
      </c>
      <c r="K63" s="11">
        <f t="shared" si="4"/>
        <v>0</v>
      </c>
      <c r="L63" s="11">
        <f t="shared" si="4"/>
        <v>0</v>
      </c>
      <c r="M63" s="11">
        <f t="shared" si="4"/>
        <v>0</v>
      </c>
      <c r="N63" s="11">
        <f t="shared" si="4"/>
        <v>0</v>
      </c>
      <c r="O63" s="11">
        <f t="shared" si="4"/>
        <v>0</v>
      </c>
      <c r="P63" s="11">
        <f t="shared" si="4"/>
        <v>0</v>
      </c>
      <c r="Q63" s="11">
        <f t="shared" si="4"/>
        <v>0</v>
      </c>
      <c r="R63" s="11">
        <f t="shared" si="4"/>
        <v>1</v>
      </c>
      <c r="S63" s="11">
        <f t="shared" si="4"/>
        <v>0</v>
      </c>
      <c r="T63" s="11">
        <f t="shared" si="4"/>
        <v>0</v>
      </c>
      <c r="U63" s="11">
        <f t="shared" si="4"/>
        <v>1</v>
      </c>
      <c r="V63" s="11">
        <f t="shared" si="4"/>
        <v>0</v>
      </c>
      <c r="W63" s="11">
        <f t="shared" si="4"/>
        <v>1</v>
      </c>
      <c r="X63" s="11">
        <f t="shared" si="4"/>
        <v>0</v>
      </c>
      <c r="Y63" s="11">
        <f t="shared" si="4"/>
        <v>0</v>
      </c>
      <c r="Z63" s="11">
        <f t="shared" si="4"/>
        <v>0</v>
      </c>
      <c r="AA63" s="11">
        <f t="shared" si="4"/>
        <v>0</v>
      </c>
      <c r="AB63" s="11">
        <f t="shared" si="4"/>
        <v>0</v>
      </c>
      <c r="AC63" s="11">
        <f t="shared" si="4"/>
        <v>0</v>
      </c>
    </row>
    <row r="64" spans="1:29" x14ac:dyDescent="0.55000000000000004">
      <c r="A64" s="2" t="s">
        <v>35</v>
      </c>
      <c r="B64">
        <v>8</v>
      </c>
      <c r="D64" s="11">
        <f t="shared" si="5"/>
        <v>0</v>
      </c>
      <c r="E64" s="11">
        <f t="shared" si="4"/>
        <v>0</v>
      </c>
      <c r="F64" s="11">
        <f t="shared" si="4"/>
        <v>0</v>
      </c>
      <c r="G64" s="11">
        <f t="shared" si="4"/>
        <v>2</v>
      </c>
      <c r="H64" s="11">
        <f t="shared" si="4"/>
        <v>0</v>
      </c>
      <c r="I64" s="11">
        <f t="shared" si="4"/>
        <v>0</v>
      </c>
      <c r="J64" s="11">
        <f t="shared" si="4"/>
        <v>1</v>
      </c>
      <c r="K64" s="11">
        <f t="shared" si="4"/>
        <v>3</v>
      </c>
      <c r="L64" s="11">
        <f t="shared" si="4"/>
        <v>0</v>
      </c>
      <c r="M64" s="11">
        <f t="shared" si="4"/>
        <v>1</v>
      </c>
      <c r="N64" s="11">
        <f t="shared" si="4"/>
        <v>0</v>
      </c>
      <c r="O64" s="11">
        <f t="shared" si="4"/>
        <v>0</v>
      </c>
      <c r="P64" s="11">
        <f t="shared" si="4"/>
        <v>0</v>
      </c>
      <c r="Q64" s="11">
        <f t="shared" si="4"/>
        <v>0</v>
      </c>
      <c r="R64" s="11">
        <f t="shared" si="4"/>
        <v>0</v>
      </c>
      <c r="S64" s="11">
        <f t="shared" si="4"/>
        <v>1</v>
      </c>
      <c r="T64" s="11">
        <f t="shared" si="4"/>
        <v>0</v>
      </c>
      <c r="U64" s="11">
        <f t="shared" si="4"/>
        <v>0</v>
      </c>
      <c r="V64" s="11">
        <f t="shared" si="4"/>
        <v>0</v>
      </c>
      <c r="W64" s="11">
        <f t="shared" si="4"/>
        <v>1</v>
      </c>
      <c r="X64" s="11">
        <f t="shared" si="4"/>
        <v>1</v>
      </c>
      <c r="Y64" s="11">
        <f t="shared" si="4"/>
        <v>0</v>
      </c>
      <c r="Z64" s="11">
        <f t="shared" si="4"/>
        <v>0</v>
      </c>
      <c r="AA64" s="11">
        <f t="shared" si="4"/>
        <v>0</v>
      </c>
      <c r="AB64" s="11">
        <f t="shared" si="4"/>
        <v>0</v>
      </c>
      <c r="AC64" s="11">
        <f t="shared" si="4"/>
        <v>0</v>
      </c>
    </row>
    <row r="65" spans="1:29" x14ac:dyDescent="0.55000000000000004">
      <c r="A65" s="2" t="s">
        <v>36</v>
      </c>
      <c r="B65">
        <v>9</v>
      </c>
      <c r="D65" s="11">
        <f t="shared" si="5"/>
        <v>0</v>
      </c>
      <c r="E65" s="11">
        <f t="shared" si="4"/>
        <v>0</v>
      </c>
      <c r="F65" s="11">
        <f t="shared" si="4"/>
        <v>0</v>
      </c>
      <c r="G65" s="11">
        <f t="shared" si="4"/>
        <v>0</v>
      </c>
      <c r="H65" s="11">
        <f t="shared" si="4"/>
        <v>0</v>
      </c>
      <c r="I65" s="11">
        <f t="shared" si="4"/>
        <v>0</v>
      </c>
      <c r="J65" s="11">
        <f t="shared" si="4"/>
        <v>0</v>
      </c>
      <c r="K65" s="11">
        <f t="shared" si="4"/>
        <v>0</v>
      </c>
      <c r="L65" s="11">
        <f t="shared" si="4"/>
        <v>0</v>
      </c>
      <c r="M65" s="11">
        <f t="shared" si="4"/>
        <v>0</v>
      </c>
      <c r="N65" s="11">
        <f t="shared" si="4"/>
        <v>0</v>
      </c>
      <c r="O65" s="11">
        <f t="shared" si="4"/>
        <v>0</v>
      </c>
      <c r="P65" s="11">
        <f t="shared" si="4"/>
        <v>0</v>
      </c>
      <c r="Q65" s="11">
        <f t="shared" si="4"/>
        <v>0</v>
      </c>
      <c r="R65" s="11">
        <f t="shared" si="4"/>
        <v>0</v>
      </c>
      <c r="S65" s="11">
        <f t="shared" si="4"/>
        <v>0</v>
      </c>
      <c r="T65" s="11">
        <f t="shared" si="4"/>
        <v>0</v>
      </c>
      <c r="U65" s="11">
        <f t="shared" si="4"/>
        <v>0</v>
      </c>
      <c r="V65" s="11">
        <f t="shared" si="4"/>
        <v>0</v>
      </c>
      <c r="W65" s="11">
        <f t="shared" si="4"/>
        <v>0</v>
      </c>
      <c r="X65" s="11">
        <f t="shared" si="4"/>
        <v>0</v>
      </c>
      <c r="Y65" s="11">
        <f t="shared" si="4"/>
        <v>0</v>
      </c>
      <c r="Z65" s="11">
        <f t="shared" si="4"/>
        <v>0</v>
      </c>
      <c r="AA65" s="11">
        <f t="shared" si="4"/>
        <v>0</v>
      </c>
      <c r="AB65" s="11">
        <f t="shared" si="4"/>
        <v>0</v>
      </c>
      <c r="AC65" s="11">
        <f t="shared" si="4"/>
        <v>0</v>
      </c>
    </row>
    <row r="66" spans="1:29" x14ac:dyDescent="0.55000000000000004"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</row>
    <row r="67" spans="1:29" x14ac:dyDescent="0.55000000000000004">
      <c r="C67" t="s">
        <v>56</v>
      </c>
      <c r="D67" s="5">
        <f>SUM(D39:D40)</f>
        <v>0</v>
      </c>
      <c r="E67" s="5">
        <f t="shared" ref="E67:AC67" si="6">SUM(E39:E40)</f>
        <v>0</v>
      </c>
      <c r="F67" s="5">
        <f t="shared" si="6"/>
        <v>0</v>
      </c>
      <c r="G67" s="5">
        <f t="shared" si="6"/>
        <v>83</v>
      </c>
      <c r="H67" s="5">
        <f t="shared" si="6"/>
        <v>7</v>
      </c>
      <c r="I67" s="5">
        <f t="shared" si="6"/>
        <v>0</v>
      </c>
      <c r="J67" s="5">
        <f t="shared" si="6"/>
        <v>19</v>
      </c>
      <c r="K67" s="5">
        <f t="shared" si="6"/>
        <v>74</v>
      </c>
      <c r="L67" s="5">
        <f t="shared" si="6"/>
        <v>5</v>
      </c>
      <c r="M67" s="5">
        <f t="shared" si="6"/>
        <v>13</v>
      </c>
      <c r="N67" s="5">
        <f t="shared" si="6"/>
        <v>7</v>
      </c>
      <c r="O67" s="5">
        <f t="shared" si="6"/>
        <v>0</v>
      </c>
      <c r="P67" s="5">
        <f t="shared" si="6"/>
        <v>1</v>
      </c>
      <c r="Q67" s="5">
        <f t="shared" si="6"/>
        <v>0</v>
      </c>
      <c r="R67" s="5">
        <f t="shared" si="6"/>
        <v>2</v>
      </c>
      <c r="S67" s="5">
        <f t="shared" si="6"/>
        <v>52</v>
      </c>
      <c r="T67" s="5">
        <f t="shared" si="6"/>
        <v>0</v>
      </c>
      <c r="U67" s="5">
        <f t="shared" si="6"/>
        <v>8</v>
      </c>
      <c r="V67" s="5">
        <f t="shared" si="6"/>
        <v>0</v>
      </c>
      <c r="W67" s="5">
        <f t="shared" si="6"/>
        <v>39</v>
      </c>
      <c r="X67" s="5">
        <f t="shared" si="6"/>
        <v>6</v>
      </c>
      <c r="Y67" s="5">
        <f t="shared" si="6"/>
        <v>1</v>
      </c>
      <c r="Z67" s="5">
        <f t="shared" si="6"/>
        <v>18</v>
      </c>
      <c r="AA67" s="5">
        <f t="shared" si="6"/>
        <v>16</v>
      </c>
      <c r="AB67" s="5">
        <f t="shared" si="6"/>
        <v>0</v>
      </c>
      <c r="AC67" s="5">
        <f t="shared" si="6"/>
        <v>0</v>
      </c>
    </row>
    <row r="68" spans="1:29" x14ac:dyDescent="0.55000000000000004">
      <c r="C68" t="s">
        <v>58</v>
      </c>
      <c r="D68" s="5">
        <f>SUM(D50:D51)</f>
        <v>0</v>
      </c>
      <c r="E68" s="5">
        <f t="shared" ref="E68:AC68" si="7">SUM(E50:E51)</f>
        <v>0</v>
      </c>
      <c r="F68" s="5">
        <f t="shared" si="7"/>
        <v>0</v>
      </c>
      <c r="G68" s="5">
        <f t="shared" si="7"/>
        <v>15</v>
      </c>
      <c r="H68" s="5">
        <f t="shared" si="7"/>
        <v>0</v>
      </c>
      <c r="I68" s="5">
        <f t="shared" si="7"/>
        <v>0</v>
      </c>
      <c r="J68" s="5">
        <f t="shared" si="7"/>
        <v>6</v>
      </c>
      <c r="K68" s="5">
        <f t="shared" si="7"/>
        <v>0</v>
      </c>
      <c r="L68" s="5">
        <f t="shared" si="7"/>
        <v>0</v>
      </c>
      <c r="M68" s="5">
        <f t="shared" si="7"/>
        <v>9</v>
      </c>
      <c r="N68" s="5">
        <f t="shared" si="7"/>
        <v>1</v>
      </c>
      <c r="O68" s="5">
        <f t="shared" si="7"/>
        <v>0</v>
      </c>
      <c r="P68" s="5">
        <f t="shared" si="7"/>
        <v>0</v>
      </c>
      <c r="Q68" s="5">
        <f t="shared" si="7"/>
        <v>1</v>
      </c>
      <c r="R68" s="5">
        <f t="shared" si="7"/>
        <v>2</v>
      </c>
      <c r="S68" s="5">
        <f t="shared" si="7"/>
        <v>7</v>
      </c>
      <c r="T68" s="5">
        <f t="shared" si="7"/>
        <v>0</v>
      </c>
      <c r="U68" s="5">
        <f t="shared" si="7"/>
        <v>1</v>
      </c>
      <c r="V68" s="5">
        <f t="shared" si="7"/>
        <v>0</v>
      </c>
      <c r="W68" s="5">
        <f t="shared" si="7"/>
        <v>7</v>
      </c>
      <c r="X68" s="5">
        <f t="shared" si="7"/>
        <v>1</v>
      </c>
      <c r="Y68" s="5">
        <f t="shared" si="7"/>
        <v>2</v>
      </c>
      <c r="Z68" s="5">
        <f t="shared" si="7"/>
        <v>1</v>
      </c>
      <c r="AA68" s="5">
        <f t="shared" si="7"/>
        <v>3</v>
      </c>
      <c r="AB68" s="5">
        <f t="shared" si="7"/>
        <v>0</v>
      </c>
      <c r="AC68" s="5">
        <f t="shared" si="7"/>
        <v>0</v>
      </c>
    </row>
    <row r="69" spans="1:29" x14ac:dyDescent="0.55000000000000004">
      <c r="C69" t="s">
        <v>57</v>
      </c>
      <c r="D69" s="5">
        <f>SUM(D61:D62)</f>
        <v>0</v>
      </c>
      <c r="E69" s="5">
        <f t="shared" ref="E69:AC69" si="8">SUM(E61:E62)</f>
        <v>0</v>
      </c>
      <c r="F69" s="5">
        <f t="shared" si="8"/>
        <v>0</v>
      </c>
      <c r="G69" s="5">
        <f t="shared" si="8"/>
        <v>3</v>
      </c>
      <c r="H69" s="5">
        <f t="shared" si="8"/>
        <v>0</v>
      </c>
      <c r="I69" s="5">
        <f t="shared" si="8"/>
        <v>0</v>
      </c>
      <c r="J69" s="5">
        <f t="shared" si="8"/>
        <v>0</v>
      </c>
      <c r="K69" s="5">
        <f t="shared" si="8"/>
        <v>0</v>
      </c>
      <c r="L69" s="5">
        <f t="shared" si="8"/>
        <v>0</v>
      </c>
      <c r="M69" s="5">
        <f t="shared" si="8"/>
        <v>2</v>
      </c>
      <c r="N69" s="5">
        <f t="shared" si="8"/>
        <v>0</v>
      </c>
      <c r="O69" s="5">
        <f t="shared" si="8"/>
        <v>0</v>
      </c>
      <c r="P69" s="5">
        <f t="shared" si="8"/>
        <v>0</v>
      </c>
      <c r="Q69" s="5">
        <f t="shared" si="8"/>
        <v>0</v>
      </c>
      <c r="R69" s="5">
        <f t="shared" si="8"/>
        <v>0</v>
      </c>
      <c r="S69" s="5">
        <f t="shared" si="8"/>
        <v>0</v>
      </c>
      <c r="T69" s="5">
        <f t="shared" si="8"/>
        <v>0</v>
      </c>
      <c r="U69" s="5">
        <f t="shared" si="8"/>
        <v>0</v>
      </c>
      <c r="V69" s="5">
        <f t="shared" si="8"/>
        <v>0</v>
      </c>
      <c r="W69" s="5">
        <f t="shared" si="8"/>
        <v>0</v>
      </c>
      <c r="X69" s="5">
        <f t="shared" si="8"/>
        <v>0</v>
      </c>
      <c r="Y69" s="5">
        <f t="shared" si="8"/>
        <v>1</v>
      </c>
      <c r="Z69" s="5">
        <f t="shared" si="8"/>
        <v>0</v>
      </c>
      <c r="AA69" s="5">
        <f t="shared" si="8"/>
        <v>0</v>
      </c>
      <c r="AB69" s="5">
        <f t="shared" si="8"/>
        <v>0</v>
      </c>
      <c r="AC69" s="5">
        <f t="shared" si="8"/>
        <v>0</v>
      </c>
    </row>
    <row r="70" spans="1:29" x14ac:dyDescent="0.55000000000000004"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</row>
    <row r="71" spans="1:29" x14ac:dyDescent="0.55000000000000004">
      <c r="C71" t="s">
        <v>43</v>
      </c>
      <c r="D71" s="11">
        <f>SUM(D36:D43,D47:D54,D58:D65)</f>
        <v>0</v>
      </c>
      <c r="E71" s="11">
        <f t="shared" ref="E71:AC71" si="9">SUM(E36:E43,E47:E54,E58:E65)</f>
        <v>3</v>
      </c>
      <c r="F71" s="11">
        <f t="shared" si="9"/>
        <v>10</v>
      </c>
      <c r="G71" s="11">
        <f t="shared" si="9"/>
        <v>202</v>
      </c>
      <c r="H71" s="11">
        <f t="shared" si="9"/>
        <v>59</v>
      </c>
      <c r="I71" s="11">
        <f t="shared" si="9"/>
        <v>19</v>
      </c>
      <c r="J71" s="11">
        <f t="shared" si="9"/>
        <v>98</v>
      </c>
      <c r="K71" s="11">
        <f t="shared" si="9"/>
        <v>99</v>
      </c>
      <c r="L71" s="11">
        <f t="shared" si="9"/>
        <v>7</v>
      </c>
      <c r="M71" s="11">
        <f t="shared" si="9"/>
        <v>53</v>
      </c>
      <c r="N71" s="11">
        <f t="shared" si="9"/>
        <v>39</v>
      </c>
      <c r="O71" s="11">
        <f t="shared" si="9"/>
        <v>0</v>
      </c>
      <c r="P71" s="11">
        <f t="shared" si="9"/>
        <v>23</v>
      </c>
      <c r="Q71" s="11">
        <f t="shared" si="9"/>
        <v>3</v>
      </c>
      <c r="R71" s="11">
        <f t="shared" si="9"/>
        <v>12</v>
      </c>
      <c r="S71" s="11">
        <f t="shared" si="9"/>
        <v>103</v>
      </c>
      <c r="T71" s="11">
        <f t="shared" si="9"/>
        <v>0</v>
      </c>
      <c r="U71" s="11">
        <f t="shared" si="9"/>
        <v>30</v>
      </c>
      <c r="V71" s="11">
        <f t="shared" si="9"/>
        <v>0</v>
      </c>
      <c r="W71" s="11">
        <f t="shared" si="9"/>
        <v>74</v>
      </c>
      <c r="X71" s="11">
        <f t="shared" si="9"/>
        <v>30</v>
      </c>
      <c r="Y71" s="11">
        <f t="shared" si="9"/>
        <v>12</v>
      </c>
      <c r="Z71" s="11">
        <f t="shared" si="9"/>
        <v>96</v>
      </c>
      <c r="AA71" s="11">
        <f t="shared" si="9"/>
        <v>25</v>
      </c>
      <c r="AB71" s="11">
        <f t="shared" si="9"/>
        <v>0</v>
      </c>
      <c r="AC71" s="11">
        <f t="shared" si="9"/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4E85D-DBF0-4045-BC8C-CB3C0C97C9BF}">
  <dimension ref="A1:AC112"/>
  <sheetViews>
    <sheetView topLeftCell="A61" workbookViewId="0">
      <selection activeCell="C71" sqref="C71:AC73"/>
    </sheetView>
  </sheetViews>
  <sheetFormatPr defaultRowHeight="14.4" x14ac:dyDescent="0.55000000000000004"/>
  <cols>
    <col min="1" max="1" width="34.41796875" bestFit="1" customWidth="1"/>
    <col min="2" max="2" width="3.89453125" bestFit="1" customWidth="1"/>
  </cols>
  <sheetData>
    <row r="1" spans="1:29" x14ac:dyDescent="0.55000000000000004">
      <c r="A1" s="1" t="s">
        <v>37</v>
      </c>
      <c r="B1" s="2"/>
    </row>
    <row r="2" spans="1:29" x14ac:dyDescent="0.55000000000000004">
      <c r="A2" s="1" t="s">
        <v>28</v>
      </c>
      <c r="B2" s="1" t="s">
        <v>40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  <c r="L2" s="6" t="s">
        <v>10</v>
      </c>
      <c r="M2" s="6" t="s">
        <v>11</v>
      </c>
      <c r="N2" s="6" t="s">
        <v>12</v>
      </c>
      <c r="O2" s="6" t="s">
        <v>13</v>
      </c>
      <c r="P2" s="6" t="s">
        <v>14</v>
      </c>
      <c r="Q2" s="6" t="s">
        <v>15</v>
      </c>
      <c r="R2" s="6" t="s">
        <v>16</v>
      </c>
      <c r="S2" s="6" t="s">
        <v>17</v>
      </c>
      <c r="T2" s="6" t="s">
        <v>18</v>
      </c>
      <c r="U2" s="6" t="s">
        <v>19</v>
      </c>
      <c r="V2" s="6" t="s">
        <v>20</v>
      </c>
      <c r="W2" s="6" t="s">
        <v>21</v>
      </c>
      <c r="X2" s="6" t="s">
        <v>22</v>
      </c>
      <c r="Y2" s="6" t="s">
        <v>23</v>
      </c>
      <c r="Z2" s="6" t="s">
        <v>24</v>
      </c>
      <c r="AA2" s="6" t="s">
        <v>25</v>
      </c>
      <c r="AB2" s="6" t="s">
        <v>26</v>
      </c>
      <c r="AC2" s="6" t="s">
        <v>27</v>
      </c>
    </row>
    <row r="3" spans="1:29" x14ac:dyDescent="0.55000000000000004">
      <c r="A3" s="2" t="s">
        <v>29</v>
      </c>
      <c r="B3" s="3" t="s">
        <v>0</v>
      </c>
      <c r="C3" s="7">
        <v>112200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5000</v>
      </c>
      <c r="J3" s="7">
        <v>0</v>
      </c>
      <c r="K3" s="7">
        <v>1600</v>
      </c>
      <c r="L3" s="7">
        <v>0</v>
      </c>
      <c r="M3" s="7">
        <v>4000</v>
      </c>
      <c r="N3" s="7">
        <v>0</v>
      </c>
      <c r="O3" s="7">
        <v>0</v>
      </c>
      <c r="P3" s="7">
        <v>0</v>
      </c>
      <c r="Q3" s="7">
        <v>0</v>
      </c>
      <c r="R3" s="7">
        <v>3000</v>
      </c>
      <c r="S3" s="7">
        <v>0</v>
      </c>
      <c r="T3" s="7">
        <v>10000</v>
      </c>
      <c r="U3" s="7">
        <v>45000</v>
      </c>
      <c r="V3" s="7">
        <v>0</v>
      </c>
      <c r="W3" s="7">
        <v>0</v>
      </c>
      <c r="X3" s="7">
        <v>0</v>
      </c>
      <c r="Y3" s="7">
        <v>31600</v>
      </c>
      <c r="Z3" s="7">
        <v>0</v>
      </c>
      <c r="AA3" s="7">
        <v>0</v>
      </c>
      <c r="AB3" s="7">
        <v>0</v>
      </c>
      <c r="AC3" s="7">
        <v>12000</v>
      </c>
    </row>
    <row r="4" spans="1:29" x14ac:dyDescent="0.55000000000000004">
      <c r="A4" s="2" t="s">
        <v>30</v>
      </c>
      <c r="B4" s="3" t="s">
        <v>0</v>
      </c>
      <c r="C4" s="7">
        <v>411248.5</v>
      </c>
      <c r="D4" s="7">
        <v>0</v>
      </c>
      <c r="E4" s="7">
        <v>104900</v>
      </c>
      <c r="F4" s="7">
        <v>0</v>
      </c>
      <c r="G4" s="7">
        <v>6000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21347</v>
      </c>
      <c r="N4" s="7">
        <v>19400</v>
      </c>
      <c r="O4" s="7">
        <v>0</v>
      </c>
      <c r="P4" s="7">
        <v>4300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7000</v>
      </c>
      <c r="X4" s="7">
        <v>0</v>
      </c>
      <c r="Y4" s="7">
        <v>155126</v>
      </c>
      <c r="Z4" s="7">
        <v>0</v>
      </c>
      <c r="AA4" s="7">
        <v>24546</v>
      </c>
      <c r="AB4" s="7">
        <v>7199.5</v>
      </c>
      <c r="AC4" s="7">
        <v>61430</v>
      </c>
    </row>
    <row r="5" spans="1:29" x14ac:dyDescent="0.55000000000000004">
      <c r="A5" s="2" t="s">
        <v>31</v>
      </c>
      <c r="B5" s="3" t="s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</row>
    <row r="6" spans="1:29" x14ac:dyDescent="0.55000000000000004">
      <c r="A6" s="2" t="s">
        <v>32</v>
      </c>
      <c r="B6" s="3" t="s">
        <v>0</v>
      </c>
      <c r="C6" s="7">
        <v>1483294.5</v>
      </c>
      <c r="D6" s="7">
        <v>0</v>
      </c>
      <c r="E6" s="7">
        <v>299500</v>
      </c>
      <c r="F6" s="7">
        <v>0</v>
      </c>
      <c r="G6" s="7">
        <v>3000</v>
      </c>
      <c r="H6" s="7">
        <v>0</v>
      </c>
      <c r="I6" s="7">
        <v>0</v>
      </c>
      <c r="J6" s="7">
        <v>0</v>
      </c>
      <c r="K6" s="7">
        <v>18300</v>
      </c>
      <c r="L6" s="7">
        <v>0</v>
      </c>
      <c r="M6" s="7">
        <v>53971.5</v>
      </c>
      <c r="N6" s="7">
        <v>4580</v>
      </c>
      <c r="O6" s="7">
        <v>0</v>
      </c>
      <c r="P6" s="7">
        <v>23046</v>
      </c>
      <c r="Q6" s="7">
        <v>0</v>
      </c>
      <c r="R6" s="7">
        <v>0</v>
      </c>
      <c r="S6" s="7">
        <v>0</v>
      </c>
      <c r="T6" s="7">
        <v>113550</v>
      </c>
      <c r="U6" s="7">
        <v>33000</v>
      </c>
      <c r="V6" s="7">
        <v>0</v>
      </c>
      <c r="W6" s="7">
        <v>102500</v>
      </c>
      <c r="X6" s="7">
        <v>34198</v>
      </c>
      <c r="Y6" s="7">
        <v>69500</v>
      </c>
      <c r="Z6" s="7">
        <v>129025</v>
      </c>
      <c r="AA6" s="7">
        <v>0</v>
      </c>
      <c r="AB6" s="7">
        <v>568564</v>
      </c>
      <c r="AC6" s="7">
        <v>30560</v>
      </c>
    </row>
    <row r="7" spans="1:29" x14ac:dyDescent="0.55000000000000004">
      <c r="A7" s="2" t="s">
        <v>33</v>
      </c>
      <c r="B7" s="3" t="s">
        <v>0</v>
      </c>
      <c r="C7" s="7">
        <v>568280</v>
      </c>
      <c r="D7" s="7">
        <v>0</v>
      </c>
      <c r="E7" s="7">
        <v>97560</v>
      </c>
      <c r="F7" s="7">
        <v>0</v>
      </c>
      <c r="G7" s="7">
        <v>0</v>
      </c>
      <c r="H7" s="7">
        <v>0</v>
      </c>
      <c r="I7" s="7">
        <v>12000</v>
      </c>
      <c r="J7" s="7">
        <v>0</v>
      </c>
      <c r="K7" s="7">
        <v>0</v>
      </c>
      <c r="L7" s="7">
        <v>0</v>
      </c>
      <c r="M7" s="7">
        <v>89071</v>
      </c>
      <c r="N7" s="7">
        <v>25880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123341</v>
      </c>
      <c r="U7" s="7">
        <v>49280</v>
      </c>
      <c r="V7" s="7">
        <v>0</v>
      </c>
      <c r="W7" s="7">
        <v>84000</v>
      </c>
      <c r="X7" s="7">
        <v>0</v>
      </c>
      <c r="Y7" s="7">
        <v>56900</v>
      </c>
      <c r="Z7" s="7">
        <v>11508</v>
      </c>
      <c r="AA7" s="7">
        <v>5460</v>
      </c>
      <c r="AB7" s="7">
        <v>13280</v>
      </c>
      <c r="AC7" s="7">
        <v>0</v>
      </c>
    </row>
    <row r="8" spans="1:29" x14ac:dyDescent="0.55000000000000004">
      <c r="A8" s="2" t="s">
        <v>34</v>
      </c>
      <c r="B8" s="3" t="s">
        <v>0</v>
      </c>
      <c r="C8" s="7">
        <v>368252.5</v>
      </c>
      <c r="D8" s="7">
        <v>0</v>
      </c>
      <c r="E8" s="7">
        <v>54500</v>
      </c>
      <c r="F8" s="7">
        <v>0</v>
      </c>
      <c r="G8" s="7">
        <v>24000</v>
      </c>
      <c r="H8" s="7">
        <v>0</v>
      </c>
      <c r="I8" s="7">
        <v>10000</v>
      </c>
      <c r="J8" s="7">
        <v>0</v>
      </c>
      <c r="K8" s="7">
        <v>0</v>
      </c>
      <c r="L8" s="7">
        <v>0</v>
      </c>
      <c r="M8" s="7">
        <v>160500.5</v>
      </c>
      <c r="N8" s="7">
        <v>4480</v>
      </c>
      <c r="O8" s="7">
        <v>8640</v>
      </c>
      <c r="P8" s="7">
        <v>42372</v>
      </c>
      <c r="Q8" s="7">
        <v>0</v>
      </c>
      <c r="R8" s="7">
        <v>19110</v>
      </c>
      <c r="S8" s="7">
        <v>0</v>
      </c>
      <c r="T8" s="7">
        <v>0</v>
      </c>
      <c r="U8" s="7">
        <v>0</v>
      </c>
      <c r="V8" s="7">
        <v>0</v>
      </c>
      <c r="W8" s="7">
        <v>14000</v>
      </c>
      <c r="X8" s="7">
        <v>30650</v>
      </c>
      <c r="Y8" s="7">
        <v>0</v>
      </c>
      <c r="Z8" s="7">
        <v>0</v>
      </c>
      <c r="AA8" s="7">
        <v>0</v>
      </c>
      <c r="AB8" s="7">
        <v>0</v>
      </c>
      <c r="AC8" s="7">
        <v>0</v>
      </c>
    </row>
    <row r="9" spans="1:29" x14ac:dyDescent="0.55000000000000004">
      <c r="A9" s="2" t="s">
        <v>35</v>
      </c>
      <c r="B9" s="3" t="s">
        <v>0</v>
      </c>
      <c r="C9" s="7">
        <v>1019175.5</v>
      </c>
      <c r="D9" s="7">
        <v>0</v>
      </c>
      <c r="E9" s="7">
        <v>108253</v>
      </c>
      <c r="F9" s="7">
        <v>0</v>
      </c>
      <c r="G9" s="7">
        <v>8000</v>
      </c>
      <c r="H9" s="7">
        <v>0</v>
      </c>
      <c r="I9" s="7">
        <v>0</v>
      </c>
      <c r="J9" s="7">
        <v>0</v>
      </c>
      <c r="K9" s="7">
        <v>5396</v>
      </c>
      <c r="L9" s="7">
        <v>0</v>
      </c>
      <c r="M9" s="7">
        <v>42689.5</v>
      </c>
      <c r="N9" s="7">
        <v>33388</v>
      </c>
      <c r="O9" s="7">
        <v>62834</v>
      </c>
      <c r="P9" s="7">
        <v>87599</v>
      </c>
      <c r="Q9" s="7">
        <v>0</v>
      </c>
      <c r="R9" s="7">
        <v>11421</v>
      </c>
      <c r="S9" s="7">
        <v>8041</v>
      </c>
      <c r="T9" s="7">
        <v>146000</v>
      </c>
      <c r="U9" s="7">
        <v>48046</v>
      </c>
      <c r="V9" s="7">
        <v>0</v>
      </c>
      <c r="W9" s="7">
        <v>59949</v>
      </c>
      <c r="X9" s="7">
        <v>48021</v>
      </c>
      <c r="Y9" s="7">
        <v>198713</v>
      </c>
      <c r="Z9" s="7">
        <v>10586</v>
      </c>
      <c r="AA9" s="7">
        <v>24996</v>
      </c>
      <c r="AB9" s="7">
        <v>48270</v>
      </c>
      <c r="AC9" s="7">
        <v>66973</v>
      </c>
    </row>
    <row r="10" spans="1:29" x14ac:dyDescent="0.55000000000000004">
      <c r="A10" s="2" t="s">
        <v>36</v>
      </c>
      <c r="B10" s="3" t="s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</row>
    <row r="11" spans="1:29" x14ac:dyDescent="0.55000000000000004">
      <c r="A11" s="2"/>
      <c r="B11" s="3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8"/>
      <c r="Z11" s="8"/>
      <c r="AA11" s="8"/>
      <c r="AB11" s="8"/>
      <c r="AC11" s="8"/>
    </row>
    <row r="12" spans="1:29" x14ac:dyDescent="0.55000000000000004">
      <c r="A12" s="1" t="s">
        <v>39</v>
      </c>
      <c r="B12" s="2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</row>
    <row r="13" spans="1:29" x14ac:dyDescent="0.55000000000000004">
      <c r="A13" s="1" t="s">
        <v>28</v>
      </c>
      <c r="B13" s="1" t="s">
        <v>40</v>
      </c>
      <c r="C13" s="6" t="s">
        <v>1</v>
      </c>
      <c r="D13" s="6" t="s">
        <v>2</v>
      </c>
      <c r="E13" s="6" t="s">
        <v>3</v>
      </c>
      <c r="F13" s="6" t="s">
        <v>4</v>
      </c>
      <c r="G13" s="6" t="s">
        <v>5</v>
      </c>
      <c r="H13" s="6" t="s">
        <v>6</v>
      </c>
      <c r="I13" s="6" t="s">
        <v>7</v>
      </c>
      <c r="J13" s="6" t="s">
        <v>8</v>
      </c>
      <c r="K13" s="6" t="s">
        <v>9</v>
      </c>
      <c r="L13" s="6" t="s">
        <v>10</v>
      </c>
      <c r="M13" s="6" t="s">
        <v>11</v>
      </c>
      <c r="N13" s="6" t="s">
        <v>12</v>
      </c>
      <c r="O13" s="6" t="s">
        <v>13</v>
      </c>
      <c r="P13" s="6" t="s">
        <v>14</v>
      </c>
      <c r="Q13" s="6" t="s">
        <v>15</v>
      </c>
      <c r="R13" s="6" t="s">
        <v>16</v>
      </c>
      <c r="S13" s="6" t="s">
        <v>17</v>
      </c>
      <c r="T13" s="6" t="s">
        <v>18</v>
      </c>
      <c r="U13" s="6" t="s">
        <v>19</v>
      </c>
      <c r="V13" s="6" t="s">
        <v>20</v>
      </c>
      <c r="W13" s="6" t="s">
        <v>21</v>
      </c>
      <c r="X13" s="6" t="s">
        <v>22</v>
      </c>
      <c r="Y13" s="6" t="s">
        <v>23</v>
      </c>
      <c r="Z13" s="6" t="s">
        <v>24</v>
      </c>
      <c r="AA13" s="6" t="s">
        <v>25</v>
      </c>
      <c r="AB13" s="6" t="s">
        <v>26</v>
      </c>
      <c r="AC13" s="6" t="s">
        <v>27</v>
      </c>
    </row>
    <row r="14" spans="1:29" x14ac:dyDescent="0.55000000000000004">
      <c r="A14" s="2" t="s">
        <v>29</v>
      </c>
      <c r="B14" s="3" t="s">
        <v>0</v>
      </c>
      <c r="C14" s="7">
        <v>17000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5000</v>
      </c>
      <c r="J14" s="7">
        <v>0</v>
      </c>
      <c r="K14" s="7">
        <v>0</v>
      </c>
      <c r="L14" s="7">
        <v>0</v>
      </c>
      <c r="M14" s="7">
        <v>0</v>
      </c>
      <c r="N14" s="7">
        <v>3000</v>
      </c>
      <c r="O14" s="7">
        <v>0</v>
      </c>
      <c r="P14" s="7">
        <v>0</v>
      </c>
      <c r="Q14" s="7">
        <v>0</v>
      </c>
      <c r="R14" s="7">
        <v>0</v>
      </c>
      <c r="S14" s="7">
        <v>4000</v>
      </c>
      <c r="T14" s="7">
        <v>0</v>
      </c>
      <c r="U14" s="7">
        <v>5000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</row>
    <row r="15" spans="1:29" x14ac:dyDescent="0.55000000000000004">
      <c r="A15" s="2" t="s">
        <v>30</v>
      </c>
      <c r="B15" s="3" t="s">
        <v>0</v>
      </c>
      <c r="C15" s="7">
        <v>151843</v>
      </c>
      <c r="D15" s="7">
        <v>0</v>
      </c>
      <c r="E15" s="7">
        <v>44000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14737</v>
      </c>
      <c r="N15" s="7">
        <v>0</v>
      </c>
      <c r="O15" s="7">
        <v>0</v>
      </c>
      <c r="P15" s="7">
        <v>19171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31738</v>
      </c>
      <c r="Z15" s="7">
        <v>0</v>
      </c>
      <c r="AA15" s="7">
        <v>31497</v>
      </c>
      <c r="AB15" s="7">
        <v>0</v>
      </c>
      <c r="AC15" s="7">
        <v>10700</v>
      </c>
    </row>
    <row r="16" spans="1:29" x14ac:dyDescent="0.55000000000000004">
      <c r="A16" s="2" t="s">
        <v>31</v>
      </c>
      <c r="B16" s="3" t="s">
        <v>0</v>
      </c>
      <c r="C16" s="7">
        <v>17080</v>
      </c>
      <c r="D16" s="7">
        <v>0</v>
      </c>
      <c r="E16" s="7">
        <v>17080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</row>
    <row r="17" spans="1:29" x14ac:dyDescent="0.55000000000000004">
      <c r="A17" s="2" t="s">
        <v>32</v>
      </c>
      <c r="B17" s="3" t="s">
        <v>0</v>
      </c>
      <c r="C17" s="7">
        <v>190729</v>
      </c>
      <c r="D17" s="7">
        <v>0</v>
      </c>
      <c r="E17" s="7">
        <v>53650</v>
      </c>
      <c r="F17" s="7">
        <v>0</v>
      </c>
      <c r="G17" s="7">
        <v>3000</v>
      </c>
      <c r="H17" s="7">
        <v>0</v>
      </c>
      <c r="I17" s="7">
        <v>6000</v>
      </c>
      <c r="J17" s="7">
        <v>0</v>
      </c>
      <c r="K17" s="7">
        <v>0</v>
      </c>
      <c r="L17" s="7">
        <v>0</v>
      </c>
      <c r="M17" s="7">
        <v>28350</v>
      </c>
      <c r="N17" s="7">
        <v>3040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10518</v>
      </c>
      <c r="U17" s="7">
        <v>11956</v>
      </c>
      <c r="V17" s="7">
        <v>0</v>
      </c>
      <c r="W17" s="7">
        <v>31451</v>
      </c>
      <c r="X17" s="7">
        <v>5000</v>
      </c>
      <c r="Y17" s="7">
        <v>0</v>
      </c>
      <c r="Z17" s="7">
        <v>37764</v>
      </c>
      <c r="AA17" s="7">
        <v>0</v>
      </c>
      <c r="AB17" s="7">
        <v>0</v>
      </c>
      <c r="AC17" s="7">
        <v>0</v>
      </c>
    </row>
    <row r="18" spans="1:29" x14ac:dyDescent="0.55000000000000004">
      <c r="A18" s="2" t="s">
        <v>33</v>
      </c>
      <c r="B18" s="3" t="s">
        <v>0</v>
      </c>
      <c r="C18" s="7">
        <v>268501</v>
      </c>
      <c r="D18" s="7">
        <v>0</v>
      </c>
      <c r="E18" s="7">
        <v>48840</v>
      </c>
      <c r="F18" s="7">
        <v>0</v>
      </c>
      <c r="G18" s="7">
        <v>8000</v>
      </c>
      <c r="H18" s="7">
        <v>0</v>
      </c>
      <c r="I18" s="7">
        <v>6000</v>
      </c>
      <c r="J18" s="7">
        <v>5730</v>
      </c>
      <c r="K18" s="7">
        <v>0</v>
      </c>
      <c r="L18" s="7">
        <v>0</v>
      </c>
      <c r="M18" s="7">
        <v>24905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32116</v>
      </c>
      <c r="U18" s="7">
        <v>100860</v>
      </c>
      <c r="V18" s="7">
        <v>0</v>
      </c>
      <c r="W18" s="7">
        <v>24000</v>
      </c>
      <c r="X18" s="7">
        <v>0</v>
      </c>
      <c r="Y18" s="7">
        <v>6000</v>
      </c>
      <c r="Z18" s="7">
        <v>0</v>
      </c>
      <c r="AA18" s="7">
        <v>0</v>
      </c>
      <c r="AB18" s="7">
        <v>0</v>
      </c>
      <c r="AC18" s="7">
        <v>12050</v>
      </c>
    </row>
    <row r="19" spans="1:29" x14ac:dyDescent="0.55000000000000004">
      <c r="A19" s="2" t="s">
        <v>34</v>
      </c>
      <c r="B19" s="3" t="s">
        <v>0</v>
      </c>
      <c r="C19" s="7">
        <v>258095.5</v>
      </c>
      <c r="D19" s="7">
        <v>0</v>
      </c>
      <c r="E19" s="7">
        <v>21550</v>
      </c>
      <c r="F19" s="7">
        <v>0</v>
      </c>
      <c r="G19" s="7">
        <v>8000</v>
      </c>
      <c r="H19" s="7">
        <v>0</v>
      </c>
      <c r="I19" s="7">
        <v>10000</v>
      </c>
      <c r="J19" s="7">
        <v>0</v>
      </c>
      <c r="K19" s="7">
        <v>0</v>
      </c>
      <c r="L19" s="7">
        <v>0</v>
      </c>
      <c r="M19" s="7">
        <v>104483.5</v>
      </c>
      <c r="N19" s="7">
        <v>0</v>
      </c>
      <c r="O19" s="7">
        <v>4720</v>
      </c>
      <c r="P19" s="7">
        <v>36102</v>
      </c>
      <c r="Q19" s="7">
        <v>0</v>
      </c>
      <c r="R19" s="7">
        <v>0</v>
      </c>
      <c r="S19" s="7">
        <v>0</v>
      </c>
      <c r="T19" s="7">
        <v>0</v>
      </c>
      <c r="U19" s="7">
        <v>63500</v>
      </c>
      <c r="V19" s="7">
        <v>0</v>
      </c>
      <c r="W19" s="7">
        <v>0</v>
      </c>
      <c r="X19" s="7">
        <v>0</v>
      </c>
      <c r="Y19" s="7">
        <v>0</v>
      </c>
      <c r="Z19" s="7">
        <v>9740</v>
      </c>
      <c r="AA19" s="7">
        <v>0</v>
      </c>
      <c r="AB19" s="7">
        <v>0</v>
      </c>
      <c r="AC19" s="7">
        <v>0</v>
      </c>
    </row>
    <row r="20" spans="1:29" x14ac:dyDescent="0.55000000000000004">
      <c r="A20" s="2" t="s">
        <v>35</v>
      </c>
      <c r="B20" s="3" t="s">
        <v>0</v>
      </c>
      <c r="C20" s="7">
        <v>328800</v>
      </c>
      <c r="D20" s="7">
        <v>0</v>
      </c>
      <c r="E20" s="7">
        <v>44315</v>
      </c>
      <c r="F20" s="7">
        <v>0</v>
      </c>
      <c r="G20" s="7">
        <v>6400</v>
      </c>
      <c r="H20" s="7">
        <v>0</v>
      </c>
      <c r="I20" s="7">
        <v>3378</v>
      </c>
      <c r="J20" s="7">
        <v>19200</v>
      </c>
      <c r="K20" s="7">
        <v>0</v>
      </c>
      <c r="L20" s="7">
        <v>0</v>
      </c>
      <c r="M20" s="7">
        <v>15300</v>
      </c>
      <c r="N20" s="7">
        <v>15400</v>
      </c>
      <c r="O20" s="7">
        <v>9865</v>
      </c>
      <c r="P20" s="7">
        <v>18294</v>
      </c>
      <c r="Q20" s="7">
        <v>0</v>
      </c>
      <c r="R20" s="7">
        <v>3704</v>
      </c>
      <c r="S20" s="7">
        <v>0</v>
      </c>
      <c r="T20" s="7">
        <v>19690</v>
      </c>
      <c r="U20" s="7">
        <v>31790</v>
      </c>
      <c r="V20" s="7">
        <v>0</v>
      </c>
      <c r="W20" s="7">
        <v>36078</v>
      </c>
      <c r="X20" s="7">
        <v>13534</v>
      </c>
      <c r="Y20" s="7">
        <v>32788</v>
      </c>
      <c r="Z20" s="7">
        <v>17662</v>
      </c>
      <c r="AA20" s="7">
        <v>11695</v>
      </c>
      <c r="AB20" s="7">
        <v>21838</v>
      </c>
      <c r="AC20" s="7">
        <v>7869</v>
      </c>
    </row>
    <row r="21" spans="1:29" x14ac:dyDescent="0.55000000000000004">
      <c r="A21" s="2" t="s">
        <v>36</v>
      </c>
      <c r="B21" s="3" t="s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</row>
    <row r="22" spans="1:29" x14ac:dyDescent="0.55000000000000004">
      <c r="A22" s="2"/>
      <c r="B22" s="3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8"/>
      <c r="Z22" s="8"/>
      <c r="AA22" s="8"/>
      <c r="AB22" s="8"/>
      <c r="AC22" s="8"/>
    </row>
    <row r="23" spans="1:29" x14ac:dyDescent="0.55000000000000004">
      <c r="A23" s="1" t="s">
        <v>38</v>
      </c>
      <c r="B23" s="2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</row>
    <row r="24" spans="1:29" x14ac:dyDescent="0.55000000000000004">
      <c r="A24" s="1" t="s">
        <v>28</v>
      </c>
      <c r="B24" s="1" t="s">
        <v>40</v>
      </c>
      <c r="C24" s="6" t="s">
        <v>1</v>
      </c>
      <c r="D24" s="6" t="s">
        <v>2</v>
      </c>
      <c r="E24" s="6" t="s">
        <v>3</v>
      </c>
      <c r="F24" s="6" t="s">
        <v>4</v>
      </c>
      <c r="G24" s="6" t="s">
        <v>5</v>
      </c>
      <c r="H24" s="6" t="s">
        <v>6</v>
      </c>
      <c r="I24" s="6" t="s">
        <v>7</v>
      </c>
      <c r="J24" s="6" t="s">
        <v>8</v>
      </c>
      <c r="K24" s="6" t="s">
        <v>9</v>
      </c>
      <c r="L24" s="6" t="s">
        <v>10</v>
      </c>
      <c r="M24" s="6" t="s">
        <v>11</v>
      </c>
      <c r="N24" s="6" t="s">
        <v>12</v>
      </c>
      <c r="O24" s="6" t="s">
        <v>13</v>
      </c>
      <c r="P24" s="6" t="s">
        <v>14</v>
      </c>
      <c r="Q24" s="6" t="s">
        <v>15</v>
      </c>
      <c r="R24" s="6" t="s">
        <v>16</v>
      </c>
      <c r="S24" s="6" t="s">
        <v>17</v>
      </c>
      <c r="T24" s="6" t="s">
        <v>18</v>
      </c>
      <c r="U24" s="6" t="s">
        <v>19</v>
      </c>
      <c r="V24" s="6" t="s">
        <v>20</v>
      </c>
      <c r="W24" s="6" t="s">
        <v>21</v>
      </c>
      <c r="X24" s="6" t="s">
        <v>22</v>
      </c>
      <c r="Y24" s="6" t="s">
        <v>23</v>
      </c>
      <c r="Z24" s="6" t="s">
        <v>24</v>
      </c>
      <c r="AA24" s="6" t="s">
        <v>25</v>
      </c>
      <c r="AB24" s="6" t="s">
        <v>26</v>
      </c>
      <c r="AC24" s="6" t="s">
        <v>27</v>
      </c>
    </row>
    <row r="25" spans="1:29" x14ac:dyDescent="0.55000000000000004">
      <c r="A25" s="2" t="s">
        <v>29</v>
      </c>
      <c r="B25" s="3" t="s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</row>
    <row r="26" spans="1:29" x14ac:dyDescent="0.55000000000000004">
      <c r="A26" s="2" t="s">
        <v>30</v>
      </c>
      <c r="B26" s="3" t="s">
        <v>0</v>
      </c>
      <c r="C26" s="7">
        <v>29000</v>
      </c>
      <c r="D26" s="7">
        <v>0</v>
      </c>
      <c r="E26" s="7">
        <v>5000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24000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</row>
    <row r="27" spans="1:29" x14ac:dyDescent="0.55000000000000004">
      <c r="A27" s="2" t="s">
        <v>31</v>
      </c>
      <c r="B27" s="3" t="s">
        <v>0</v>
      </c>
      <c r="C27" s="7">
        <v>63658</v>
      </c>
      <c r="D27" s="7">
        <v>0</v>
      </c>
      <c r="E27" s="7">
        <v>13680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29800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9072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11106</v>
      </c>
      <c r="AB27" s="7">
        <v>0</v>
      </c>
      <c r="AC27" s="7">
        <v>0</v>
      </c>
    </row>
    <row r="28" spans="1:29" x14ac:dyDescent="0.55000000000000004">
      <c r="A28" s="2" t="s">
        <v>32</v>
      </c>
      <c r="B28" s="3" t="s">
        <v>0</v>
      </c>
      <c r="C28" s="7">
        <v>31980</v>
      </c>
      <c r="D28" s="7">
        <v>0</v>
      </c>
      <c r="E28" s="7">
        <v>14780</v>
      </c>
      <c r="F28" s="7">
        <v>0</v>
      </c>
      <c r="G28" s="7">
        <v>13000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4200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</row>
    <row r="29" spans="1:29" x14ac:dyDescent="0.55000000000000004">
      <c r="A29" s="2" t="s">
        <v>33</v>
      </c>
      <c r="B29" s="3" t="s">
        <v>0</v>
      </c>
      <c r="C29" s="7">
        <v>20955</v>
      </c>
      <c r="D29" s="7">
        <v>0</v>
      </c>
      <c r="E29" s="7">
        <v>7080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13875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</row>
    <row r="30" spans="1:29" x14ac:dyDescent="0.55000000000000004">
      <c r="A30" s="2" t="s">
        <v>34</v>
      </c>
      <c r="B30" s="3" t="s">
        <v>0</v>
      </c>
      <c r="C30" s="7">
        <v>60032</v>
      </c>
      <c r="D30" s="7">
        <v>0</v>
      </c>
      <c r="E30" s="7">
        <v>27050</v>
      </c>
      <c r="F30" s="7">
        <v>0</v>
      </c>
      <c r="G30" s="7">
        <v>0</v>
      </c>
      <c r="H30" s="7">
        <v>0</v>
      </c>
      <c r="I30" s="7">
        <v>5200</v>
      </c>
      <c r="J30" s="7">
        <v>0</v>
      </c>
      <c r="K30" s="7">
        <v>0</v>
      </c>
      <c r="L30" s="7">
        <v>0</v>
      </c>
      <c r="M30" s="7">
        <v>6390</v>
      </c>
      <c r="N30" s="7">
        <v>4700</v>
      </c>
      <c r="O30" s="7">
        <v>0</v>
      </c>
      <c r="P30" s="7">
        <v>9180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7512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</row>
    <row r="31" spans="1:29" x14ac:dyDescent="0.55000000000000004">
      <c r="A31" s="2" t="s">
        <v>35</v>
      </c>
      <c r="B31" s="3" t="s">
        <v>0</v>
      </c>
      <c r="C31" s="7">
        <v>38738</v>
      </c>
      <c r="D31" s="7">
        <v>0</v>
      </c>
      <c r="E31" s="7">
        <v>9950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2750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3500</v>
      </c>
      <c r="U31" s="7">
        <v>3278</v>
      </c>
      <c r="V31" s="7">
        <v>0</v>
      </c>
      <c r="W31" s="7">
        <v>3756</v>
      </c>
      <c r="X31" s="7">
        <v>4340</v>
      </c>
      <c r="Y31" s="7">
        <v>0</v>
      </c>
      <c r="Z31" s="7">
        <v>0</v>
      </c>
      <c r="AA31" s="7">
        <v>0</v>
      </c>
      <c r="AB31" s="7">
        <v>11164</v>
      </c>
      <c r="AC31" s="7">
        <v>0</v>
      </c>
    </row>
    <row r="32" spans="1:29" x14ac:dyDescent="0.55000000000000004">
      <c r="A32" s="2" t="s">
        <v>36</v>
      </c>
      <c r="B32" s="3" t="s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</row>
    <row r="34" spans="1:29" x14ac:dyDescent="0.55000000000000004">
      <c r="A34" s="1" t="s">
        <v>37</v>
      </c>
      <c r="B34" s="1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spans="1:29" x14ac:dyDescent="0.55000000000000004">
      <c r="A35" s="1" t="s">
        <v>28</v>
      </c>
      <c r="B35" s="1" t="s">
        <v>41</v>
      </c>
      <c r="D35" s="4" t="s">
        <v>20</v>
      </c>
      <c r="E35" s="4" t="s">
        <v>17</v>
      </c>
      <c r="F35" s="4" t="s">
        <v>16</v>
      </c>
      <c r="G35" s="4" t="s">
        <v>3</v>
      </c>
      <c r="H35" s="4" t="s">
        <v>14</v>
      </c>
      <c r="I35" s="4" t="s">
        <v>13</v>
      </c>
      <c r="J35" s="4" t="s">
        <v>11</v>
      </c>
      <c r="K35" s="4" t="s">
        <v>26</v>
      </c>
      <c r="L35" s="4" t="s">
        <v>9</v>
      </c>
      <c r="M35" s="4" t="s">
        <v>19</v>
      </c>
      <c r="N35" s="4" t="s">
        <v>27</v>
      </c>
      <c r="O35" s="4" t="s">
        <v>4</v>
      </c>
      <c r="P35" s="4" t="s">
        <v>25</v>
      </c>
      <c r="Q35" s="4" t="s">
        <v>8</v>
      </c>
      <c r="R35" s="4" t="s">
        <v>7</v>
      </c>
      <c r="S35" s="4" t="s">
        <v>18</v>
      </c>
      <c r="T35" s="4" t="s">
        <v>15</v>
      </c>
      <c r="U35" s="4" t="s">
        <v>12</v>
      </c>
      <c r="V35" s="4" t="s">
        <v>6</v>
      </c>
      <c r="W35" s="4" t="s">
        <v>21</v>
      </c>
      <c r="X35" s="4" t="s">
        <v>22</v>
      </c>
      <c r="Y35" s="4" t="s">
        <v>5</v>
      </c>
      <c r="Z35" s="4" t="s">
        <v>23</v>
      </c>
      <c r="AA35" s="4" t="s">
        <v>24</v>
      </c>
      <c r="AB35" s="4" t="s">
        <v>10</v>
      </c>
      <c r="AC35" s="4" t="s">
        <v>2</v>
      </c>
    </row>
    <row r="36" spans="1:29" x14ac:dyDescent="0.55000000000000004">
      <c r="A36" s="2" t="s">
        <v>29</v>
      </c>
      <c r="B36">
        <v>2</v>
      </c>
      <c r="D36" s="11">
        <f>HLOOKUP(D$35,$D$2:$AC$10,$B36,FALSE)</f>
        <v>0</v>
      </c>
      <c r="E36" s="11">
        <f t="shared" ref="E36:AC43" si="0">HLOOKUP(E$35,$D$2:$AC$10,$B36,FALSE)</f>
        <v>0</v>
      </c>
      <c r="F36" s="11">
        <f t="shared" si="0"/>
        <v>3000</v>
      </c>
      <c r="G36" s="11">
        <f t="shared" si="0"/>
        <v>0</v>
      </c>
      <c r="H36" s="11">
        <f t="shared" si="0"/>
        <v>0</v>
      </c>
      <c r="I36" s="11">
        <f t="shared" si="0"/>
        <v>0</v>
      </c>
      <c r="J36" s="11">
        <f t="shared" si="0"/>
        <v>4000</v>
      </c>
      <c r="K36" s="11">
        <f t="shared" si="0"/>
        <v>0</v>
      </c>
      <c r="L36" s="11">
        <f t="shared" si="0"/>
        <v>1600</v>
      </c>
      <c r="M36" s="11">
        <f t="shared" si="0"/>
        <v>45000</v>
      </c>
      <c r="N36" s="11">
        <f t="shared" si="0"/>
        <v>12000</v>
      </c>
      <c r="O36" s="11">
        <f t="shared" si="0"/>
        <v>0</v>
      </c>
      <c r="P36" s="11">
        <f t="shared" si="0"/>
        <v>0</v>
      </c>
      <c r="Q36" s="11">
        <f t="shared" si="0"/>
        <v>0</v>
      </c>
      <c r="R36" s="11">
        <f t="shared" si="0"/>
        <v>5000</v>
      </c>
      <c r="S36" s="11">
        <f t="shared" si="0"/>
        <v>10000</v>
      </c>
      <c r="T36" s="11">
        <f t="shared" si="0"/>
        <v>0</v>
      </c>
      <c r="U36" s="11">
        <f t="shared" si="0"/>
        <v>0</v>
      </c>
      <c r="V36" s="11">
        <f t="shared" si="0"/>
        <v>0</v>
      </c>
      <c r="W36" s="11">
        <f t="shared" si="0"/>
        <v>0</v>
      </c>
      <c r="X36" s="11">
        <f t="shared" si="0"/>
        <v>0</v>
      </c>
      <c r="Y36" s="11">
        <f t="shared" si="0"/>
        <v>0</v>
      </c>
      <c r="Z36" s="11">
        <f t="shared" si="0"/>
        <v>31600</v>
      </c>
      <c r="AA36" s="11">
        <f t="shared" si="0"/>
        <v>0</v>
      </c>
      <c r="AB36" s="11">
        <f t="shared" si="0"/>
        <v>0</v>
      </c>
      <c r="AC36" s="11">
        <f t="shared" si="0"/>
        <v>0</v>
      </c>
    </row>
    <row r="37" spans="1:29" x14ac:dyDescent="0.55000000000000004">
      <c r="A37" s="2" t="s">
        <v>30</v>
      </c>
      <c r="B37">
        <v>3</v>
      </c>
      <c r="D37" s="11">
        <f t="shared" ref="D37:S43" si="1">HLOOKUP(D$35,$D$2:$AC$10,$B37,FALSE)</f>
        <v>0</v>
      </c>
      <c r="E37" s="11">
        <f t="shared" si="1"/>
        <v>0</v>
      </c>
      <c r="F37" s="11">
        <f t="shared" si="1"/>
        <v>0</v>
      </c>
      <c r="G37" s="11">
        <f t="shared" si="1"/>
        <v>104900</v>
      </c>
      <c r="H37" s="11">
        <f t="shared" si="1"/>
        <v>4300</v>
      </c>
      <c r="I37" s="11">
        <f t="shared" si="1"/>
        <v>0</v>
      </c>
      <c r="J37" s="11">
        <f t="shared" si="1"/>
        <v>21347</v>
      </c>
      <c r="K37" s="11">
        <f t="shared" si="1"/>
        <v>7199.5</v>
      </c>
      <c r="L37" s="11">
        <f t="shared" si="1"/>
        <v>0</v>
      </c>
      <c r="M37" s="11">
        <f t="shared" si="1"/>
        <v>0</v>
      </c>
      <c r="N37" s="11">
        <f t="shared" si="1"/>
        <v>61430</v>
      </c>
      <c r="O37" s="11">
        <f t="shared" si="1"/>
        <v>0</v>
      </c>
      <c r="P37" s="11">
        <f t="shared" si="1"/>
        <v>24546</v>
      </c>
      <c r="Q37" s="11">
        <f t="shared" si="1"/>
        <v>0</v>
      </c>
      <c r="R37" s="11">
        <f t="shared" si="1"/>
        <v>0</v>
      </c>
      <c r="S37" s="11">
        <f t="shared" si="1"/>
        <v>0</v>
      </c>
      <c r="T37" s="11">
        <f t="shared" si="0"/>
        <v>0</v>
      </c>
      <c r="U37" s="11">
        <f t="shared" si="0"/>
        <v>19400</v>
      </c>
      <c r="V37" s="11">
        <f t="shared" si="0"/>
        <v>0</v>
      </c>
      <c r="W37" s="11">
        <f t="shared" si="0"/>
        <v>7000</v>
      </c>
      <c r="X37" s="11">
        <f t="shared" si="0"/>
        <v>0</v>
      </c>
      <c r="Y37" s="11">
        <f t="shared" si="0"/>
        <v>6000</v>
      </c>
      <c r="Z37" s="11">
        <f t="shared" si="0"/>
        <v>155126</v>
      </c>
      <c r="AA37" s="11">
        <f t="shared" si="0"/>
        <v>0</v>
      </c>
      <c r="AB37" s="11">
        <f t="shared" si="0"/>
        <v>0</v>
      </c>
      <c r="AC37" s="11">
        <f t="shared" si="0"/>
        <v>0</v>
      </c>
    </row>
    <row r="38" spans="1:29" x14ac:dyDescent="0.55000000000000004">
      <c r="A38" s="2" t="s">
        <v>31</v>
      </c>
      <c r="B38">
        <v>4</v>
      </c>
      <c r="D38" s="11">
        <f t="shared" si="1"/>
        <v>0</v>
      </c>
      <c r="E38" s="11">
        <f t="shared" si="0"/>
        <v>0</v>
      </c>
      <c r="F38" s="11">
        <f t="shared" si="0"/>
        <v>0</v>
      </c>
      <c r="G38" s="11">
        <f t="shared" si="0"/>
        <v>0</v>
      </c>
      <c r="H38" s="11">
        <f t="shared" si="0"/>
        <v>0</v>
      </c>
      <c r="I38" s="11">
        <f t="shared" si="0"/>
        <v>0</v>
      </c>
      <c r="J38" s="11">
        <f t="shared" si="0"/>
        <v>0</v>
      </c>
      <c r="K38" s="11">
        <f t="shared" si="0"/>
        <v>0</v>
      </c>
      <c r="L38" s="11">
        <f t="shared" si="0"/>
        <v>0</v>
      </c>
      <c r="M38" s="11">
        <f t="shared" si="0"/>
        <v>0</v>
      </c>
      <c r="N38" s="11">
        <f t="shared" si="0"/>
        <v>0</v>
      </c>
      <c r="O38" s="11">
        <f t="shared" si="0"/>
        <v>0</v>
      </c>
      <c r="P38" s="11">
        <f t="shared" si="0"/>
        <v>0</v>
      </c>
      <c r="Q38" s="11">
        <f t="shared" si="0"/>
        <v>0</v>
      </c>
      <c r="R38" s="11">
        <f t="shared" si="0"/>
        <v>0</v>
      </c>
      <c r="S38" s="11">
        <f t="shared" si="0"/>
        <v>0</v>
      </c>
      <c r="T38" s="11">
        <f t="shared" si="0"/>
        <v>0</v>
      </c>
      <c r="U38" s="11">
        <f t="shared" si="0"/>
        <v>0</v>
      </c>
      <c r="V38" s="11">
        <f t="shared" si="0"/>
        <v>0</v>
      </c>
      <c r="W38" s="11">
        <f t="shared" si="0"/>
        <v>0</v>
      </c>
      <c r="X38" s="11">
        <f t="shared" si="0"/>
        <v>0</v>
      </c>
      <c r="Y38" s="11">
        <f t="shared" si="0"/>
        <v>0</v>
      </c>
      <c r="Z38" s="11">
        <f t="shared" si="0"/>
        <v>0</v>
      </c>
      <c r="AA38" s="11">
        <f t="shared" si="0"/>
        <v>0</v>
      </c>
      <c r="AB38" s="11">
        <f t="shared" si="0"/>
        <v>0</v>
      </c>
      <c r="AC38" s="11">
        <f t="shared" si="0"/>
        <v>0</v>
      </c>
    </row>
    <row r="39" spans="1:29" x14ac:dyDescent="0.55000000000000004">
      <c r="A39" s="2" t="s">
        <v>32</v>
      </c>
      <c r="B39">
        <v>5</v>
      </c>
      <c r="D39" s="11">
        <f t="shared" si="1"/>
        <v>0</v>
      </c>
      <c r="E39" s="11">
        <f t="shared" si="0"/>
        <v>0</v>
      </c>
      <c r="F39" s="11">
        <f t="shared" si="0"/>
        <v>0</v>
      </c>
      <c r="G39" s="11">
        <f t="shared" si="0"/>
        <v>299500</v>
      </c>
      <c r="H39" s="11">
        <f t="shared" si="0"/>
        <v>23046</v>
      </c>
      <c r="I39" s="11">
        <f t="shared" si="0"/>
        <v>0</v>
      </c>
      <c r="J39" s="11">
        <f t="shared" si="0"/>
        <v>53971.5</v>
      </c>
      <c r="K39" s="11">
        <f t="shared" si="0"/>
        <v>568564</v>
      </c>
      <c r="L39" s="11">
        <f t="shared" si="0"/>
        <v>18300</v>
      </c>
      <c r="M39" s="11">
        <f t="shared" si="0"/>
        <v>33000</v>
      </c>
      <c r="N39" s="11">
        <f t="shared" si="0"/>
        <v>30560</v>
      </c>
      <c r="O39" s="11">
        <f t="shared" si="0"/>
        <v>0</v>
      </c>
      <c r="P39" s="11">
        <f t="shared" si="0"/>
        <v>0</v>
      </c>
      <c r="Q39" s="11">
        <f t="shared" si="0"/>
        <v>0</v>
      </c>
      <c r="R39" s="11">
        <f t="shared" si="0"/>
        <v>0</v>
      </c>
      <c r="S39" s="11">
        <f t="shared" si="0"/>
        <v>113550</v>
      </c>
      <c r="T39" s="11">
        <f t="shared" si="0"/>
        <v>0</v>
      </c>
      <c r="U39" s="11">
        <f t="shared" si="0"/>
        <v>4580</v>
      </c>
      <c r="V39" s="11">
        <f t="shared" si="0"/>
        <v>0</v>
      </c>
      <c r="W39" s="11">
        <f t="shared" si="0"/>
        <v>102500</v>
      </c>
      <c r="X39" s="11">
        <f t="shared" si="0"/>
        <v>34198</v>
      </c>
      <c r="Y39" s="11">
        <f t="shared" si="0"/>
        <v>3000</v>
      </c>
      <c r="Z39" s="11">
        <f t="shared" si="0"/>
        <v>69500</v>
      </c>
      <c r="AA39" s="11">
        <f t="shared" si="0"/>
        <v>129025</v>
      </c>
      <c r="AB39" s="11">
        <f t="shared" si="0"/>
        <v>0</v>
      </c>
      <c r="AC39" s="11">
        <f t="shared" si="0"/>
        <v>0</v>
      </c>
    </row>
    <row r="40" spans="1:29" x14ac:dyDescent="0.55000000000000004">
      <c r="A40" s="2" t="s">
        <v>33</v>
      </c>
      <c r="B40">
        <v>6</v>
      </c>
      <c r="D40" s="11">
        <f t="shared" si="1"/>
        <v>0</v>
      </c>
      <c r="E40" s="11">
        <f t="shared" si="0"/>
        <v>0</v>
      </c>
      <c r="F40" s="11">
        <f t="shared" si="0"/>
        <v>0</v>
      </c>
      <c r="G40" s="11">
        <f t="shared" si="0"/>
        <v>97560</v>
      </c>
      <c r="H40" s="11">
        <f t="shared" si="0"/>
        <v>0</v>
      </c>
      <c r="I40" s="11">
        <f t="shared" si="0"/>
        <v>0</v>
      </c>
      <c r="J40" s="11">
        <f t="shared" si="0"/>
        <v>89071</v>
      </c>
      <c r="K40" s="11">
        <f t="shared" si="0"/>
        <v>13280</v>
      </c>
      <c r="L40" s="11">
        <f t="shared" si="0"/>
        <v>0</v>
      </c>
      <c r="M40" s="11">
        <f t="shared" si="0"/>
        <v>49280</v>
      </c>
      <c r="N40" s="11">
        <f t="shared" si="0"/>
        <v>0</v>
      </c>
      <c r="O40" s="11">
        <f t="shared" si="0"/>
        <v>0</v>
      </c>
      <c r="P40" s="11">
        <f t="shared" si="0"/>
        <v>5460</v>
      </c>
      <c r="Q40" s="11">
        <f t="shared" si="0"/>
        <v>0</v>
      </c>
      <c r="R40" s="11">
        <f t="shared" si="0"/>
        <v>12000</v>
      </c>
      <c r="S40" s="11">
        <f t="shared" si="0"/>
        <v>123341</v>
      </c>
      <c r="T40" s="11">
        <f t="shared" si="0"/>
        <v>0</v>
      </c>
      <c r="U40" s="11">
        <f t="shared" si="0"/>
        <v>25880</v>
      </c>
      <c r="V40" s="11">
        <f t="shared" si="0"/>
        <v>0</v>
      </c>
      <c r="W40" s="11">
        <f t="shared" si="0"/>
        <v>84000</v>
      </c>
      <c r="X40" s="11">
        <f t="shared" si="0"/>
        <v>0</v>
      </c>
      <c r="Y40" s="11">
        <f t="shared" si="0"/>
        <v>0</v>
      </c>
      <c r="Z40" s="11">
        <f t="shared" si="0"/>
        <v>56900</v>
      </c>
      <c r="AA40" s="11">
        <f t="shared" si="0"/>
        <v>11508</v>
      </c>
      <c r="AB40" s="11">
        <f t="shared" si="0"/>
        <v>0</v>
      </c>
      <c r="AC40" s="11">
        <f t="shared" si="0"/>
        <v>0</v>
      </c>
    </row>
    <row r="41" spans="1:29" x14ac:dyDescent="0.55000000000000004">
      <c r="A41" s="2" t="s">
        <v>34</v>
      </c>
      <c r="B41">
        <v>7</v>
      </c>
      <c r="D41" s="11">
        <f t="shared" si="1"/>
        <v>0</v>
      </c>
      <c r="E41" s="11">
        <f t="shared" si="0"/>
        <v>0</v>
      </c>
      <c r="F41" s="11">
        <f t="shared" si="0"/>
        <v>19110</v>
      </c>
      <c r="G41" s="11">
        <f t="shared" si="0"/>
        <v>54500</v>
      </c>
      <c r="H41" s="11">
        <f t="shared" si="0"/>
        <v>42372</v>
      </c>
      <c r="I41" s="11">
        <f t="shared" si="0"/>
        <v>8640</v>
      </c>
      <c r="J41" s="11">
        <f t="shared" si="0"/>
        <v>160500.5</v>
      </c>
      <c r="K41" s="11">
        <f t="shared" si="0"/>
        <v>0</v>
      </c>
      <c r="L41" s="11">
        <f t="shared" si="0"/>
        <v>0</v>
      </c>
      <c r="M41" s="11">
        <f t="shared" si="0"/>
        <v>0</v>
      </c>
      <c r="N41" s="11">
        <f t="shared" si="0"/>
        <v>0</v>
      </c>
      <c r="O41" s="11">
        <f t="shared" si="0"/>
        <v>0</v>
      </c>
      <c r="P41" s="11">
        <f t="shared" si="0"/>
        <v>0</v>
      </c>
      <c r="Q41" s="11">
        <f t="shared" si="0"/>
        <v>0</v>
      </c>
      <c r="R41" s="11">
        <f t="shared" si="0"/>
        <v>10000</v>
      </c>
      <c r="S41" s="11">
        <f t="shared" si="0"/>
        <v>0</v>
      </c>
      <c r="T41" s="11">
        <f t="shared" si="0"/>
        <v>0</v>
      </c>
      <c r="U41" s="11">
        <f t="shared" si="0"/>
        <v>4480</v>
      </c>
      <c r="V41" s="11">
        <f t="shared" si="0"/>
        <v>0</v>
      </c>
      <c r="W41" s="11">
        <f t="shared" si="0"/>
        <v>14000</v>
      </c>
      <c r="X41" s="11">
        <f t="shared" si="0"/>
        <v>30650</v>
      </c>
      <c r="Y41" s="11">
        <f t="shared" si="0"/>
        <v>24000</v>
      </c>
      <c r="Z41" s="11">
        <f t="shared" si="0"/>
        <v>0</v>
      </c>
      <c r="AA41" s="11">
        <f t="shared" si="0"/>
        <v>0</v>
      </c>
      <c r="AB41" s="11">
        <f t="shared" si="0"/>
        <v>0</v>
      </c>
      <c r="AC41" s="11">
        <f t="shared" si="0"/>
        <v>0</v>
      </c>
    </row>
    <row r="42" spans="1:29" x14ac:dyDescent="0.55000000000000004">
      <c r="A42" s="2" t="s">
        <v>35</v>
      </c>
      <c r="B42">
        <v>8</v>
      </c>
      <c r="D42" s="11">
        <f t="shared" si="1"/>
        <v>0</v>
      </c>
      <c r="E42" s="11">
        <f t="shared" si="0"/>
        <v>8041</v>
      </c>
      <c r="F42" s="11">
        <f t="shared" si="0"/>
        <v>11421</v>
      </c>
      <c r="G42" s="11">
        <f t="shared" si="0"/>
        <v>108253</v>
      </c>
      <c r="H42" s="11">
        <f t="shared" si="0"/>
        <v>87599</v>
      </c>
      <c r="I42" s="11">
        <f t="shared" si="0"/>
        <v>62834</v>
      </c>
      <c r="J42" s="11">
        <f t="shared" si="0"/>
        <v>42689.5</v>
      </c>
      <c r="K42" s="11">
        <f t="shared" si="0"/>
        <v>48270</v>
      </c>
      <c r="L42" s="11">
        <f t="shared" si="0"/>
        <v>5396</v>
      </c>
      <c r="M42" s="11">
        <f t="shared" si="0"/>
        <v>48046</v>
      </c>
      <c r="N42" s="11">
        <f t="shared" si="0"/>
        <v>66973</v>
      </c>
      <c r="O42" s="11">
        <f t="shared" si="0"/>
        <v>0</v>
      </c>
      <c r="P42" s="11">
        <f t="shared" si="0"/>
        <v>24996</v>
      </c>
      <c r="Q42" s="11">
        <f t="shared" si="0"/>
        <v>0</v>
      </c>
      <c r="R42" s="11">
        <f t="shared" si="0"/>
        <v>0</v>
      </c>
      <c r="S42" s="11">
        <f t="shared" si="0"/>
        <v>146000</v>
      </c>
      <c r="T42" s="11">
        <f t="shared" si="0"/>
        <v>0</v>
      </c>
      <c r="U42" s="11">
        <f t="shared" si="0"/>
        <v>33388</v>
      </c>
      <c r="V42" s="11">
        <f t="shared" si="0"/>
        <v>0</v>
      </c>
      <c r="W42" s="11">
        <f t="shared" si="0"/>
        <v>59949</v>
      </c>
      <c r="X42" s="11">
        <f t="shared" si="0"/>
        <v>48021</v>
      </c>
      <c r="Y42" s="11">
        <f t="shared" si="0"/>
        <v>8000</v>
      </c>
      <c r="Z42" s="11">
        <f t="shared" si="0"/>
        <v>198713</v>
      </c>
      <c r="AA42" s="11">
        <f t="shared" si="0"/>
        <v>10586</v>
      </c>
      <c r="AB42" s="11">
        <f t="shared" si="0"/>
        <v>0</v>
      </c>
      <c r="AC42" s="11">
        <f t="shared" si="0"/>
        <v>0</v>
      </c>
    </row>
    <row r="43" spans="1:29" x14ac:dyDescent="0.55000000000000004">
      <c r="A43" s="2" t="s">
        <v>36</v>
      </c>
      <c r="B43">
        <v>9</v>
      </c>
      <c r="D43" s="11">
        <f t="shared" si="1"/>
        <v>0</v>
      </c>
      <c r="E43" s="11">
        <f t="shared" si="0"/>
        <v>0</v>
      </c>
      <c r="F43" s="11">
        <f t="shared" si="0"/>
        <v>0</v>
      </c>
      <c r="G43" s="11">
        <f t="shared" si="0"/>
        <v>0</v>
      </c>
      <c r="H43" s="11">
        <f t="shared" si="0"/>
        <v>0</v>
      </c>
      <c r="I43" s="11">
        <f t="shared" si="0"/>
        <v>0</v>
      </c>
      <c r="J43" s="11">
        <f t="shared" si="0"/>
        <v>0</v>
      </c>
      <c r="K43" s="11">
        <f t="shared" si="0"/>
        <v>0</v>
      </c>
      <c r="L43" s="11">
        <f t="shared" si="0"/>
        <v>0</v>
      </c>
      <c r="M43" s="11">
        <f t="shared" si="0"/>
        <v>0</v>
      </c>
      <c r="N43" s="11">
        <f t="shared" si="0"/>
        <v>0</v>
      </c>
      <c r="O43" s="11">
        <f t="shared" si="0"/>
        <v>0</v>
      </c>
      <c r="P43" s="11">
        <f t="shared" si="0"/>
        <v>0</v>
      </c>
      <c r="Q43" s="11">
        <f t="shared" si="0"/>
        <v>0</v>
      </c>
      <c r="R43" s="11">
        <f t="shared" si="0"/>
        <v>0</v>
      </c>
      <c r="S43" s="11">
        <f t="shared" si="0"/>
        <v>0</v>
      </c>
      <c r="T43" s="11">
        <f t="shared" si="0"/>
        <v>0</v>
      </c>
      <c r="U43" s="11">
        <f t="shared" si="0"/>
        <v>0</v>
      </c>
      <c r="V43" s="11">
        <f t="shared" si="0"/>
        <v>0</v>
      </c>
      <c r="W43" s="11">
        <f t="shared" si="0"/>
        <v>0</v>
      </c>
      <c r="X43" s="11">
        <f t="shared" si="0"/>
        <v>0</v>
      </c>
      <c r="Y43" s="11">
        <f t="shared" si="0"/>
        <v>0</v>
      </c>
      <c r="Z43" s="11">
        <f t="shared" si="0"/>
        <v>0</v>
      </c>
      <c r="AA43" s="11">
        <f t="shared" si="0"/>
        <v>0</v>
      </c>
      <c r="AB43" s="11">
        <f t="shared" si="0"/>
        <v>0</v>
      </c>
      <c r="AC43" s="11">
        <f t="shared" si="0"/>
        <v>0</v>
      </c>
    </row>
    <row r="44" spans="1:29" x14ac:dyDescent="0.55000000000000004">
      <c r="A44" s="2"/>
    </row>
    <row r="45" spans="1:29" x14ac:dyDescent="0.55000000000000004">
      <c r="A45" s="1" t="s">
        <v>39</v>
      </c>
      <c r="B45" s="1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spans="1:29" x14ac:dyDescent="0.55000000000000004">
      <c r="A46" s="1" t="s">
        <v>28</v>
      </c>
      <c r="B46" s="1" t="s">
        <v>41</v>
      </c>
      <c r="D46" s="4" t="s">
        <v>20</v>
      </c>
      <c r="E46" s="4" t="s">
        <v>17</v>
      </c>
      <c r="F46" s="4" t="s">
        <v>16</v>
      </c>
      <c r="G46" s="4" t="s">
        <v>3</v>
      </c>
      <c r="H46" s="4" t="s">
        <v>14</v>
      </c>
      <c r="I46" s="4" t="s">
        <v>13</v>
      </c>
      <c r="J46" s="4" t="s">
        <v>11</v>
      </c>
      <c r="K46" s="4" t="s">
        <v>26</v>
      </c>
      <c r="L46" s="4" t="s">
        <v>9</v>
      </c>
      <c r="M46" s="4" t="s">
        <v>19</v>
      </c>
      <c r="N46" s="4" t="s">
        <v>27</v>
      </c>
      <c r="O46" s="4" t="s">
        <v>4</v>
      </c>
      <c r="P46" s="4" t="s">
        <v>25</v>
      </c>
      <c r="Q46" s="4" t="s">
        <v>8</v>
      </c>
      <c r="R46" s="4" t="s">
        <v>7</v>
      </c>
      <c r="S46" s="4" t="s">
        <v>18</v>
      </c>
      <c r="T46" s="4" t="s">
        <v>15</v>
      </c>
      <c r="U46" s="4" t="s">
        <v>12</v>
      </c>
      <c r="V46" s="4" t="s">
        <v>6</v>
      </c>
      <c r="W46" s="4" t="s">
        <v>21</v>
      </c>
      <c r="X46" s="4" t="s">
        <v>22</v>
      </c>
      <c r="Y46" s="4" t="s">
        <v>5</v>
      </c>
      <c r="Z46" s="4" t="s">
        <v>23</v>
      </c>
      <c r="AA46" s="4" t="s">
        <v>24</v>
      </c>
      <c r="AB46" s="4" t="s">
        <v>10</v>
      </c>
      <c r="AC46" s="4" t="s">
        <v>2</v>
      </c>
    </row>
    <row r="47" spans="1:29" x14ac:dyDescent="0.55000000000000004">
      <c r="A47" s="2" t="s">
        <v>29</v>
      </c>
      <c r="B47">
        <v>2</v>
      </c>
      <c r="D47" s="11">
        <f>HLOOKUP(D$46,$D$13:$AC$21,$B47,FALSE)</f>
        <v>0</v>
      </c>
      <c r="E47" s="11">
        <f t="shared" ref="E47:AC54" si="2">HLOOKUP(E$46,$D$13:$AC$21,$B47,FALSE)</f>
        <v>4000</v>
      </c>
      <c r="F47" s="11">
        <f t="shared" si="2"/>
        <v>0</v>
      </c>
      <c r="G47" s="11">
        <f t="shared" si="2"/>
        <v>0</v>
      </c>
      <c r="H47" s="11">
        <f t="shared" si="2"/>
        <v>0</v>
      </c>
      <c r="I47" s="11">
        <f t="shared" si="2"/>
        <v>0</v>
      </c>
      <c r="J47" s="11">
        <f t="shared" si="2"/>
        <v>0</v>
      </c>
      <c r="K47" s="11">
        <f t="shared" si="2"/>
        <v>0</v>
      </c>
      <c r="L47" s="11">
        <f t="shared" si="2"/>
        <v>0</v>
      </c>
      <c r="M47" s="11">
        <f t="shared" si="2"/>
        <v>5000</v>
      </c>
      <c r="N47" s="11">
        <f t="shared" si="2"/>
        <v>0</v>
      </c>
      <c r="O47" s="11">
        <f t="shared" si="2"/>
        <v>0</v>
      </c>
      <c r="P47" s="11">
        <f t="shared" si="2"/>
        <v>0</v>
      </c>
      <c r="Q47" s="11">
        <f t="shared" si="2"/>
        <v>0</v>
      </c>
      <c r="R47" s="11">
        <f t="shared" si="2"/>
        <v>5000</v>
      </c>
      <c r="S47" s="11">
        <f t="shared" si="2"/>
        <v>0</v>
      </c>
      <c r="T47" s="11">
        <f t="shared" si="2"/>
        <v>0</v>
      </c>
      <c r="U47" s="11">
        <f t="shared" si="2"/>
        <v>3000</v>
      </c>
      <c r="V47" s="11">
        <f t="shared" si="2"/>
        <v>0</v>
      </c>
      <c r="W47" s="11">
        <f t="shared" si="2"/>
        <v>0</v>
      </c>
      <c r="X47" s="11">
        <f t="shared" si="2"/>
        <v>0</v>
      </c>
      <c r="Y47" s="11">
        <f t="shared" si="2"/>
        <v>0</v>
      </c>
      <c r="Z47" s="11">
        <f t="shared" si="2"/>
        <v>0</v>
      </c>
      <c r="AA47" s="11">
        <f t="shared" si="2"/>
        <v>0</v>
      </c>
      <c r="AB47" s="11">
        <f t="shared" si="2"/>
        <v>0</v>
      </c>
      <c r="AC47" s="11">
        <f t="shared" si="2"/>
        <v>0</v>
      </c>
    </row>
    <row r="48" spans="1:29" x14ac:dyDescent="0.55000000000000004">
      <c r="A48" s="2" t="s">
        <v>30</v>
      </c>
      <c r="B48">
        <v>3</v>
      </c>
      <c r="D48" s="11">
        <f t="shared" ref="D48:S54" si="3">HLOOKUP(D$46,$D$13:$AC$21,$B48,FALSE)</f>
        <v>0</v>
      </c>
      <c r="E48" s="11">
        <f t="shared" si="3"/>
        <v>0</v>
      </c>
      <c r="F48" s="11">
        <f t="shared" si="3"/>
        <v>0</v>
      </c>
      <c r="G48" s="11">
        <f t="shared" si="3"/>
        <v>44000</v>
      </c>
      <c r="H48" s="11">
        <f t="shared" si="3"/>
        <v>19171</v>
      </c>
      <c r="I48" s="11">
        <f t="shared" si="3"/>
        <v>0</v>
      </c>
      <c r="J48" s="11">
        <f t="shared" si="3"/>
        <v>14737</v>
      </c>
      <c r="K48" s="11">
        <f t="shared" si="3"/>
        <v>0</v>
      </c>
      <c r="L48" s="11">
        <f t="shared" si="3"/>
        <v>0</v>
      </c>
      <c r="M48" s="11">
        <f t="shared" si="3"/>
        <v>0</v>
      </c>
      <c r="N48" s="11">
        <f t="shared" si="3"/>
        <v>10700</v>
      </c>
      <c r="O48" s="11">
        <f t="shared" si="3"/>
        <v>0</v>
      </c>
      <c r="P48" s="11">
        <f t="shared" si="3"/>
        <v>31497</v>
      </c>
      <c r="Q48" s="11">
        <f t="shared" si="3"/>
        <v>0</v>
      </c>
      <c r="R48" s="11">
        <f t="shared" si="3"/>
        <v>0</v>
      </c>
      <c r="S48" s="11">
        <f t="shared" si="3"/>
        <v>0</v>
      </c>
      <c r="T48" s="11">
        <f t="shared" si="2"/>
        <v>0</v>
      </c>
      <c r="U48" s="11">
        <f t="shared" si="2"/>
        <v>0</v>
      </c>
      <c r="V48" s="11">
        <f t="shared" si="2"/>
        <v>0</v>
      </c>
      <c r="W48" s="11">
        <f t="shared" si="2"/>
        <v>0</v>
      </c>
      <c r="X48" s="11">
        <f t="shared" si="2"/>
        <v>0</v>
      </c>
      <c r="Y48" s="11">
        <f t="shared" si="2"/>
        <v>0</v>
      </c>
      <c r="Z48" s="11">
        <f t="shared" si="2"/>
        <v>31738</v>
      </c>
      <c r="AA48" s="11">
        <f t="shared" si="2"/>
        <v>0</v>
      </c>
      <c r="AB48" s="11">
        <f t="shared" si="2"/>
        <v>0</v>
      </c>
      <c r="AC48" s="11">
        <f t="shared" si="2"/>
        <v>0</v>
      </c>
    </row>
    <row r="49" spans="1:29" x14ac:dyDescent="0.55000000000000004">
      <c r="A49" s="2" t="s">
        <v>31</v>
      </c>
      <c r="B49">
        <v>4</v>
      </c>
      <c r="D49" s="11">
        <f t="shared" si="3"/>
        <v>0</v>
      </c>
      <c r="E49" s="11">
        <f t="shared" si="2"/>
        <v>0</v>
      </c>
      <c r="F49" s="11">
        <f t="shared" si="2"/>
        <v>0</v>
      </c>
      <c r="G49" s="11">
        <f t="shared" si="2"/>
        <v>17080</v>
      </c>
      <c r="H49" s="11">
        <f t="shared" si="2"/>
        <v>0</v>
      </c>
      <c r="I49" s="11">
        <f t="shared" si="2"/>
        <v>0</v>
      </c>
      <c r="J49" s="11">
        <f t="shared" si="2"/>
        <v>0</v>
      </c>
      <c r="K49" s="11">
        <f t="shared" si="2"/>
        <v>0</v>
      </c>
      <c r="L49" s="11">
        <f t="shared" si="2"/>
        <v>0</v>
      </c>
      <c r="M49" s="11">
        <f t="shared" si="2"/>
        <v>0</v>
      </c>
      <c r="N49" s="11">
        <f t="shared" si="2"/>
        <v>0</v>
      </c>
      <c r="O49" s="11">
        <f t="shared" si="2"/>
        <v>0</v>
      </c>
      <c r="P49" s="11">
        <f t="shared" si="2"/>
        <v>0</v>
      </c>
      <c r="Q49" s="11">
        <f t="shared" si="2"/>
        <v>0</v>
      </c>
      <c r="R49" s="11">
        <f t="shared" si="2"/>
        <v>0</v>
      </c>
      <c r="S49" s="11">
        <f t="shared" si="2"/>
        <v>0</v>
      </c>
      <c r="T49" s="11">
        <f t="shared" si="2"/>
        <v>0</v>
      </c>
      <c r="U49" s="11">
        <f t="shared" si="2"/>
        <v>0</v>
      </c>
      <c r="V49" s="11">
        <f t="shared" si="2"/>
        <v>0</v>
      </c>
      <c r="W49" s="11">
        <f t="shared" si="2"/>
        <v>0</v>
      </c>
      <c r="X49" s="11">
        <f t="shared" si="2"/>
        <v>0</v>
      </c>
      <c r="Y49" s="11">
        <f t="shared" si="2"/>
        <v>0</v>
      </c>
      <c r="Z49" s="11">
        <f t="shared" si="2"/>
        <v>0</v>
      </c>
      <c r="AA49" s="11">
        <f t="shared" si="2"/>
        <v>0</v>
      </c>
      <c r="AB49" s="11">
        <f t="shared" si="2"/>
        <v>0</v>
      </c>
      <c r="AC49" s="11">
        <f t="shared" si="2"/>
        <v>0</v>
      </c>
    </row>
    <row r="50" spans="1:29" x14ac:dyDescent="0.55000000000000004">
      <c r="A50" s="2" t="s">
        <v>32</v>
      </c>
      <c r="B50">
        <v>5</v>
      </c>
      <c r="D50" s="11">
        <f t="shared" si="3"/>
        <v>0</v>
      </c>
      <c r="E50" s="11">
        <f t="shared" si="2"/>
        <v>0</v>
      </c>
      <c r="F50" s="11">
        <f t="shared" si="2"/>
        <v>0</v>
      </c>
      <c r="G50" s="11">
        <f t="shared" si="2"/>
        <v>53650</v>
      </c>
      <c r="H50" s="11">
        <f t="shared" si="2"/>
        <v>0</v>
      </c>
      <c r="I50" s="11">
        <f t="shared" si="2"/>
        <v>0</v>
      </c>
      <c r="J50" s="11">
        <f t="shared" si="2"/>
        <v>28350</v>
      </c>
      <c r="K50" s="11">
        <f t="shared" si="2"/>
        <v>0</v>
      </c>
      <c r="L50" s="11">
        <f t="shared" si="2"/>
        <v>0</v>
      </c>
      <c r="M50" s="11">
        <f t="shared" si="2"/>
        <v>11956</v>
      </c>
      <c r="N50" s="11">
        <f t="shared" si="2"/>
        <v>0</v>
      </c>
      <c r="O50" s="11">
        <f t="shared" si="2"/>
        <v>0</v>
      </c>
      <c r="P50" s="11">
        <f t="shared" si="2"/>
        <v>0</v>
      </c>
      <c r="Q50" s="11">
        <f t="shared" si="2"/>
        <v>0</v>
      </c>
      <c r="R50" s="11">
        <f t="shared" si="2"/>
        <v>6000</v>
      </c>
      <c r="S50" s="11">
        <f t="shared" si="2"/>
        <v>10518</v>
      </c>
      <c r="T50" s="11">
        <f t="shared" si="2"/>
        <v>0</v>
      </c>
      <c r="U50" s="11">
        <f t="shared" si="2"/>
        <v>3040</v>
      </c>
      <c r="V50" s="11">
        <f t="shared" si="2"/>
        <v>0</v>
      </c>
      <c r="W50" s="11">
        <f t="shared" si="2"/>
        <v>31451</v>
      </c>
      <c r="X50" s="11">
        <f t="shared" si="2"/>
        <v>5000</v>
      </c>
      <c r="Y50" s="11">
        <f t="shared" si="2"/>
        <v>3000</v>
      </c>
      <c r="Z50" s="11">
        <f t="shared" si="2"/>
        <v>0</v>
      </c>
      <c r="AA50" s="11">
        <f t="shared" si="2"/>
        <v>37764</v>
      </c>
      <c r="AB50" s="11">
        <f t="shared" si="2"/>
        <v>0</v>
      </c>
      <c r="AC50" s="11">
        <f t="shared" si="2"/>
        <v>0</v>
      </c>
    </row>
    <row r="51" spans="1:29" x14ac:dyDescent="0.55000000000000004">
      <c r="A51" s="2" t="s">
        <v>33</v>
      </c>
      <c r="B51">
        <v>6</v>
      </c>
      <c r="D51" s="11">
        <f t="shared" si="3"/>
        <v>0</v>
      </c>
      <c r="E51" s="11">
        <f t="shared" si="2"/>
        <v>0</v>
      </c>
      <c r="F51" s="11">
        <f t="shared" si="2"/>
        <v>0</v>
      </c>
      <c r="G51" s="11">
        <f t="shared" si="2"/>
        <v>48840</v>
      </c>
      <c r="H51" s="11">
        <f t="shared" si="2"/>
        <v>0</v>
      </c>
      <c r="I51" s="11">
        <f t="shared" si="2"/>
        <v>0</v>
      </c>
      <c r="J51" s="11">
        <f t="shared" si="2"/>
        <v>24905</v>
      </c>
      <c r="K51" s="11">
        <f t="shared" si="2"/>
        <v>0</v>
      </c>
      <c r="L51" s="11">
        <f t="shared" si="2"/>
        <v>0</v>
      </c>
      <c r="M51" s="11">
        <f t="shared" si="2"/>
        <v>100860</v>
      </c>
      <c r="N51" s="11">
        <f t="shared" si="2"/>
        <v>12050</v>
      </c>
      <c r="O51" s="11">
        <f t="shared" si="2"/>
        <v>0</v>
      </c>
      <c r="P51" s="11">
        <f t="shared" si="2"/>
        <v>0</v>
      </c>
      <c r="Q51" s="11">
        <f t="shared" si="2"/>
        <v>5730</v>
      </c>
      <c r="R51" s="11">
        <f t="shared" si="2"/>
        <v>6000</v>
      </c>
      <c r="S51" s="11">
        <f t="shared" si="2"/>
        <v>32116</v>
      </c>
      <c r="T51" s="11">
        <f t="shared" si="2"/>
        <v>0</v>
      </c>
      <c r="U51" s="11">
        <f t="shared" si="2"/>
        <v>0</v>
      </c>
      <c r="V51" s="11">
        <f t="shared" si="2"/>
        <v>0</v>
      </c>
      <c r="W51" s="11">
        <f t="shared" si="2"/>
        <v>24000</v>
      </c>
      <c r="X51" s="11">
        <f t="shared" si="2"/>
        <v>0</v>
      </c>
      <c r="Y51" s="11">
        <f t="shared" si="2"/>
        <v>8000</v>
      </c>
      <c r="Z51" s="11">
        <f t="shared" si="2"/>
        <v>6000</v>
      </c>
      <c r="AA51" s="11">
        <f t="shared" si="2"/>
        <v>0</v>
      </c>
      <c r="AB51" s="11">
        <f t="shared" si="2"/>
        <v>0</v>
      </c>
      <c r="AC51" s="11">
        <f t="shared" si="2"/>
        <v>0</v>
      </c>
    </row>
    <row r="52" spans="1:29" x14ac:dyDescent="0.55000000000000004">
      <c r="A52" s="2" t="s">
        <v>34</v>
      </c>
      <c r="B52">
        <v>7</v>
      </c>
      <c r="D52" s="11">
        <f t="shared" si="3"/>
        <v>0</v>
      </c>
      <c r="E52" s="11">
        <f t="shared" si="2"/>
        <v>0</v>
      </c>
      <c r="F52" s="11">
        <f t="shared" si="2"/>
        <v>0</v>
      </c>
      <c r="G52" s="11">
        <f t="shared" si="2"/>
        <v>21550</v>
      </c>
      <c r="H52" s="11">
        <f t="shared" si="2"/>
        <v>36102</v>
      </c>
      <c r="I52" s="11">
        <f t="shared" si="2"/>
        <v>4720</v>
      </c>
      <c r="J52" s="11">
        <f t="shared" si="2"/>
        <v>104483.5</v>
      </c>
      <c r="K52" s="11">
        <f t="shared" si="2"/>
        <v>0</v>
      </c>
      <c r="L52" s="11">
        <f t="shared" si="2"/>
        <v>0</v>
      </c>
      <c r="M52" s="11">
        <f t="shared" si="2"/>
        <v>63500</v>
      </c>
      <c r="N52" s="11">
        <f t="shared" si="2"/>
        <v>0</v>
      </c>
      <c r="O52" s="11">
        <f t="shared" si="2"/>
        <v>0</v>
      </c>
      <c r="P52" s="11">
        <f t="shared" si="2"/>
        <v>0</v>
      </c>
      <c r="Q52" s="11">
        <f t="shared" si="2"/>
        <v>0</v>
      </c>
      <c r="R52" s="11">
        <f t="shared" si="2"/>
        <v>10000</v>
      </c>
      <c r="S52" s="11">
        <f t="shared" si="2"/>
        <v>0</v>
      </c>
      <c r="T52" s="11">
        <f t="shared" si="2"/>
        <v>0</v>
      </c>
      <c r="U52" s="11">
        <f t="shared" si="2"/>
        <v>0</v>
      </c>
      <c r="V52" s="11">
        <f t="shared" si="2"/>
        <v>0</v>
      </c>
      <c r="W52" s="11">
        <f t="shared" si="2"/>
        <v>0</v>
      </c>
      <c r="X52" s="11">
        <f t="shared" si="2"/>
        <v>0</v>
      </c>
      <c r="Y52" s="11">
        <f t="shared" si="2"/>
        <v>8000</v>
      </c>
      <c r="Z52" s="11">
        <f t="shared" si="2"/>
        <v>0</v>
      </c>
      <c r="AA52" s="11">
        <f t="shared" si="2"/>
        <v>9740</v>
      </c>
      <c r="AB52" s="11">
        <f t="shared" si="2"/>
        <v>0</v>
      </c>
      <c r="AC52" s="11">
        <f t="shared" si="2"/>
        <v>0</v>
      </c>
    </row>
    <row r="53" spans="1:29" x14ac:dyDescent="0.55000000000000004">
      <c r="A53" s="2" t="s">
        <v>35</v>
      </c>
      <c r="B53">
        <v>8</v>
      </c>
      <c r="D53" s="11">
        <f t="shared" si="3"/>
        <v>0</v>
      </c>
      <c r="E53" s="11">
        <f t="shared" si="2"/>
        <v>0</v>
      </c>
      <c r="F53" s="11">
        <f t="shared" si="2"/>
        <v>3704</v>
      </c>
      <c r="G53" s="11">
        <f t="shared" si="2"/>
        <v>44315</v>
      </c>
      <c r="H53" s="11">
        <f t="shared" si="2"/>
        <v>18294</v>
      </c>
      <c r="I53" s="11">
        <f t="shared" si="2"/>
        <v>9865</v>
      </c>
      <c r="J53" s="11">
        <f t="shared" si="2"/>
        <v>15300</v>
      </c>
      <c r="K53" s="11">
        <f t="shared" si="2"/>
        <v>21838</v>
      </c>
      <c r="L53" s="11">
        <f t="shared" si="2"/>
        <v>0</v>
      </c>
      <c r="M53" s="11">
        <f t="shared" si="2"/>
        <v>31790</v>
      </c>
      <c r="N53" s="11">
        <f t="shared" si="2"/>
        <v>7869</v>
      </c>
      <c r="O53" s="11">
        <f t="shared" si="2"/>
        <v>0</v>
      </c>
      <c r="P53" s="11">
        <f t="shared" si="2"/>
        <v>11695</v>
      </c>
      <c r="Q53" s="11">
        <f t="shared" si="2"/>
        <v>19200</v>
      </c>
      <c r="R53" s="11">
        <f t="shared" si="2"/>
        <v>3378</v>
      </c>
      <c r="S53" s="11">
        <f t="shared" si="2"/>
        <v>19690</v>
      </c>
      <c r="T53" s="11">
        <f t="shared" si="2"/>
        <v>0</v>
      </c>
      <c r="U53" s="11">
        <f t="shared" si="2"/>
        <v>15400</v>
      </c>
      <c r="V53" s="11">
        <f t="shared" si="2"/>
        <v>0</v>
      </c>
      <c r="W53" s="11">
        <f t="shared" si="2"/>
        <v>36078</v>
      </c>
      <c r="X53" s="11">
        <f t="shared" si="2"/>
        <v>13534</v>
      </c>
      <c r="Y53" s="11">
        <f t="shared" si="2"/>
        <v>6400</v>
      </c>
      <c r="Z53" s="11">
        <f t="shared" si="2"/>
        <v>32788</v>
      </c>
      <c r="AA53" s="11">
        <f t="shared" si="2"/>
        <v>17662</v>
      </c>
      <c r="AB53" s="11">
        <f t="shared" si="2"/>
        <v>0</v>
      </c>
      <c r="AC53" s="11">
        <f t="shared" si="2"/>
        <v>0</v>
      </c>
    </row>
    <row r="54" spans="1:29" x14ac:dyDescent="0.55000000000000004">
      <c r="A54" s="2" t="s">
        <v>36</v>
      </c>
      <c r="B54">
        <v>9</v>
      </c>
      <c r="D54" s="11">
        <f t="shared" si="3"/>
        <v>0</v>
      </c>
      <c r="E54" s="11">
        <f t="shared" si="2"/>
        <v>0</v>
      </c>
      <c r="F54" s="11">
        <f t="shared" si="2"/>
        <v>0</v>
      </c>
      <c r="G54" s="11">
        <f t="shared" si="2"/>
        <v>0</v>
      </c>
      <c r="H54" s="11">
        <f t="shared" si="2"/>
        <v>0</v>
      </c>
      <c r="I54" s="11">
        <f t="shared" si="2"/>
        <v>0</v>
      </c>
      <c r="J54" s="11">
        <f t="shared" si="2"/>
        <v>0</v>
      </c>
      <c r="K54" s="11">
        <f t="shared" si="2"/>
        <v>0</v>
      </c>
      <c r="L54" s="11">
        <f t="shared" si="2"/>
        <v>0</v>
      </c>
      <c r="M54" s="11">
        <f t="shared" si="2"/>
        <v>0</v>
      </c>
      <c r="N54" s="11">
        <f t="shared" si="2"/>
        <v>0</v>
      </c>
      <c r="O54" s="11">
        <f t="shared" si="2"/>
        <v>0</v>
      </c>
      <c r="P54" s="11">
        <f t="shared" si="2"/>
        <v>0</v>
      </c>
      <c r="Q54" s="11">
        <f t="shared" si="2"/>
        <v>0</v>
      </c>
      <c r="R54" s="11">
        <f t="shared" si="2"/>
        <v>0</v>
      </c>
      <c r="S54" s="11">
        <f t="shared" si="2"/>
        <v>0</v>
      </c>
      <c r="T54" s="11">
        <f t="shared" si="2"/>
        <v>0</v>
      </c>
      <c r="U54" s="11">
        <f t="shared" si="2"/>
        <v>0</v>
      </c>
      <c r="V54" s="11">
        <f t="shared" si="2"/>
        <v>0</v>
      </c>
      <c r="W54" s="11">
        <f t="shared" si="2"/>
        <v>0</v>
      </c>
      <c r="X54" s="11">
        <f t="shared" si="2"/>
        <v>0</v>
      </c>
      <c r="Y54" s="11">
        <f t="shared" si="2"/>
        <v>0</v>
      </c>
      <c r="Z54" s="11">
        <f t="shared" si="2"/>
        <v>0</v>
      </c>
      <c r="AA54" s="11">
        <f t="shared" si="2"/>
        <v>0</v>
      </c>
      <c r="AB54" s="11">
        <f t="shared" si="2"/>
        <v>0</v>
      </c>
      <c r="AC54" s="11">
        <f t="shared" si="2"/>
        <v>0</v>
      </c>
    </row>
    <row r="55" spans="1:29" x14ac:dyDescent="0.55000000000000004">
      <c r="A55" s="2"/>
    </row>
    <row r="56" spans="1:29" x14ac:dyDescent="0.55000000000000004">
      <c r="A56" s="1" t="s">
        <v>38</v>
      </c>
      <c r="B56" s="1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spans="1:29" x14ac:dyDescent="0.55000000000000004">
      <c r="A57" s="1" t="s">
        <v>28</v>
      </c>
      <c r="B57" s="1" t="s">
        <v>41</v>
      </c>
      <c r="D57" s="4" t="s">
        <v>20</v>
      </c>
      <c r="E57" s="4" t="s">
        <v>17</v>
      </c>
      <c r="F57" s="4" t="s">
        <v>16</v>
      </c>
      <c r="G57" s="4" t="s">
        <v>3</v>
      </c>
      <c r="H57" s="4" t="s">
        <v>14</v>
      </c>
      <c r="I57" s="4" t="s">
        <v>13</v>
      </c>
      <c r="J57" s="4" t="s">
        <v>11</v>
      </c>
      <c r="K57" s="4" t="s">
        <v>26</v>
      </c>
      <c r="L57" s="4" t="s">
        <v>9</v>
      </c>
      <c r="M57" s="4" t="s">
        <v>19</v>
      </c>
      <c r="N57" s="4" t="s">
        <v>27</v>
      </c>
      <c r="O57" s="4" t="s">
        <v>4</v>
      </c>
      <c r="P57" s="4" t="s">
        <v>25</v>
      </c>
      <c r="Q57" s="4" t="s">
        <v>8</v>
      </c>
      <c r="R57" s="4" t="s">
        <v>7</v>
      </c>
      <c r="S57" s="4" t="s">
        <v>18</v>
      </c>
      <c r="T57" s="4" t="s">
        <v>15</v>
      </c>
      <c r="U57" s="4" t="s">
        <v>12</v>
      </c>
      <c r="V57" s="4" t="s">
        <v>6</v>
      </c>
      <c r="W57" s="4" t="s">
        <v>21</v>
      </c>
      <c r="X57" s="4" t="s">
        <v>22</v>
      </c>
      <c r="Y57" s="4" t="s">
        <v>5</v>
      </c>
      <c r="Z57" s="4" t="s">
        <v>23</v>
      </c>
      <c r="AA57" s="4" t="s">
        <v>24</v>
      </c>
      <c r="AB57" s="4" t="s">
        <v>10</v>
      </c>
      <c r="AC57" s="4" t="s">
        <v>2</v>
      </c>
    </row>
    <row r="58" spans="1:29" x14ac:dyDescent="0.55000000000000004">
      <c r="A58" s="2" t="s">
        <v>29</v>
      </c>
      <c r="B58">
        <v>2</v>
      </c>
      <c r="D58" s="11">
        <f>HLOOKUP(D$57,$D$24:$AC$32,$B58,FALSE)</f>
        <v>0</v>
      </c>
      <c r="E58" s="11">
        <f t="shared" ref="E58:AC65" si="4">HLOOKUP(E$57,$D$24:$AC$32,$B58,FALSE)</f>
        <v>0</v>
      </c>
      <c r="F58" s="11">
        <f t="shared" si="4"/>
        <v>0</v>
      </c>
      <c r="G58" s="11">
        <f t="shared" si="4"/>
        <v>0</v>
      </c>
      <c r="H58" s="11">
        <f t="shared" si="4"/>
        <v>0</v>
      </c>
      <c r="I58" s="11">
        <f t="shared" si="4"/>
        <v>0</v>
      </c>
      <c r="J58" s="11">
        <f t="shared" si="4"/>
        <v>0</v>
      </c>
      <c r="K58" s="11">
        <f t="shared" si="4"/>
        <v>0</v>
      </c>
      <c r="L58" s="11">
        <f t="shared" si="4"/>
        <v>0</v>
      </c>
      <c r="M58" s="11">
        <f t="shared" si="4"/>
        <v>0</v>
      </c>
      <c r="N58" s="11">
        <f t="shared" si="4"/>
        <v>0</v>
      </c>
      <c r="O58" s="11">
        <f t="shared" si="4"/>
        <v>0</v>
      </c>
      <c r="P58" s="11">
        <f t="shared" si="4"/>
        <v>0</v>
      </c>
      <c r="Q58" s="11">
        <f t="shared" si="4"/>
        <v>0</v>
      </c>
      <c r="R58" s="11">
        <f t="shared" si="4"/>
        <v>0</v>
      </c>
      <c r="S58" s="11">
        <f t="shared" si="4"/>
        <v>0</v>
      </c>
      <c r="T58" s="11">
        <f t="shared" si="4"/>
        <v>0</v>
      </c>
      <c r="U58" s="11">
        <f t="shared" si="4"/>
        <v>0</v>
      </c>
      <c r="V58" s="11">
        <f t="shared" si="4"/>
        <v>0</v>
      </c>
      <c r="W58" s="11">
        <f t="shared" si="4"/>
        <v>0</v>
      </c>
      <c r="X58" s="11">
        <f t="shared" si="4"/>
        <v>0</v>
      </c>
      <c r="Y58" s="11">
        <f t="shared" si="4"/>
        <v>0</v>
      </c>
      <c r="Z58" s="11">
        <f t="shared" si="4"/>
        <v>0</v>
      </c>
      <c r="AA58" s="11">
        <f t="shared" si="4"/>
        <v>0</v>
      </c>
      <c r="AB58" s="11">
        <f t="shared" si="4"/>
        <v>0</v>
      </c>
      <c r="AC58" s="11">
        <f t="shared" si="4"/>
        <v>0</v>
      </c>
    </row>
    <row r="59" spans="1:29" x14ac:dyDescent="0.55000000000000004">
      <c r="A59" s="2" t="s">
        <v>30</v>
      </c>
      <c r="B59">
        <v>3</v>
      </c>
      <c r="D59" s="11">
        <f t="shared" ref="D59:D65" si="5">HLOOKUP(D$57,$D$24:$AC$32,$B59,FALSE)</f>
        <v>0</v>
      </c>
      <c r="E59" s="11">
        <f t="shared" si="4"/>
        <v>0</v>
      </c>
      <c r="F59" s="11">
        <f t="shared" si="4"/>
        <v>0</v>
      </c>
      <c r="G59" s="11">
        <f t="shared" si="4"/>
        <v>5000</v>
      </c>
      <c r="H59" s="11">
        <f t="shared" si="4"/>
        <v>0</v>
      </c>
      <c r="I59" s="11">
        <f t="shared" si="4"/>
        <v>0</v>
      </c>
      <c r="J59" s="11">
        <f t="shared" si="4"/>
        <v>0</v>
      </c>
      <c r="K59" s="11">
        <f t="shared" si="4"/>
        <v>0</v>
      </c>
      <c r="L59" s="11">
        <f t="shared" si="4"/>
        <v>0</v>
      </c>
      <c r="M59" s="11">
        <f t="shared" si="4"/>
        <v>0</v>
      </c>
      <c r="N59" s="11">
        <f t="shared" si="4"/>
        <v>0</v>
      </c>
      <c r="O59" s="11">
        <f t="shared" si="4"/>
        <v>0</v>
      </c>
      <c r="P59" s="11">
        <f t="shared" si="4"/>
        <v>0</v>
      </c>
      <c r="Q59" s="11">
        <f t="shared" si="4"/>
        <v>0</v>
      </c>
      <c r="R59" s="11">
        <f t="shared" si="4"/>
        <v>0</v>
      </c>
      <c r="S59" s="11">
        <f t="shared" si="4"/>
        <v>0</v>
      </c>
      <c r="T59" s="11">
        <f t="shared" si="4"/>
        <v>0</v>
      </c>
      <c r="U59" s="11">
        <f t="shared" si="4"/>
        <v>0</v>
      </c>
      <c r="V59" s="11">
        <f t="shared" si="4"/>
        <v>0</v>
      </c>
      <c r="W59" s="11">
        <f t="shared" si="4"/>
        <v>24000</v>
      </c>
      <c r="X59" s="11">
        <f t="shared" si="4"/>
        <v>0</v>
      </c>
      <c r="Y59" s="11">
        <f t="shared" si="4"/>
        <v>0</v>
      </c>
      <c r="Z59" s="11">
        <f t="shared" si="4"/>
        <v>0</v>
      </c>
      <c r="AA59" s="11">
        <f t="shared" si="4"/>
        <v>0</v>
      </c>
      <c r="AB59" s="11">
        <f t="shared" si="4"/>
        <v>0</v>
      </c>
      <c r="AC59" s="11">
        <f t="shared" si="4"/>
        <v>0</v>
      </c>
    </row>
    <row r="60" spans="1:29" x14ac:dyDescent="0.55000000000000004">
      <c r="A60" s="2" t="s">
        <v>31</v>
      </c>
      <c r="B60">
        <v>4</v>
      </c>
      <c r="D60" s="11">
        <f t="shared" si="5"/>
        <v>0</v>
      </c>
      <c r="E60" s="11">
        <f t="shared" si="4"/>
        <v>0</v>
      </c>
      <c r="F60" s="11">
        <f t="shared" si="4"/>
        <v>0</v>
      </c>
      <c r="G60" s="11">
        <f t="shared" si="4"/>
        <v>13680</v>
      </c>
      <c r="H60" s="11">
        <f t="shared" si="4"/>
        <v>0</v>
      </c>
      <c r="I60" s="11">
        <f t="shared" si="4"/>
        <v>0</v>
      </c>
      <c r="J60" s="11">
        <f t="shared" si="4"/>
        <v>29800</v>
      </c>
      <c r="K60" s="11">
        <f t="shared" si="4"/>
        <v>0</v>
      </c>
      <c r="L60" s="11">
        <f t="shared" si="4"/>
        <v>0</v>
      </c>
      <c r="M60" s="11">
        <f t="shared" si="4"/>
        <v>0</v>
      </c>
      <c r="N60" s="11">
        <f t="shared" si="4"/>
        <v>0</v>
      </c>
      <c r="O60" s="11">
        <f t="shared" si="4"/>
        <v>0</v>
      </c>
      <c r="P60" s="11">
        <f t="shared" si="4"/>
        <v>11106</v>
      </c>
      <c r="Q60" s="11">
        <f t="shared" si="4"/>
        <v>0</v>
      </c>
      <c r="R60" s="11">
        <f t="shared" si="4"/>
        <v>0</v>
      </c>
      <c r="S60" s="11">
        <f t="shared" si="4"/>
        <v>9072</v>
      </c>
      <c r="T60" s="11">
        <f t="shared" si="4"/>
        <v>0</v>
      </c>
      <c r="U60" s="11">
        <f t="shared" si="4"/>
        <v>0</v>
      </c>
      <c r="V60" s="11">
        <f t="shared" si="4"/>
        <v>0</v>
      </c>
      <c r="W60" s="11">
        <f t="shared" si="4"/>
        <v>0</v>
      </c>
      <c r="X60" s="11">
        <f t="shared" si="4"/>
        <v>0</v>
      </c>
      <c r="Y60" s="11">
        <f t="shared" si="4"/>
        <v>0</v>
      </c>
      <c r="Z60" s="11">
        <f t="shared" si="4"/>
        <v>0</v>
      </c>
      <c r="AA60" s="11">
        <f t="shared" si="4"/>
        <v>0</v>
      </c>
      <c r="AB60" s="11">
        <f t="shared" si="4"/>
        <v>0</v>
      </c>
      <c r="AC60" s="11">
        <f t="shared" si="4"/>
        <v>0</v>
      </c>
    </row>
    <row r="61" spans="1:29" x14ac:dyDescent="0.55000000000000004">
      <c r="A61" s="2" t="s">
        <v>32</v>
      </c>
      <c r="B61">
        <v>5</v>
      </c>
      <c r="D61" s="11">
        <f t="shared" si="5"/>
        <v>0</v>
      </c>
      <c r="E61" s="11">
        <f t="shared" si="4"/>
        <v>0</v>
      </c>
      <c r="F61" s="11">
        <f t="shared" si="4"/>
        <v>0</v>
      </c>
      <c r="G61" s="11">
        <f t="shared" si="4"/>
        <v>14780</v>
      </c>
      <c r="H61" s="11">
        <f t="shared" si="4"/>
        <v>0</v>
      </c>
      <c r="I61" s="11">
        <f t="shared" si="4"/>
        <v>0</v>
      </c>
      <c r="J61" s="11">
        <f t="shared" si="4"/>
        <v>0</v>
      </c>
      <c r="K61" s="11">
        <f t="shared" si="4"/>
        <v>0</v>
      </c>
      <c r="L61" s="11">
        <f t="shared" si="4"/>
        <v>0</v>
      </c>
      <c r="M61" s="11">
        <f t="shared" si="4"/>
        <v>4200</v>
      </c>
      <c r="N61" s="11">
        <f t="shared" si="4"/>
        <v>0</v>
      </c>
      <c r="O61" s="11">
        <f t="shared" si="4"/>
        <v>0</v>
      </c>
      <c r="P61" s="11">
        <f t="shared" si="4"/>
        <v>0</v>
      </c>
      <c r="Q61" s="11">
        <f t="shared" si="4"/>
        <v>0</v>
      </c>
      <c r="R61" s="11">
        <f>HLOOKUP(R$57,$D$24:$AC$32,$B61,FALSE)</f>
        <v>0</v>
      </c>
      <c r="S61" s="11">
        <f t="shared" si="4"/>
        <v>0</v>
      </c>
      <c r="T61" s="11">
        <f t="shared" si="4"/>
        <v>0</v>
      </c>
      <c r="U61" s="11">
        <f t="shared" si="4"/>
        <v>0</v>
      </c>
      <c r="V61" s="11">
        <f t="shared" si="4"/>
        <v>0</v>
      </c>
      <c r="W61" s="11">
        <f t="shared" si="4"/>
        <v>0</v>
      </c>
      <c r="X61" s="11">
        <f t="shared" si="4"/>
        <v>0</v>
      </c>
      <c r="Y61" s="11">
        <f t="shared" si="4"/>
        <v>13000</v>
      </c>
      <c r="Z61" s="11">
        <f t="shared" si="4"/>
        <v>0</v>
      </c>
      <c r="AA61" s="11">
        <f t="shared" si="4"/>
        <v>0</v>
      </c>
      <c r="AB61" s="11">
        <f t="shared" si="4"/>
        <v>0</v>
      </c>
      <c r="AC61" s="11">
        <f t="shared" si="4"/>
        <v>0</v>
      </c>
    </row>
    <row r="62" spans="1:29" x14ac:dyDescent="0.55000000000000004">
      <c r="A62" s="2" t="s">
        <v>33</v>
      </c>
      <c r="B62">
        <v>6</v>
      </c>
      <c r="D62" s="11">
        <f t="shared" si="5"/>
        <v>0</v>
      </c>
      <c r="E62" s="11">
        <f t="shared" si="4"/>
        <v>0</v>
      </c>
      <c r="F62" s="11">
        <f t="shared" si="4"/>
        <v>0</v>
      </c>
      <c r="G62" s="11">
        <f t="shared" si="4"/>
        <v>7080</v>
      </c>
      <c r="H62" s="11">
        <f t="shared" si="4"/>
        <v>0</v>
      </c>
      <c r="I62" s="11">
        <f t="shared" si="4"/>
        <v>0</v>
      </c>
      <c r="J62" s="11">
        <f t="shared" si="4"/>
        <v>0</v>
      </c>
      <c r="K62" s="11">
        <f t="shared" si="4"/>
        <v>0</v>
      </c>
      <c r="L62" s="11">
        <f t="shared" si="4"/>
        <v>0</v>
      </c>
      <c r="M62" s="11">
        <f t="shared" si="4"/>
        <v>13875</v>
      </c>
      <c r="N62" s="11">
        <f t="shared" si="4"/>
        <v>0</v>
      </c>
      <c r="O62" s="11">
        <f t="shared" si="4"/>
        <v>0</v>
      </c>
      <c r="P62" s="11">
        <f t="shared" si="4"/>
        <v>0</v>
      </c>
      <c r="Q62" s="11">
        <f t="shared" si="4"/>
        <v>0</v>
      </c>
      <c r="R62" s="11">
        <f t="shared" si="4"/>
        <v>0</v>
      </c>
      <c r="S62" s="11">
        <f t="shared" si="4"/>
        <v>0</v>
      </c>
      <c r="T62" s="11">
        <f t="shared" si="4"/>
        <v>0</v>
      </c>
      <c r="U62" s="11">
        <f t="shared" si="4"/>
        <v>0</v>
      </c>
      <c r="V62" s="11">
        <f t="shared" si="4"/>
        <v>0</v>
      </c>
      <c r="W62" s="11">
        <f t="shared" si="4"/>
        <v>0</v>
      </c>
      <c r="X62" s="11">
        <f t="shared" si="4"/>
        <v>0</v>
      </c>
      <c r="Y62" s="11">
        <f t="shared" si="4"/>
        <v>0</v>
      </c>
      <c r="Z62" s="11">
        <f t="shared" si="4"/>
        <v>0</v>
      </c>
      <c r="AA62" s="11">
        <f t="shared" si="4"/>
        <v>0</v>
      </c>
      <c r="AB62" s="11">
        <f t="shared" si="4"/>
        <v>0</v>
      </c>
      <c r="AC62" s="11">
        <f t="shared" si="4"/>
        <v>0</v>
      </c>
    </row>
    <row r="63" spans="1:29" x14ac:dyDescent="0.55000000000000004">
      <c r="A63" s="2" t="s">
        <v>34</v>
      </c>
      <c r="B63">
        <v>7</v>
      </c>
      <c r="D63" s="11">
        <f t="shared" si="5"/>
        <v>0</v>
      </c>
      <c r="E63" s="11">
        <f t="shared" si="4"/>
        <v>0</v>
      </c>
      <c r="F63" s="11">
        <f t="shared" si="4"/>
        <v>0</v>
      </c>
      <c r="G63" s="11">
        <f t="shared" si="4"/>
        <v>27050</v>
      </c>
      <c r="H63" s="11">
        <f t="shared" si="4"/>
        <v>9180</v>
      </c>
      <c r="I63" s="11">
        <f t="shared" si="4"/>
        <v>0</v>
      </c>
      <c r="J63" s="11">
        <f t="shared" si="4"/>
        <v>6390</v>
      </c>
      <c r="K63" s="11">
        <f t="shared" si="4"/>
        <v>0</v>
      </c>
      <c r="L63" s="11">
        <f t="shared" si="4"/>
        <v>0</v>
      </c>
      <c r="M63" s="11">
        <f t="shared" si="4"/>
        <v>0</v>
      </c>
      <c r="N63" s="11">
        <f t="shared" si="4"/>
        <v>0</v>
      </c>
      <c r="O63" s="11">
        <f t="shared" si="4"/>
        <v>0</v>
      </c>
      <c r="P63" s="11">
        <f t="shared" si="4"/>
        <v>0</v>
      </c>
      <c r="Q63" s="11">
        <f t="shared" si="4"/>
        <v>0</v>
      </c>
      <c r="R63" s="11">
        <f t="shared" si="4"/>
        <v>5200</v>
      </c>
      <c r="S63" s="11">
        <f t="shared" si="4"/>
        <v>0</v>
      </c>
      <c r="T63" s="11">
        <f t="shared" si="4"/>
        <v>0</v>
      </c>
      <c r="U63" s="11">
        <f t="shared" si="4"/>
        <v>4700</v>
      </c>
      <c r="V63" s="11">
        <f t="shared" si="4"/>
        <v>0</v>
      </c>
      <c r="W63" s="11">
        <f t="shared" si="4"/>
        <v>7512</v>
      </c>
      <c r="X63" s="11">
        <f t="shared" si="4"/>
        <v>0</v>
      </c>
      <c r="Y63" s="11">
        <f t="shared" si="4"/>
        <v>0</v>
      </c>
      <c r="Z63" s="11">
        <f t="shared" si="4"/>
        <v>0</v>
      </c>
      <c r="AA63" s="11">
        <f t="shared" si="4"/>
        <v>0</v>
      </c>
      <c r="AB63" s="11">
        <f t="shared" si="4"/>
        <v>0</v>
      </c>
      <c r="AC63" s="11">
        <f t="shared" si="4"/>
        <v>0</v>
      </c>
    </row>
    <row r="64" spans="1:29" x14ac:dyDescent="0.55000000000000004">
      <c r="A64" s="2" t="s">
        <v>35</v>
      </c>
      <c r="B64">
        <v>8</v>
      </c>
      <c r="D64" s="11">
        <f t="shared" si="5"/>
        <v>0</v>
      </c>
      <c r="E64" s="11">
        <f t="shared" si="4"/>
        <v>0</v>
      </c>
      <c r="F64" s="11">
        <f t="shared" si="4"/>
        <v>0</v>
      </c>
      <c r="G64" s="11">
        <f t="shared" si="4"/>
        <v>9950</v>
      </c>
      <c r="H64" s="11">
        <f t="shared" si="4"/>
        <v>0</v>
      </c>
      <c r="I64" s="11">
        <f t="shared" si="4"/>
        <v>0</v>
      </c>
      <c r="J64" s="11">
        <f t="shared" si="4"/>
        <v>2750</v>
      </c>
      <c r="K64" s="11">
        <f t="shared" si="4"/>
        <v>11164</v>
      </c>
      <c r="L64" s="11">
        <f t="shared" si="4"/>
        <v>0</v>
      </c>
      <c r="M64" s="11">
        <f t="shared" si="4"/>
        <v>3278</v>
      </c>
      <c r="N64" s="11">
        <f t="shared" si="4"/>
        <v>0</v>
      </c>
      <c r="O64" s="11">
        <f t="shared" si="4"/>
        <v>0</v>
      </c>
      <c r="P64" s="11">
        <f t="shared" si="4"/>
        <v>0</v>
      </c>
      <c r="Q64" s="11">
        <f t="shared" si="4"/>
        <v>0</v>
      </c>
      <c r="R64" s="11">
        <f t="shared" si="4"/>
        <v>0</v>
      </c>
      <c r="S64" s="11">
        <f t="shared" si="4"/>
        <v>3500</v>
      </c>
      <c r="T64" s="11">
        <f t="shared" si="4"/>
        <v>0</v>
      </c>
      <c r="U64" s="11">
        <f t="shared" si="4"/>
        <v>0</v>
      </c>
      <c r="V64" s="11">
        <f t="shared" si="4"/>
        <v>0</v>
      </c>
      <c r="W64" s="11">
        <f t="shared" si="4"/>
        <v>3756</v>
      </c>
      <c r="X64" s="11">
        <f t="shared" si="4"/>
        <v>4340</v>
      </c>
      <c r="Y64" s="11">
        <f t="shared" si="4"/>
        <v>0</v>
      </c>
      <c r="Z64" s="11">
        <f t="shared" si="4"/>
        <v>0</v>
      </c>
      <c r="AA64" s="11">
        <f t="shared" si="4"/>
        <v>0</v>
      </c>
      <c r="AB64" s="11">
        <f t="shared" si="4"/>
        <v>0</v>
      </c>
      <c r="AC64" s="11">
        <f t="shared" si="4"/>
        <v>0</v>
      </c>
    </row>
    <row r="65" spans="1:29" x14ac:dyDescent="0.55000000000000004">
      <c r="A65" s="2" t="s">
        <v>36</v>
      </c>
      <c r="B65">
        <v>9</v>
      </c>
      <c r="D65" s="11">
        <f t="shared" si="5"/>
        <v>0</v>
      </c>
      <c r="E65" s="11">
        <f t="shared" si="4"/>
        <v>0</v>
      </c>
      <c r="F65" s="11">
        <f t="shared" si="4"/>
        <v>0</v>
      </c>
      <c r="G65" s="11">
        <f t="shared" si="4"/>
        <v>0</v>
      </c>
      <c r="H65" s="11">
        <f t="shared" si="4"/>
        <v>0</v>
      </c>
      <c r="I65" s="11">
        <f t="shared" si="4"/>
        <v>0</v>
      </c>
      <c r="J65" s="11">
        <f t="shared" si="4"/>
        <v>0</v>
      </c>
      <c r="K65" s="11">
        <f t="shared" si="4"/>
        <v>0</v>
      </c>
      <c r="L65" s="11">
        <f t="shared" si="4"/>
        <v>0</v>
      </c>
      <c r="M65" s="11">
        <f t="shared" si="4"/>
        <v>0</v>
      </c>
      <c r="N65" s="11">
        <f t="shared" si="4"/>
        <v>0</v>
      </c>
      <c r="O65" s="11">
        <f t="shared" si="4"/>
        <v>0</v>
      </c>
      <c r="P65" s="11">
        <f t="shared" si="4"/>
        <v>0</v>
      </c>
      <c r="Q65" s="11">
        <f t="shared" si="4"/>
        <v>0</v>
      </c>
      <c r="R65" s="11">
        <f t="shared" si="4"/>
        <v>0</v>
      </c>
      <c r="S65" s="11">
        <f t="shared" si="4"/>
        <v>0</v>
      </c>
      <c r="T65" s="11">
        <f t="shared" si="4"/>
        <v>0</v>
      </c>
      <c r="U65" s="11">
        <f t="shared" si="4"/>
        <v>0</v>
      </c>
      <c r="V65" s="11">
        <f t="shared" si="4"/>
        <v>0</v>
      </c>
      <c r="W65" s="11">
        <f t="shared" si="4"/>
        <v>0</v>
      </c>
      <c r="X65" s="11">
        <f t="shared" si="4"/>
        <v>0</v>
      </c>
      <c r="Y65" s="11">
        <f t="shared" si="4"/>
        <v>0</v>
      </c>
      <c r="Z65" s="11">
        <f t="shared" si="4"/>
        <v>0</v>
      </c>
      <c r="AA65" s="11">
        <f t="shared" si="4"/>
        <v>0</v>
      </c>
      <c r="AB65" s="11">
        <f t="shared" si="4"/>
        <v>0</v>
      </c>
      <c r="AC65" s="11">
        <f t="shared" si="4"/>
        <v>0</v>
      </c>
    </row>
    <row r="66" spans="1:29" x14ac:dyDescent="0.55000000000000004"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</row>
    <row r="67" spans="1:29" x14ac:dyDescent="0.55000000000000004">
      <c r="C67" t="s">
        <v>42</v>
      </c>
      <c r="D67" s="5">
        <f>SUM(D39:D40,D50:D51,D61:D62)/1000</f>
        <v>0</v>
      </c>
      <c r="E67" s="5">
        <f t="shared" ref="E67:AC67" si="6">SUM(E39:E40,E50:E51,E61:E62)/1000</f>
        <v>0</v>
      </c>
      <c r="F67" s="5">
        <f t="shared" si="6"/>
        <v>0</v>
      </c>
      <c r="G67" s="5">
        <f t="shared" si="6"/>
        <v>521.41</v>
      </c>
      <c r="H67" s="5">
        <f t="shared" si="6"/>
        <v>23.045999999999999</v>
      </c>
      <c r="I67" s="5">
        <f t="shared" si="6"/>
        <v>0</v>
      </c>
      <c r="J67" s="5">
        <f t="shared" si="6"/>
        <v>196.29750000000001</v>
      </c>
      <c r="K67" s="5">
        <f t="shared" si="6"/>
        <v>581.84400000000005</v>
      </c>
      <c r="L67" s="5">
        <f t="shared" si="6"/>
        <v>18.3</v>
      </c>
      <c r="M67" s="5">
        <f t="shared" si="6"/>
        <v>213.17099999999999</v>
      </c>
      <c r="N67" s="5">
        <f t="shared" si="6"/>
        <v>42.61</v>
      </c>
      <c r="O67" s="5">
        <f t="shared" si="6"/>
        <v>0</v>
      </c>
      <c r="P67" s="5">
        <f t="shared" si="6"/>
        <v>5.46</v>
      </c>
      <c r="Q67" s="5">
        <f t="shared" si="6"/>
        <v>5.73</v>
      </c>
      <c r="R67" s="5">
        <f t="shared" si="6"/>
        <v>24</v>
      </c>
      <c r="S67" s="5">
        <f t="shared" si="6"/>
        <v>279.52499999999998</v>
      </c>
      <c r="T67" s="5">
        <f t="shared" si="6"/>
        <v>0</v>
      </c>
      <c r="U67" s="5">
        <f t="shared" si="6"/>
        <v>33.5</v>
      </c>
      <c r="V67" s="5">
        <f t="shared" si="6"/>
        <v>0</v>
      </c>
      <c r="W67" s="5">
        <f t="shared" si="6"/>
        <v>241.95099999999999</v>
      </c>
      <c r="X67" s="5">
        <f t="shared" si="6"/>
        <v>39.198</v>
      </c>
      <c r="Y67" s="5">
        <f t="shared" si="6"/>
        <v>27</v>
      </c>
      <c r="Z67" s="5">
        <f t="shared" si="6"/>
        <v>132.4</v>
      </c>
      <c r="AA67" s="5">
        <f t="shared" si="6"/>
        <v>178.297</v>
      </c>
      <c r="AB67" s="5">
        <f t="shared" si="6"/>
        <v>0</v>
      </c>
      <c r="AC67" s="5">
        <f t="shared" si="6"/>
        <v>0</v>
      </c>
    </row>
    <row r="68" spans="1:29" x14ac:dyDescent="0.55000000000000004">
      <c r="C68" t="s">
        <v>45</v>
      </c>
      <c r="D68" s="5">
        <f>SUM(D36:D37,D47:D48,D58:D59)/1000</f>
        <v>0</v>
      </c>
      <c r="E68" s="5">
        <f t="shared" ref="E68:AC68" si="7">SUM(E36:E37,E47:E48,E58:E59)/1000</f>
        <v>4</v>
      </c>
      <c r="F68" s="5">
        <f t="shared" si="7"/>
        <v>3</v>
      </c>
      <c r="G68" s="5">
        <f t="shared" si="7"/>
        <v>153.9</v>
      </c>
      <c r="H68" s="5">
        <f t="shared" si="7"/>
        <v>23.471</v>
      </c>
      <c r="I68" s="5">
        <f t="shared" si="7"/>
        <v>0</v>
      </c>
      <c r="J68" s="5">
        <f t="shared" si="7"/>
        <v>40.084000000000003</v>
      </c>
      <c r="K68" s="5">
        <f t="shared" si="7"/>
        <v>7.1994999999999996</v>
      </c>
      <c r="L68" s="5">
        <f t="shared" si="7"/>
        <v>1.6</v>
      </c>
      <c r="M68" s="5">
        <f t="shared" si="7"/>
        <v>50</v>
      </c>
      <c r="N68" s="5">
        <f t="shared" si="7"/>
        <v>84.13</v>
      </c>
      <c r="O68" s="5">
        <f t="shared" si="7"/>
        <v>0</v>
      </c>
      <c r="P68" s="5">
        <f t="shared" si="7"/>
        <v>56.042999999999999</v>
      </c>
      <c r="Q68" s="5">
        <f t="shared" si="7"/>
        <v>0</v>
      </c>
      <c r="R68" s="5">
        <f t="shared" si="7"/>
        <v>10</v>
      </c>
      <c r="S68" s="5">
        <f t="shared" si="7"/>
        <v>10</v>
      </c>
      <c r="T68" s="5">
        <f t="shared" si="7"/>
        <v>0</v>
      </c>
      <c r="U68" s="5">
        <f t="shared" si="7"/>
        <v>22.4</v>
      </c>
      <c r="V68" s="5">
        <f t="shared" si="7"/>
        <v>0</v>
      </c>
      <c r="W68" s="5">
        <f t="shared" si="7"/>
        <v>31</v>
      </c>
      <c r="X68" s="5">
        <f t="shared" si="7"/>
        <v>0</v>
      </c>
      <c r="Y68" s="5">
        <f t="shared" si="7"/>
        <v>6</v>
      </c>
      <c r="Z68" s="5">
        <f t="shared" si="7"/>
        <v>218.464</v>
      </c>
      <c r="AA68" s="5">
        <f t="shared" si="7"/>
        <v>0</v>
      </c>
      <c r="AB68" s="5">
        <f t="shared" si="7"/>
        <v>0</v>
      </c>
      <c r="AC68" s="5">
        <f t="shared" si="7"/>
        <v>0</v>
      </c>
    </row>
    <row r="69" spans="1:29" x14ac:dyDescent="0.55000000000000004">
      <c r="C69" t="s">
        <v>35</v>
      </c>
      <c r="D69" s="5">
        <f>SUM(D42,D53,D64)/1000</f>
        <v>0</v>
      </c>
      <c r="E69" s="5">
        <f t="shared" ref="E69:AC69" si="8">SUM(E42,E53,E64)/1000</f>
        <v>8.0410000000000004</v>
      </c>
      <c r="F69" s="5">
        <f t="shared" si="8"/>
        <v>15.125</v>
      </c>
      <c r="G69" s="5">
        <f t="shared" si="8"/>
        <v>162.518</v>
      </c>
      <c r="H69" s="5">
        <f t="shared" si="8"/>
        <v>105.893</v>
      </c>
      <c r="I69" s="5">
        <f t="shared" si="8"/>
        <v>72.698999999999998</v>
      </c>
      <c r="J69" s="5">
        <f t="shared" si="8"/>
        <v>60.7395</v>
      </c>
      <c r="K69" s="5">
        <f t="shared" si="8"/>
        <v>81.272000000000006</v>
      </c>
      <c r="L69" s="5">
        <f t="shared" si="8"/>
        <v>5.3959999999999999</v>
      </c>
      <c r="M69" s="5">
        <f t="shared" si="8"/>
        <v>83.114000000000004</v>
      </c>
      <c r="N69" s="5">
        <f t="shared" si="8"/>
        <v>74.841999999999999</v>
      </c>
      <c r="O69" s="5">
        <f t="shared" si="8"/>
        <v>0</v>
      </c>
      <c r="P69" s="5">
        <f t="shared" si="8"/>
        <v>36.691000000000003</v>
      </c>
      <c r="Q69" s="5">
        <f t="shared" si="8"/>
        <v>19.2</v>
      </c>
      <c r="R69" s="5">
        <f t="shared" si="8"/>
        <v>3.3780000000000001</v>
      </c>
      <c r="S69" s="5">
        <f t="shared" si="8"/>
        <v>169.19</v>
      </c>
      <c r="T69" s="5">
        <f t="shared" si="8"/>
        <v>0</v>
      </c>
      <c r="U69" s="5">
        <f t="shared" si="8"/>
        <v>48.787999999999997</v>
      </c>
      <c r="V69" s="5">
        <f t="shared" si="8"/>
        <v>0</v>
      </c>
      <c r="W69" s="5">
        <f t="shared" si="8"/>
        <v>99.783000000000001</v>
      </c>
      <c r="X69" s="5">
        <f t="shared" si="8"/>
        <v>65.894999999999996</v>
      </c>
      <c r="Y69" s="5">
        <f t="shared" si="8"/>
        <v>14.4</v>
      </c>
      <c r="Z69" s="5">
        <f t="shared" si="8"/>
        <v>231.501</v>
      </c>
      <c r="AA69" s="5">
        <f t="shared" si="8"/>
        <v>28.248000000000001</v>
      </c>
      <c r="AB69" s="5">
        <f t="shared" si="8"/>
        <v>0</v>
      </c>
      <c r="AC69" s="5">
        <f t="shared" si="8"/>
        <v>0</v>
      </c>
    </row>
    <row r="70" spans="1:29" x14ac:dyDescent="0.55000000000000004"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</row>
    <row r="71" spans="1:29" x14ac:dyDescent="0.55000000000000004">
      <c r="B71">
        <v>15</v>
      </c>
      <c r="C71" t="s">
        <v>56</v>
      </c>
      <c r="D71" s="5">
        <f>SUM(D39:D40)/1000</f>
        <v>0</v>
      </c>
      <c r="E71" s="5">
        <f t="shared" ref="E71:AC71" si="9">SUM(E39:E40)/1000</f>
        <v>0</v>
      </c>
      <c r="F71" s="5">
        <f t="shared" si="9"/>
        <v>0</v>
      </c>
      <c r="G71" s="5">
        <f t="shared" si="9"/>
        <v>397.06</v>
      </c>
      <c r="H71" s="5">
        <f t="shared" si="9"/>
        <v>23.045999999999999</v>
      </c>
      <c r="I71" s="5">
        <f t="shared" si="9"/>
        <v>0</v>
      </c>
      <c r="J71" s="5">
        <f t="shared" si="9"/>
        <v>143.04249999999999</v>
      </c>
      <c r="K71" s="5">
        <f t="shared" si="9"/>
        <v>581.84400000000005</v>
      </c>
      <c r="L71" s="5">
        <f t="shared" si="9"/>
        <v>18.3</v>
      </c>
      <c r="M71" s="5">
        <f t="shared" si="9"/>
        <v>82.28</v>
      </c>
      <c r="N71" s="5">
        <f t="shared" si="9"/>
        <v>30.56</v>
      </c>
      <c r="O71" s="5">
        <f t="shared" si="9"/>
        <v>0</v>
      </c>
      <c r="P71" s="5">
        <f t="shared" si="9"/>
        <v>5.46</v>
      </c>
      <c r="Q71" s="5">
        <f t="shared" si="9"/>
        <v>0</v>
      </c>
      <c r="R71" s="5">
        <f t="shared" si="9"/>
        <v>12</v>
      </c>
      <c r="S71" s="5">
        <f t="shared" si="9"/>
        <v>236.89099999999999</v>
      </c>
      <c r="T71" s="5">
        <f t="shared" si="9"/>
        <v>0</v>
      </c>
      <c r="U71" s="5">
        <f t="shared" si="9"/>
        <v>30.46</v>
      </c>
      <c r="V71" s="5">
        <f t="shared" si="9"/>
        <v>0</v>
      </c>
      <c r="W71" s="5">
        <f t="shared" si="9"/>
        <v>186.5</v>
      </c>
      <c r="X71" s="5">
        <f t="shared" si="9"/>
        <v>34.198</v>
      </c>
      <c r="Y71" s="5">
        <f t="shared" si="9"/>
        <v>3</v>
      </c>
      <c r="Z71" s="5">
        <f t="shared" si="9"/>
        <v>126.4</v>
      </c>
      <c r="AA71" s="5">
        <f t="shared" si="9"/>
        <v>140.53299999999999</v>
      </c>
      <c r="AB71" s="5">
        <f t="shared" si="9"/>
        <v>0</v>
      </c>
      <c r="AC71" s="5">
        <f t="shared" si="9"/>
        <v>0</v>
      </c>
    </row>
    <row r="72" spans="1:29" x14ac:dyDescent="0.55000000000000004">
      <c r="B72">
        <v>16</v>
      </c>
      <c r="C72" t="s">
        <v>58</v>
      </c>
      <c r="D72" s="5">
        <f>SUM(D50:D51)/1000</f>
        <v>0</v>
      </c>
      <c r="E72" s="5">
        <f t="shared" ref="E72:AC72" si="10">SUM(E50:E51)/1000</f>
        <v>0</v>
      </c>
      <c r="F72" s="5">
        <f t="shared" si="10"/>
        <v>0</v>
      </c>
      <c r="G72" s="5">
        <f t="shared" si="10"/>
        <v>102.49</v>
      </c>
      <c r="H72" s="5">
        <f t="shared" si="10"/>
        <v>0</v>
      </c>
      <c r="I72" s="5">
        <f t="shared" si="10"/>
        <v>0</v>
      </c>
      <c r="J72" s="5">
        <f t="shared" si="10"/>
        <v>53.255000000000003</v>
      </c>
      <c r="K72" s="5">
        <f t="shared" si="10"/>
        <v>0</v>
      </c>
      <c r="L72" s="5">
        <f t="shared" si="10"/>
        <v>0</v>
      </c>
      <c r="M72" s="5">
        <f t="shared" si="10"/>
        <v>112.816</v>
      </c>
      <c r="N72" s="5">
        <f t="shared" si="10"/>
        <v>12.05</v>
      </c>
      <c r="O72" s="5">
        <f t="shared" si="10"/>
        <v>0</v>
      </c>
      <c r="P72" s="5">
        <f t="shared" si="10"/>
        <v>0</v>
      </c>
      <c r="Q72" s="5">
        <f t="shared" si="10"/>
        <v>5.73</v>
      </c>
      <c r="R72" s="5">
        <f t="shared" si="10"/>
        <v>12</v>
      </c>
      <c r="S72" s="5">
        <f t="shared" si="10"/>
        <v>42.634</v>
      </c>
      <c r="T72" s="5">
        <f t="shared" si="10"/>
        <v>0</v>
      </c>
      <c r="U72" s="5">
        <f t="shared" si="10"/>
        <v>3.04</v>
      </c>
      <c r="V72" s="5">
        <f t="shared" si="10"/>
        <v>0</v>
      </c>
      <c r="W72" s="5">
        <f t="shared" si="10"/>
        <v>55.451000000000001</v>
      </c>
      <c r="X72" s="5">
        <f t="shared" si="10"/>
        <v>5</v>
      </c>
      <c r="Y72" s="5">
        <f t="shared" si="10"/>
        <v>11</v>
      </c>
      <c r="Z72" s="5">
        <f t="shared" si="10"/>
        <v>6</v>
      </c>
      <c r="AA72" s="5">
        <f t="shared" si="10"/>
        <v>37.764000000000003</v>
      </c>
      <c r="AB72" s="5">
        <f t="shared" si="10"/>
        <v>0</v>
      </c>
      <c r="AC72" s="5">
        <f t="shared" si="10"/>
        <v>0</v>
      </c>
    </row>
    <row r="73" spans="1:29" x14ac:dyDescent="0.55000000000000004">
      <c r="B73">
        <v>17</v>
      </c>
      <c r="C73" t="s">
        <v>57</v>
      </c>
      <c r="D73" s="5">
        <f>SUM(D61:D62)/1000</f>
        <v>0</v>
      </c>
      <c r="E73" s="5">
        <f t="shared" ref="E73:AC73" si="11">SUM(E61:E62)/1000</f>
        <v>0</v>
      </c>
      <c r="F73" s="5">
        <f t="shared" si="11"/>
        <v>0</v>
      </c>
      <c r="G73" s="5">
        <f t="shared" si="11"/>
        <v>21.86</v>
      </c>
      <c r="H73" s="5">
        <f t="shared" si="11"/>
        <v>0</v>
      </c>
      <c r="I73" s="5">
        <f t="shared" si="11"/>
        <v>0</v>
      </c>
      <c r="J73" s="5">
        <f t="shared" si="11"/>
        <v>0</v>
      </c>
      <c r="K73" s="5">
        <f t="shared" si="11"/>
        <v>0</v>
      </c>
      <c r="L73" s="5">
        <f t="shared" si="11"/>
        <v>0</v>
      </c>
      <c r="M73" s="5">
        <f t="shared" si="11"/>
        <v>18.074999999999999</v>
      </c>
      <c r="N73" s="5">
        <f t="shared" si="11"/>
        <v>0</v>
      </c>
      <c r="O73" s="5">
        <f t="shared" si="11"/>
        <v>0</v>
      </c>
      <c r="P73" s="5">
        <f t="shared" si="11"/>
        <v>0</v>
      </c>
      <c r="Q73" s="5">
        <f t="shared" si="11"/>
        <v>0</v>
      </c>
      <c r="R73" s="5">
        <f t="shared" si="11"/>
        <v>0</v>
      </c>
      <c r="S73" s="5">
        <f t="shared" si="11"/>
        <v>0</v>
      </c>
      <c r="T73" s="5">
        <f t="shared" si="11"/>
        <v>0</v>
      </c>
      <c r="U73" s="5">
        <f t="shared" si="11"/>
        <v>0</v>
      </c>
      <c r="V73" s="5">
        <f t="shared" si="11"/>
        <v>0</v>
      </c>
      <c r="W73" s="5">
        <f t="shared" si="11"/>
        <v>0</v>
      </c>
      <c r="X73" s="5">
        <f t="shared" si="11"/>
        <v>0</v>
      </c>
      <c r="Y73" s="5">
        <f t="shared" si="11"/>
        <v>13</v>
      </c>
      <c r="Z73" s="5">
        <f t="shared" si="11"/>
        <v>0</v>
      </c>
      <c r="AA73" s="5">
        <f t="shared" si="11"/>
        <v>0</v>
      </c>
      <c r="AB73" s="5">
        <f t="shared" si="11"/>
        <v>0</v>
      </c>
      <c r="AC73" s="5">
        <f t="shared" si="11"/>
        <v>0</v>
      </c>
    </row>
    <row r="74" spans="1:29" x14ac:dyDescent="0.55000000000000004"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 spans="1:29" x14ac:dyDescent="0.55000000000000004">
      <c r="C75" t="s">
        <v>43</v>
      </c>
      <c r="D75" s="11">
        <f>SUM(D36:D43,D47:D54,D58:D65)/1000</f>
        <v>0</v>
      </c>
      <c r="E75" s="11">
        <f t="shared" ref="E75:AC75" si="12">SUM(E36:E43,E47:E54,E58:E65)/1000</f>
        <v>12.041</v>
      </c>
      <c r="F75" s="11">
        <f t="shared" si="12"/>
        <v>37.234999999999999</v>
      </c>
      <c r="G75" s="11">
        <f t="shared" si="12"/>
        <v>971.68799999999999</v>
      </c>
      <c r="H75" s="11">
        <f t="shared" si="12"/>
        <v>240.06399999999999</v>
      </c>
      <c r="I75" s="11">
        <f t="shared" si="12"/>
        <v>86.058999999999997</v>
      </c>
      <c r="J75" s="11">
        <f t="shared" si="12"/>
        <v>598.29499999999996</v>
      </c>
      <c r="K75" s="11">
        <f t="shared" si="12"/>
        <v>670.31550000000004</v>
      </c>
      <c r="L75" s="11">
        <f t="shared" si="12"/>
        <v>25.295999999999999</v>
      </c>
      <c r="M75" s="11">
        <f t="shared" si="12"/>
        <v>409.78500000000003</v>
      </c>
      <c r="N75" s="11">
        <f t="shared" si="12"/>
        <v>201.58199999999999</v>
      </c>
      <c r="O75" s="11">
        <f t="shared" si="12"/>
        <v>0</v>
      </c>
      <c r="P75" s="11">
        <f t="shared" si="12"/>
        <v>109.3</v>
      </c>
      <c r="Q75" s="11">
        <f t="shared" si="12"/>
        <v>24.93</v>
      </c>
      <c r="R75" s="11">
        <f t="shared" si="12"/>
        <v>62.578000000000003</v>
      </c>
      <c r="S75" s="11">
        <f t="shared" si="12"/>
        <v>467.78699999999998</v>
      </c>
      <c r="T75" s="11">
        <f t="shared" si="12"/>
        <v>0</v>
      </c>
      <c r="U75" s="11">
        <f t="shared" si="12"/>
        <v>113.86799999999999</v>
      </c>
      <c r="V75" s="11">
        <f t="shared" si="12"/>
        <v>0</v>
      </c>
      <c r="W75" s="11">
        <f t="shared" si="12"/>
        <v>394.24599999999998</v>
      </c>
      <c r="X75" s="11">
        <f t="shared" si="12"/>
        <v>135.74299999999999</v>
      </c>
      <c r="Y75" s="11">
        <f t="shared" si="12"/>
        <v>79.400000000000006</v>
      </c>
      <c r="Z75" s="11">
        <f t="shared" si="12"/>
        <v>582.36500000000001</v>
      </c>
      <c r="AA75" s="11">
        <f t="shared" si="12"/>
        <v>216.285</v>
      </c>
      <c r="AB75" s="11">
        <f t="shared" si="12"/>
        <v>0</v>
      </c>
      <c r="AC75" s="11">
        <f t="shared" si="12"/>
        <v>0</v>
      </c>
    </row>
    <row r="77" spans="1:29" x14ac:dyDescent="0.55000000000000004">
      <c r="A77" s="9" t="s">
        <v>46</v>
      </c>
      <c r="B77" s="9" t="s">
        <v>47</v>
      </c>
      <c r="C77" s="6" t="s">
        <v>1</v>
      </c>
      <c r="D77" s="6" t="s">
        <v>2</v>
      </c>
      <c r="E77" s="6" t="s">
        <v>3</v>
      </c>
      <c r="F77" s="6" t="s">
        <v>4</v>
      </c>
      <c r="G77" s="6" t="s">
        <v>5</v>
      </c>
      <c r="H77" s="6" t="s">
        <v>6</v>
      </c>
      <c r="I77" s="6" t="s">
        <v>7</v>
      </c>
      <c r="J77" s="6" t="s">
        <v>8</v>
      </c>
      <c r="K77" s="6" t="s">
        <v>9</v>
      </c>
      <c r="L77" s="6" t="s">
        <v>10</v>
      </c>
      <c r="M77" s="6" t="s">
        <v>11</v>
      </c>
      <c r="N77" s="6" t="s">
        <v>12</v>
      </c>
      <c r="O77" s="6" t="s">
        <v>13</v>
      </c>
      <c r="P77" s="6" t="s">
        <v>14</v>
      </c>
      <c r="Q77" s="6" t="s">
        <v>15</v>
      </c>
      <c r="R77" s="6" t="s">
        <v>16</v>
      </c>
      <c r="S77" s="6" t="s">
        <v>17</v>
      </c>
      <c r="T77" s="6" t="s">
        <v>18</v>
      </c>
      <c r="U77" s="6" t="s">
        <v>19</v>
      </c>
      <c r="V77" s="6" t="s">
        <v>20</v>
      </c>
      <c r="W77" s="6" t="s">
        <v>21</v>
      </c>
      <c r="X77" s="6" t="s">
        <v>22</v>
      </c>
      <c r="Y77" s="6" t="s">
        <v>23</v>
      </c>
      <c r="Z77" s="6" t="s">
        <v>24</v>
      </c>
      <c r="AA77" s="6" t="s">
        <v>25</v>
      </c>
      <c r="AB77" s="6" t="s">
        <v>26</v>
      </c>
      <c r="AC77" s="6" t="s">
        <v>27</v>
      </c>
    </row>
    <row r="78" spans="1:29" x14ac:dyDescent="0.55000000000000004">
      <c r="A78" s="2" t="s">
        <v>48</v>
      </c>
      <c r="B78" s="10" t="s">
        <v>0</v>
      </c>
      <c r="C78" s="11">
        <v>218660</v>
      </c>
      <c r="D78" s="11">
        <v>0</v>
      </c>
      <c r="E78" s="11">
        <v>0</v>
      </c>
      <c r="F78" s="11">
        <v>0</v>
      </c>
      <c r="G78" s="11">
        <v>56500</v>
      </c>
      <c r="H78" s="11">
        <v>0</v>
      </c>
      <c r="I78" s="11">
        <v>14000</v>
      </c>
      <c r="J78" s="11">
        <v>0</v>
      </c>
      <c r="K78" s="11">
        <v>9000</v>
      </c>
      <c r="L78" s="11">
        <v>0</v>
      </c>
      <c r="M78" s="11">
        <v>0</v>
      </c>
      <c r="N78" s="11">
        <v>12800</v>
      </c>
      <c r="O78" s="11">
        <v>0</v>
      </c>
      <c r="P78" s="11">
        <v>34500</v>
      </c>
      <c r="Q78" s="11">
        <v>0</v>
      </c>
      <c r="R78" s="11">
        <v>0</v>
      </c>
      <c r="S78" s="11">
        <v>5000</v>
      </c>
      <c r="T78" s="11">
        <v>0</v>
      </c>
      <c r="U78" s="11">
        <v>32860</v>
      </c>
      <c r="V78" s="11">
        <v>0</v>
      </c>
      <c r="W78" s="11">
        <v>0</v>
      </c>
      <c r="X78" s="11">
        <v>0</v>
      </c>
      <c r="Y78" s="11">
        <v>18000</v>
      </c>
      <c r="Z78" s="11">
        <v>0</v>
      </c>
      <c r="AA78" s="11">
        <v>0</v>
      </c>
      <c r="AB78" s="11">
        <v>0</v>
      </c>
      <c r="AC78" s="11">
        <v>36000</v>
      </c>
    </row>
    <row r="79" spans="1:29" x14ac:dyDescent="0.55000000000000004">
      <c r="A79" s="2" t="s">
        <v>49</v>
      </c>
      <c r="B79" s="10" t="s">
        <v>0</v>
      </c>
      <c r="C79" s="11">
        <v>43180</v>
      </c>
      <c r="D79" s="11">
        <v>0</v>
      </c>
      <c r="E79" s="11">
        <v>0</v>
      </c>
      <c r="F79" s="11">
        <v>0</v>
      </c>
      <c r="G79" s="11">
        <v>4000</v>
      </c>
      <c r="H79" s="11">
        <v>0</v>
      </c>
      <c r="I79" s="11">
        <v>4000</v>
      </c>
      <c r="J79" s="11">
        <v>0</v>
      </c>
      <c r="K79" s="11">
        <v>0</v>
      </c>
      <c r="L79" s="11">
        <v>0</v>
      </c>
      <c r="M79" s="11">
        <v>0</v>
      </c>
      <c r="N79" s="11">
        <v>7080</v>
      </c>
      <c r="O79" s="11">
        <v>0</v>
      </c>
      <c r="P79" s="11">
        <v>9600</v>
      </c>
      <c r="Q79" s="11">
        <v>0</v>
      </c>
      <c r="R79" s="11">
        <v>0</v>
      </c>
      <c r="S79" s="11">
        <v>6000</v>
      </c>
      <c r="T79" s="11">
        <v>0</v>
      </c>
      <c r="U79" s="11">
        <v>0</v>
      </c>
      <c r="V79" s="11">
        <v>0</v>
      </c>
      <c r="W79" s="11">
        <v>12500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  <c r="AC79" s="11">
        <v>0</v>
      </c>
    </row>
    <row r="80" spans="1:29" x14ac:dyDescent="0.55000000000000004">
      <c r="A80" s="2" t="s">
        <v>50</v>
      </c>
      <c r="B80" s="10" t="s">
        <v>0</v>
      </c>
      <c r="C80" s="11">
        <v>1216978</v>
      </c>
      <c r="D80" s="11">
        <v>0</v>
      </c>
      <c r="E80" s="11">
        <v>171020</v>
      </c>
      <c r="F80" s="11">
        <v>10000</v>
      </c>
      <c r="G80" s="11">
        <v>0</v>
      </c>
      <c r="H80" s="11">
        <v>0</v>
      </c>
      <c r="I80" s="11">
        <v>0</v>
      </c>
      <c r="J80" s="11">
        <v>0</v>
      </c>
      <c r="K80" s="11">
        <v>0</v>
      </c>
      <c r="L80" s="11">
        <v>0</v>
      </c>
      <c r="M80" s="11">
        <v>53600</v>
      </c>
      <c r="N80" s="11">
        <v>55550</v>
      </c>
      <c r="O80" s="11">
        <v>0</v>
      </c>
      <c r="P80" s="11">
        <v>182300</v>
      </c>
      <c r="Q80" s="11">
        <v>0</v>
      </c>
      <c r="R80" s="11">
        <v>3500</v>
      </c>
      <c r="S80" s="11">
        <v>0</v>
      </c>
      <c r="T80" s="11">
        <v>0</v>
      </c>
      <c r="U80" s="11">
        <v>78300</v>
      </c>
      <c r="V80" s="11">
        <v>81060</v>
      </c>
      <c r="W80" s="11">
        <v>31000</v>
      </c>
      <c r="X80" s="11">
        <v>0</v>
      </c>
      <c r="Y80" s="11">
        <v>394848</v>
      </c>
      <c r="Z80" s="11">
        <v>13950</v>
      </c>
      <c r="AA80" s="11">
        <v>25200</v>
      </c>
      <c r="AB80" s="11">
        <v>0</v>
      </c>
      <c r="AC80" s="11">
        <v>116650</v>
      </c>
    </row>
    <row r="81" spans="1:29" x14ac:dyDescent="0.55000000000000004">
      <c r="A81" s="2" t="s">
        <v>51</v>
      </c>
      <c r="B81" s="10" t="s">
        <v>0</v>
      </c>
      <c r="C81" s="11">
        <v>76860</v>
      </c>
      <c r="D81" s="11">
        <v>0</v>
      </c>
      <c r="E81" s="11">
        <v>0</v>
      </c>
      <c r="F81" s="11">
        <v>22800</v>
      </c>
      <c r="G81" s="11">
        <v>0</v>
      </c>
      <c r="H81" s="11">
        <v>0</v>
      </c>
      <c r="I81" s="11">
        <v>0</v>
      </c>
      <c r="J81" s="11">
        <v>0</v>
      </c>
      <c r="K81" s="11">
        <v>0</v>
      </c>
      <c r="L81" s="11">
        <v>0</v>
      </c>
      <c r="M81" s="11">
        <v>0</v>
      </c>
      <c r="N81" s="11">
        <v>14060</v>
      </c>
      <c r="O81" s="11">
        <v>0</v>
      </c>
      <c r="P81" s="11">
        <v>14000</v>
      </c>
      <c r="Q81" s="11">
        <v>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11">
        <v>26000</v>
      </c>
      <c r="X81" s="11">
        <v>0</v>
      </c>
      <c r="Y81" s="11">
        <v>0</v>
      </c>
      <c r="Z81" s="11">
        <v>0</v>
      </c>
      <c r="AA81" s="11">
        <v>0</v>
      </c>
      <c r="AB81" s="11">
        <v>0</v>
      </c>
      <c r="AC81" s="11">
        <v>0</v>
      </c>
    </row>
    <row r="82" spans="1:29" x14ac:dyDescent="0.55000000000000004">
      <c r="A82" s="2" t="s">
        <v>52</v>
      </c>
      <c r="B82" s="10" t="s">
        <v>0</v>
      </c>
      <c r="C82" s="11">
        <v>5542600</v>
      </c>
      <c r="D82" s="11">
        <v>278200</v>
      </c>
      <c r="E82" s="11">
        <v>1527300</v>
      </c>
      <c r="F82" s="11">
        <v>146891</v>
      </c>
      <c r="G82" s="11">
        <v>0</v>
      </c>
      <c r="H82" s="11">
        <v>0</v>
      </c>
      <c r="I82" s="11">
        <v>0</v>
      </c>
      <c r="J82" s="11">
        <v>0</v>
      </c>
      <c r="K82" s="11">
        <v>0</v>
      </c>
      <c r="L82" s="11">
        <v>0</v>
      </c>
      <c r="M82" s="11">
        <v>489784</v>
      </c>
      <c r="N82" s="11">
        <v>89610</v>
      </c>
      <c r="O82" s="11">
        <v>0</v>
      </c>
      <c r="P82" s="11">
        <v>507734</v>
      </c>
      <c r="Q82" s="11">
        <v>0</v>
      </c>
      <c r="R82" s="11">
        <v>29000</v>
      </c>
      <c r="S82" s="11">
        <v>0</v>
      </c>
      <c r="T82" s="11">
        <v>450517</v>
      </c>
      <c r="U82" s="11">
        <v>1016340</v>
      </c>
      <c r="V82" s="11">
        <v>375055</v>
      </c>
      <c r="W82" s="11">
        <v>118602</v>
      </c>
      <c r="X82" s="11">
        <v>0</v>
      </c>
      <c r="Y82" s="11">
        <v>332417</v>
      </c>
      <c r="Z82" s="11">
        <v>31000</v>
      </c>
      <c r="AA82" s="11">
        <v>68630</v>
      </c>
      <c r="AB82" s="11">
        <v>59170</v>
      </c>
      <c r="AC82" s="11">
        <v>22350</v>
      </c>
    </row>
    <row r="83" spans="1:29" x14ac:dyDescent="0.55000000000000004">
      <c r="A83" s="2" t="s">
        <v>53</v>
      </c>
      <c r="B83" s="10" t="s">
        <v>0</v>
      </c>
      <c r="C83" s="11">
        <v>861402</v>
      </c>
      <c r="D83" s="11">
        <v>78600</v>
      </c>
      <c r="E83" s="11">
        <v>0</v>
      </c>
      <c r="F83" s="11">
        <v>60500</v>
      </c>
      <c r="G83" s="11">
        <v>0</v>
      </c>
      <c r="H83" s="11">
        <v>0</v>
      </c>
      <c r="I83" s="11">
        <v>0</v>
      </c>
      <c r="J83" s="11">
        <v>0</v>
      </c>
      <c r="K83" s="11">
        <v>0</v>
      </c>
      <c r="L83" s="11">
        <v>0</v>
      </c>
      <c r="M83" s="11">
        <v>0</v>
      </c>
      <c r="N83" s="11">
        <v>90910</v>
      </c>
      <c r="O83" s="11">
        <v>0</v>
      </c>
      <c r="P83" s="11">
        <v>15750</v>
      </c>
      <c r="Q83" s="11">
        <v>0</v>
      </c>
      <c r="R83" s="11">
        <v>0</v>
      </c>
      <c r="S83" s="11">
        <v>0</v>
      </c>
      <c r="T83" s="11">
        <v>53195</v>
      </c>
      <c r="U83" s="11">
        <v>0</v>
      </c>
      <c r="V83" s="11">
        <v>0</v>
      </c>
      <c r="W83" s="11">
        <v>439500</v>
      </c>
      <c r="X83" s="11">
        <v>0</v>
      </c>
      <c r="Y83" s="11">
        <v>114947</v>
      </c>
      <c r="Z83" s="11">
        <v>0</v>
      </c>
      <c r="AA83" s="11">
        <v>8000</v>
      </c>
      <c r="AB83" s="11">
        <v>0</v>
      </c>
      <c r="AC83" s="11">
        <v>0</v>
      </c>
    </row>
    <row r="84" spans="1:29" x14ac:dyDescent="0.55000000000000004">
      <c r="A84" s="2" t="s">
        <v>32</v>
      </c>
      <c r="B84" s="10" t="s">
        <v>0</v>
      </c>
      <c r="C84" s="11">
        <v>3338817</v>
      </c>
      <c r="D84" s="11">
        <v>0</v>
      </c>
      <c r="E84" s="11">
        <v>869620</v>
      </c>
      <c r="F84" s="11">
        <v>0</v>
      </c>
      <c r="G84" s="11">
        <v>15500</v>
      </c>
      <c r="H84" s="11">
        <v>0</v>
      </c>
      <c r="I84" s="11">
        <v>35000</v>
      </c>
      <c r="J84" s="11">
        <v>3000</v>
      </c>
      <c r="K84" s="11">
        <v>61881</v>
      </c>
      <c r="L84" s="11">
        <v>19673</v>
      </c>
      <c r="M84" s="11">
        <v>229700</v>
      </c>
      <c r="N84" s="11">
        <v>90590</v>
      </c>
      <c r="O84" s="11">
        <v>0</v>
      </c>
      <c r="P84" s="11">
        <v>118000</v>
      </c>
      <c r="Q84" s="11">
        <v>0</v>
      </c>
      <c r="R84" s="11">
        <v>0</v>
      </c>
      <c r="S84" s="11">
        <v>0</v>
      </c>
      <c r="T84" s="11">
        <v>301906</v>
      </c>
      <c r="U84" s="11">
        <v>210655</v>
      </c>
      <c r="V84" s="11">
        <v>0</v>
      </c>
      <c r="W84" s="11">
        <v>101092</v>
      </c>
      <c r="X84" s="11">
        <v>224108</v>
      </c>
      <c r="Y84" s="11">
        <v>459500</v>
      </c>
      <c r="Z84" s="11">
        <v>545592</v>
      </c>
      <c r="AA84" s="11">
        <v>4000</v>
      </c>
      <c r="AB84" s="11">
        <v>0</v>
      </c>
      <c r="AC84" s="11">
        <v>49000</v>
      </c>
    </row>
    <row r="85" spans="1:29" x14ac:dyDescent="0.55000000000000004">
      <c r="A85" s="2" t="s">
        <v>33</v>
      </c>
      <c r="B85" s="10" t="s">
        <v>0</v>
      </c>
      <c r="C85" s="11">
        <v>5829702</v>
      </c>
      <c r="D85" s="11">
        <v>202282</v>
      </c>
      <c r="E85" s="11">
        <v>449420</v>
      </c>
      <c r="F85" s="11">
        <v>0</v>
      </c>
      <c r="G85" s="11">
        <v>47000</v>
      </c>
      <c r="H85" s="11">
        <v>0</v>
      </c>
      <c r="I85" s="11">
        <v>10000</v>
      </c>
      <c r="J85" s="11">
        <v>8000</v>
      </c>
      <c r="K85" s="11">
        <v>0</v>
      </c>
      <c r="L85" s="11">
        <v>150514</v>
      </c>
      <c r="M85" s="11">
        <v>207500</v>
      </c>
      <c r="N85" s="11">
        <v>65925</v>
      </c>
      <c r="O85" s="11">
        <v>0</v>
      </c>
      <c r="P85" s="11">
        <v>1296880</v>
      </c>
      <c r="Q85" s="11">
        <v>0</v>
      </c>
      <c r="R85" s="11">
        <v>60000</v>
      </c>
      <c r="S85" s="11">
        <v>0</v>
      </c>
      <c r="T85" s="11">
        <v>560009</v>
      </c>
      <c r="U85" s="11">
        <v>736845</v>
      </c>
      <c r="V85" s="11">
        <v>261417</v>
      </c>
      <c r="W85" s="11">
        <v>534000</v>
      </c>
      <c r="X85" s="11">
        <v>40675</v>
      </c>
      <c r="Y85" s="11">
        <v>622120</v>
      </c>
      <c r="Z85" s="11">
        <v>150159</v>
      </c>
      <c r="AA85" s="11">
        <v>0</v>
      </c>
      <c r="AB85" s="11">
        <v>401816</v>
      </c>
      <c r="AC85" s="11">
        <v>25140</v>
      </c>
    </row>
    <row r="86" spans="1:29" x14ac:dyDescent="0.55000000000000004">
      <c r="A86" s="8" t="s">
        <v>35</v>
      </c>
      <c r="B86" s="10" t="s">
        <v>0</v>
      </c>
      <c r="C86" s="11">
        <v>396053.9</v>
      </c>
      <c r="D86" s="11">
        <v>0</v>
      </c>
      <c r="E86" s="11">
        <v>14900</v>
      </c>
      <c r="F86" s="11">
        <v>44243.9</v>
      </c>
      <c r="G86" s="11">
        <v>4900</v>
      </c>
      <c r="H86" s="11">
        <v>0</v>
      </c>
      <c r="I86" s="11">
        <v>0</v>
      </c>
      <c r="J86" s="11">
        <v>0</v>
      </c>
      <c r="K86" s="11">
        <v>0</v>
      </c>
      <c r="L86" s="11">
        <v>9120</v>
      </c>
      <c r="M86" s="11">
        <v>6000</v>
      </c>
      <c r="N86" s="11">
        <v>0</v>
      </c>
      <c r="O86" s="11">
        <v>3140</v>
      </c>
      <c r="P86" s="11">
        <v>114948</v>
      </c>
      <c r="Q86" s="11">
        <v>0</v>
      </c>
      <c r="R86" s="11">
        <v>0</v>
      </c>
      <c r="S86" s="11">
        <v>10330</v>
      </c>
      <c r="T86" s="11">
        <v>42750</v>
      </c>
      <c r="U86" s="11">
        <v>19680</v>
      </c>
      <c r="V86" s="11">
        <v>16382</v>
      </c>
      <c r="W86" s="11">
        <v>25893</v>
      </c>
      <c r="X86" s="11">
        <v>45457</v>
      </c>
      <c r="Y86" s="11">
        <v>12600</v>
      </c>
      <c r="Z86" s="11">
        <v>0</v>
      </c>
      <c r="AA86" s="11">
        <v>0</v>
      </c>
      <c r="AB86" s="11">
        <v>25710</v>
      </c>
      <c r="AC86" s="11">
        <v>0</v>
      </c>
    </row>
    <row r="87" spans="1:29" x14ac:dyDescent="0.55000000000000004">
      <c r="A87" s="8" t="s">
        <v>35</v>
      </c>
      <c r="B87" s="10" t="s">
        <v>0</v>
      </c>
      <c r="C87" s="11">
        <v>3107885.55</v>
      </c>
      <c r="D87" s="11">
        <v>696207</v>
      </c>
      <c r="E87" s="11">
        <v>281380</v>
      </c>
      <c r="F87" s="11">
        <v>313860.55</v>
      </c>
      <c r="G87" s="11">
        <v>27700</v>
      </c>
      <c r="H87" s="11">
        <v>0</v>
      </c>
      <c r="I87" s="11">
        <v>10700</v>
      </c>
      <c r="J87" s="11">
        <v>18000</v>
      </c>
      <c r="K87" s="11">
        <v>51280</v>
      </c>
      <c r="L87" s="11">
        <v>37193</v>
      </c>
      <c r="M87" s="11">
        <v>117748</v>
      </c>
      <c r="N87" s="11">
        <v>63216</v>
      </c>
      <c r="O87" s="11">
        <v>4110</v>
      </c>
      <c r="P87" s="11">
        <v>276364</v>
      </c>
      <c r="Q87" s="11">
        <v>0</v>
      </c>
      <c r="R87" s="11">
        <v>19378</v>
      </c>
      <c r="S87" s="11">
        <v>10835</v>
      </c>
      <c r="T87" s="11">
        <v>266550</v>
      </c>
      <c r="U87" s="11">
        <v>126620</v>
      </c>
      <c r="V87" s="11">
        <v>150720</v>
      </c>
      <c r="W87" s="11">
        <v>72576</v>
      </c>
      <c r="X87" s="11">
        <v>147972</v>
      </c>
      <c r="Y87" s="11">
        <v>268593</v>
      </c>
      <c r="Z87" s="11">
        <v>9812</v>
      </c>
      <c r="AA87" s="11">
        <v>36780</v>
      </c>
      <c r="AB87" s="11">
        <v>23471</v>
      </c>
      <c r="AC87" s="11">
        <v>76820</v>
      </c>
    </row>
    <row r="88" spans="1:29" x14ac:dyDescent="0.55000000000000004">
      <c r="A88" s="8" t="s">
        <v>35</v>
      </c>
      <c r="B88" s="10" t="s">
        <v>0</v>
      </c>
      <c r="C88" s="11">
        <v>11800</v>
      </c>
      <c r="D88" s="11">
        <v>0</v>
      </c>
      <c r="E88" s="11">
        <v>0</v>
      </c>
      <c r="F88" s="11">
        <v>0</v>
      </c>
      <c r="G88" s="11">
        <v>0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9400</v>
      </c>
      <c r="Z88" s="11">
        <v>0</v>
      </c>
      <c r="AA88" s="11">
        <v>0</v>
      </c>
      <c r="AB88" s="11">
        <v>2400</v>
      </c>
      <c r="AC88" s="11">
        <v>0</v>
      </c>
    </row>
    <row r="89" spans="1:29" x14ac:dyDescent="0.55000000000000004">
      <c r="A89" s="2" t="s">
        <v>36</v>
      </c>
      <c r="B89" s="10" t="s">
        <v>0</v>
      </c>
      <c r="C89" s="11">
        <v>312306</v>
      </c>
      <c r="D89" s="11">
        <v>0</v>
      </c>
      <c r="E89" s="11">
        <v>0</v>
      </c>
      <c r="F89" s="11">
        <v>0</v>
      </c>
      <c r="G89" s="11">
        <v>0</v>
      </c>
      <c r="H89" s="11">
        <v>0</v>
      </c>
      <c r="I89" s="11">
        <v>0</v>
      </c>
      <c r="J89" s="11">
        <v>0</v>
      </c>
      <c r="K89" s="11">
        <v>0</v>
      </c>
      <c r="L89" s="11">
        <v>0</v>
      </c>
      <c r="M89" s="11">
        <v>0</v>
      </c>
      <c r="N89" s="11">
        <v>0</v>
      </c>
      <c r="O89" s="11">
        <v>27000</v>
      </c>
      <c r="P89" s="11">
        <v>0</v>
      </c>
      <c r="Q89" s="11">
        <v>0</v>
      </c>
      <c r="R89" s="11">
        <v>0</v>
      </c>
      <c r="S89" s="11">
        <v>0</v>
      </c>
      <c r="T89" s="11">
        <v>0</v>
      </c>
      <c r="U89" s="11">
        <v>46930</v>
      </c>
      <c r="V89" s="11">
        <v>0</v>
      </c>
      <c r="W89" s="11">
        <v>6421</v>
      </c>
      <c r="X89" s="11">
        <v>0</v>
      </c>
      <c r="Y89" s="11">
        <v>0</v>
      </c>
      <c r="Z89" s="11">
        <v>0</v>
      </c>
      <c r="AA89" s="11">
        <v>0</v>
      </c>
      <c r="AB89" s="11">
        <v>231955</v>
      </c>
      <c r="AC89" s="11">
        <v>0</v>
      </c>
    </row>
    <row r="90" spans="1:29" x14ac:dyDescent="0.55000000000000004">
      <c r="A90" s="8" t="s">
        <v>54</v>
      </c>
      <c r="B90" s="10" t="s">
        <v>0</v>
      </c>
      <c r="C90" s="11">
        <v>9679185</v>
      </c>
      <c r="D90" s="11">
        <v>40800</v>
      </c>
      <c r="E90" s="11">
        <v>7816040</v>
      </c>
      <c r="F90" s="11">
        <v>0</v>
      </c>
      <c r="G90" s="11">
        <v>0</v>
      </c>
      <c r="H90" s="11">
        <v>0</v>
      </c>
      <c r="I90" s="11">
        <v>0</v>
      </c>
      <c r="J90" s="11">
        <v>0</v>
      </c>
      <c r="K90" s="11">
        <v>377233</v>
      </c>
      <c r="L90" s="11">
        <v>0</v>
      </c>
      <c r="M90" s="11">
        <v>0</v>
      </c>
      <c r="N90" s="11">
        <v>0</v>
      </c>
      <c r="O90" s="11">
        <v>0</v>
      </c>
      <c r="P90" s="11">
        <v>0</v>
      </c>
      <c r="Q90" s="11">
        <v>0</v>
      </c>
      <c r="R90" s="11">
        <v>0</v>
      </c>
      <c r="S90" s="11">
        <v>0</v>
      </c>
      <c r="T90" s="11">
        <v>973879</v>
      </c>
      <c r="U90" s="11">
        <v>88900</v>
      </c>
      <c r="V90" s="11">
        <v>0</v>
      </c>
      <c r="W90" s="11">
        <v>80733</v>
      </c>
      <c r="X90" s="11">
        <v>0</v>
      </c>
      <c r="Y90" s="11">
        <v>226600</v>
      </c>
      <c r="Z90" s="11">
        <v>0</v>
      </c>
      <c r="AA90" s="11">
        <v>75000</v>
      </c>
      <c r="AB90" s="11">
        <v>0</v>
      </c>
      <c r="AC90" s="11">
        <v>0</v>
      </c>
    </row>
    <row r="93" spans="1:29" x14ac:dyDescent="0.55000000000000004">
      <c r="A93" s="1" t="s">
        <v>28</v>
      </c>
      <c r="B93" s="1" t="s">
        <v>41</v>
      </c>
      <c r="D93" s="4" t="s">
        <v>20</v>
      </c>
      <c r="E93" s="4" t="s">
        <v>17</v>
      </c>
      <c r="F93" s="4" t="s">
        <v>16</v>
      </c>
      <c r="G93" s="4" t="s">
        <v>3</v>
      </c>
      <c r="H93" s="4" t="s">
        <v>14</v>
      </c>
      <c r="I93" s="4" t="s">
        <v>13</v>
      </c>
      <c r="J93" s="4" t="s">
        <v>11</v>
      </c>
      <c r="K93" s="4" t="s">
        <v>26</v>
      </c>
      <c r="L93" s="4" t="s">
        <v>9</v>
      </c>
      <c r="M93" s="4" t="s">
        <v>19</v>
      </c>
      <c r="N93" s="4" t="s">
        <v>27</v>
      </c>
      <c r="O93" s="4" t="s">
        <v>4</v>
      </c>
      <c r="P93" s="4" t="s">
        <v>25</v>
      </c>
      <c r="Q93" s="4" t="s">
        <v>8</v>
      </c>
      <c r="R93" s="4" t="s">
        <v>7</v>
      </c>
      <c r="S93" s="4" t="s">
        <v>18</v>
      </c>
      <c r="T93" s="4" t="s">
        <v>15</v>
      </c>
      <c r="U93" s="4" t="s">
        <v>12</v>
      </c>
      <c r="V93" s="4" t="s">
        <v>6</v>
      </c>
      <c r="W93" s="4" t="s">
        <v>21</v>
      </c>
      <c r="X93" s="4" t="s">
        <v>22</v>
      </c>
      <c r="Y93" s="4" t="s">
        <v>5</v>
      </c>
      <c r="Z93" s="4" t="s">
        <v>23</v>
      </c>
      <c r="AA93" s="4" t="s">
        <v>24</v>
      </c>
      <c r="AB93" s="4" t="s">
        <v>10</v>
      </c>
      <c r="AC93" s="4" t="s">
        <v>2</v>
      </c>
    </row>
    <row r="94" spans="1:29" x14ac:dyDescent="0.55000000000000004">
      <c r="A94" s="2" t="s">
        <v>48</v>
      </c>
      <c r="B94">
        <v>2</v>
      </c>
      <c r="D94" s="7">
        <f>HLOOKUP(D$93,$D$77:$AC$90,$B94,FALSE)</f>
        <v>0</v>
      </c>
      <c r="E94" s="7">
        <f t="shared" ref="E94:AC104" si="13">HLOOKUP(E$93,$D$77:$AC$90,$B94,FALSE)</f>
        <v>5000</v>
      </c>
      <c r="F94" s="7">
        <f t="shared" si="13"/>
        <v>0</v>
      </c>
      <c r="G94" s="7">
        <f t="shared" si="13"/>
        <v>0</v>
      </c>
      <c r="H94" s="7">
        <f t="shared" si="13"/>
        <v>34500</v>
      </c>
      <c r="I94" s="7">
        <f t="shared" si="13"/>
        <v>0</v>
      </c>
      <c r="J94" s="7">
        <f t="shared" si="13"/>
        <v>0</v>
      </c>
      <c r="K94" s="7">
        <f t="shared" si="13"/>
        <v>0</v>
      </c>
      <c r="L94" s="7">
        <f t="shared" si="13"/>
        <v>9000</v>
      </c>
      <c r="M94" s="7">
        <f t="shared" si="13"/>
        <v>32860</v>
      </c>
      <c r="N94" s="7">
        <f t="shared" si="13"/>
        <v>36000</v>
      </c>
      <c r="O94" s="7">
        <f t="shared" si="13"/>
        <v>0</v>
      </c>
      <c r="P94" s="7">
        <f t="shared" si="13"/>
        <v>0</v>
      </c>
      <c r="Q94" s="7">
        <f t="shared" si="13"/>
        <v>0</v>
      </c>
      <c r="R94" s="7">
        <f t="shared" si="13"/>
        <v>14000</v>
      </c>
      <c r="S94" s="7">
        <f t="shared" si="13"/>
        <v>0</v>
      </c>
      <c r="T94" s="7">
        <f t="shared" si="13"/>
        <v>0</v>
      </c>
      <c r="U94" s="7">
        <f t="shared" si="13"/>
        <v>12800</v>
      </c>
      <c r="V94" s="7">
        <f t="shared" si="13"/>
        <v>0</v>
      </c>
      <c r="W94" s="7">
        <f t="shared" si="13"/>
        <v>0</v>
      </c>
      <c r="X94" s="7">
        <f t="shared" si="13"/>
        <v>0</v>
      </c>
      <c r="Y94" s="7">
        <f t="shared" si="13"/>
        <v>56500</v>
      </c>
      <c r="Z94" s="7">
        <f t="shared" si="13"/>
        <v>18000</v>
      </c>
      <c r="AA94" s="7">
        <f t="shared" si="13"/>
        <v>0</v>
      </c>
      <c r="AB94" s="7">
        <f t="shared" si="13"/>
        <v>0</v>
      </c>
      <c r="AC94" s="7">
        <f t="shared" si="13"/>
        <v>0</v>
      </c>
    </row>
    <row r="95" spans="1:29" x14ac:dyDescent="0.55000000000000004">
      <c r="A95" s="2" t="s">
        <v>49</v>
      </c>
      <c r="B95">
        <v>3</v>
      </c>
      <c r="D95" s="7">
        <f t="shared" ref="D95:S106" si="14">HLOOKUP(D$93,$D$77:$AC$90,$B95,FALSE)</f>
        <v>0</v>
      </c>
      <c r="E95" s="7">
        <f t="shared" si="14"/>
        <v>6000</v>
      </c>
      <c r="F95" s="7">
        <f t="shared" si="14"/>
        <v>0</v>
      </c>
      <c r="G95" s="7">
        <f t="shared" si="14"/>
        <v>0</v>
      </c>
      <c r="H95" s="7">
        <f t="shared" si="14"/>
        <v>9600</v>
      </c>
      <c r="I95" s="7">
        <f t="shared" si="14"/>
        <v>0</v>
      </c>
      <c r="J95" s="7">
        <f t="shared" si="14"/>
        <v>0</v>
      </c>
      <c r="K95" s="7">
        <f t="shared" si="14"/>
        <v>0</v>
      </c>
      <c r="L95" s="7">
        <f t="shared" si="14"/>
        <v>0</v>
      </c>
      <c r="M95" s="7">
        <f t="shared" si="14"/>
        <v>0</v>
      </c>
      <c r="N95" s="7">
        <f t="shared" si="14"/>
        <v>0</v>
      </c>
      <c r="O95" s="7">
        <f t="shared" si="14"/>
        <v>0</v>
      </c>
      <c r="P95" s="7">
        <f t="shared" si="14"/>
        <v>0</v>
      </c>
      <c r="Q95" s="7">
        <f t="shared" si="14"/>
        <v>0</v>
      </c>
      <c r="R95" s="7">
        <f t="shared" si="14"/>
        <v>4000</v>
      </c>
      <c r="S95" s="7">
        <f t="shared" si="14"/>
        <v>0</v>
      </c>
      <c r="T95" s="7">
        <f t="shared" si="13"/>
        <v>0</v>
      </c>
      <c r="U95" s="7">
        <f t="shared" si="13"/>
        <v>7080</v>
      </c>
      <c r="V95" s="7">
        <f t="shared" si="13"/>
        <v>0</v>
      </c>
      <c r="W95" s="7">
        <f t="shared" si="13"/>
        <v>12500</v>
      </c>
      <c r="X95" s="7">
        <f t="shared" si="13"/>
        <v>0</v>
      </c>
      <c r="Y95" s="7">
        <f t="shared" si="13"/>
        <v>4000</v>
      </c>
      <c r="Z95" s="7">
        <f t="shared" si="13"/>
        <v>0</v>
      </c>
      <c r="AA95" s="7">
        <f t="shared" si="13"/>
        <v>0</v>
      </c>
      <c r="AB95" s="7">
        <f t="shared" si="13"/>
        <v>0</v>
      </c>
      <c r="AC95" s="7">
        <f t="shared" si="13"/>
        <v>0</v>
      </c>
    </row>
    <row r="96" spans="1:29" x14ac:dyDescent="0.55000000000000004">
      <c r="A96" s="2" t="s">
        <v>50</v>
      </c>
      <c r="B96">
        <v>4</v>
      </c>
      <c r="D96" s="7">
        <f t="shared" si="14"/>
        <v>81060</v>
      </c>
      <c r="E96" s="7">
        <f t="shared" si="13"/>
        <v>0</v>
      </c>
      <c r="F96" s="7">
        <f t="shared" si="13"/>
        <v>3500</v>
      </c>
      <c r="G96" s="7">
        <f t="shared" si="13"/>
        <v>171020</v>
      </c>
      <c r="H96" s="7">
        <f t="shared" si="13"/>
        <v>182300</v>
      </c>
      <c r="I96" s="7">
        <f t="shared" si="13"/>
        <v>0</v>
      </c>
      <c r="J96" s="7">
        <f t="shared" si="13"/>
        <v>53600</v>
      </c>
      <c r="K96" s="7">
        <f t="shared" si="13"/>
        <v>0</v>
      </c>
      <c r="L96" s="7">
        <f t="shared" si="13"/>
        <v>0</v>
      </c>
      <c r="M96" s="7">
        <f t="shared" si="13"/>
        <v>78300</v>
      </c>
      <c r="N96" s="7">
        <f t="shared" si="13"/>
        <v>116650</v>
      </c>
      <c r="O96" s="7">
        <f t="shared" si="13"/>
        <v>10000</v>
      </c>
      <c r="P96" s="7">
        <f t="shared" si="13"/>
        <v>25200</v>
      </c>
      <c r="Q96" s="7">
        <f t="shared" si="13"/>
        <v>0</v>
      </c>
      <c r="R96" s="7">
        <f t="shared" si="13"/>
        <v>0</v>
      </c>
      <c r="S96" s="7">
        <f t="shared" si="13"/>
        <v>0</v>
      </c>
      <c r="T96" s="7">
        <f t="shared" si="13"/>
        <v>0</v>
      </c>
      <c r="U96" s="7">
        <f t="shared" si="13"/>
        <v>55550</v>
      </c>
      <c r="V96" s="7">
        <f t="shared" si="13"/>
        <v>0</v>
      </c>
      <c r="W96" s="7">
        <f t="shared" si="13"/>
        <v>31000</v>
      </c>
      <c r="X96" s="7">
        <f t="shared" si="13"/>
        <v>0</v>
      </c>
      <c r="Y96" s="7">
        <f t="shared" si="13"/>
        <v>0</v>
      </c>
      <c r="Z96" s="7">
        <f t="shared" si="13"/>
        <v>394848</v>
      </c>
      <c r="AA96" s="7">
        <f t="shared" si="13"/>
        <v>13950</v>
      </c>
      <c r="AB96" s="7">
        <f t="shared" si="13"/>
        <v>0</v>
      </c>
      <c r="AC96" s="7">
        <f t="shared" si="13"/>
        <v>0</v>
      </c>
    </row>
    <row r="97" spans="1:29" x14ac:dyDescent="0.55000000000000004">
      <c r="A97" s="2" t="s">
        <v>51</v>
      </c>
      <c r="B97">
        <v>5</v>
      </c>
      <c r="D97" s="7">
        <f t="shared" si="14"/>
        <v>0</v>
      </c>
      <c r="E97" s="7">
        <f t="shared" si="13"/>
        <v>0</v>
      </c>
      <c r="F97" s="7">
        <f t="shared" si="13"/>
        <v>0</v>
      </c>
      <c r="G97" s="7">
        <f t="shared" si="13"/>
        <v>0</v>
      </c>
      <c r="H97" s="7">
        <f t="shared" si="13"/>
        <v>14000</v>
      </c>
      <c r="I97" s="7">
        <f t="shared" si="13"/>
        <v>0</v>
      </c>
      <c r="J97" s="7">
        <f t="shared" si="13"/>
        <v>0</v>
      </c>
      <c r="K97" s="7">
        <f t="shared" si="13"/>
        <v>0</v>
      </c>
      <c r="L97" s="7">
        <f t="shared" si="13"/>
        <v>0</v>
      </c>
      <c r="M97" s="7">
        <f t="shared" si="13"/>
        <v>0</v>
      </c>
      <c r="N97" s="7">
        <f t="shared" si="13"/>
        <v>0</v>
      </c>
      <c r="O97" s="7">
        <f t="shared" si="13"/>
        <v>22800</v>
      </c>
      <c r="P97" s="7">
        <f t="shared" si="13"/>
        <v>0</v>
      </c>
      <c r="Q97" s="7">
        <f t="shared" si="13"/>
        <v>0</v>
      </c>
      <c r="R97" s="7">
        <f t="shared" si="13"/>
        <v>0</v>
      </c>
      <c r="S97" s="7">
        <f t="shared" si="13"/>
        <v>0</v>
      </c>
      <c r="T97" s="7">
        <f t="shared" si="13"/>
        <v>0</v>
      </c>
      <c r="U97" s="7">
        <f t="shared" si="13"/>
        <v>14060</v>
      </c>
      <c r="V97" s="7">
        <f t="shared" si="13"/>
        <v>0</v>
      </c>
      <c r="W97" s="7">
        <f t="shared" si="13"/>
        <v>26000</v>
      </c>
      <c r="X97" s="7">
        <f t="shared" si="13"/>
        <v>0</v>
      </c>
      <c r="Y97" s="7">
        <f t="shared" si="13"/>
        <v>0</v>
      </c>
      <c r="Z97" s="7">
        <f t="shared" si="13"/>
        <v>0</v>
      </c>
      <c r="AA97" s="7">
        <f t="shared" si="13"/>
        <v>0</v>
      </c>
      <c r="AB97" s="7">
        <f t="shared" si="13"/>
        <v>0</v>
      </c>
      <c r="AC97" s="7">
        <f t="shared" si="13"/>
        <v>0</v>
      </c>
    </row>
    <row r="98" spans="1:29" x14ac:dyDescent="0.55000000000000004">
      <c r="A98" s="2" t="s">
        <v>52</v>
      </c>
      <c r="B98">
        <v>6</v>
      </c>
      <c r="D98" s="7">
        <f t="shared" si="14"/>
        <v>375055</v>
      </c>
      <c r="E98" s="7">
        <f t="shared" si="13"/>
        <v>0</v>
      </c>
      <c r="F98" s="7">
        <f t="shared" si="13"/>
        <v>29000</v>
      </c>
      <c r="G98" s="7">
        <f t="shared" si="13"/>
        <v>1527300</v>
      </c>
      <c r="H98" s="7">
        <f t="shared" si="13"/>
        <v>507734</v>
      </c>
      <c r="I98" s="7">
        <f t="shared" si="13"/>
        <v>0</v>
      </c>
      <c r="J98" s="7">
        <f t="shared" si="13"/>
        <v>489784</v>
      </c>
      <c r="K98" s="7">
        <f t="shared" si="13"/>
        <v>59170</v>
      </c>
      <c r="L98" s="7">
        <f t="shared" si="13"/>
        <v>0</v>
      </c>
      <c r="M98" s="7">
        <f t="shared" si="13"/>
        <v>1016340</v>
      </c>
      <c r="N98" s="7">
        <f t="shared" si="13"/>
        <v>22350</v>
      </c>
      <c r="O98" s="7">
        <f t="shared" si="13"/>
        <v>146891</v>
      </c>
      <c r="P98" s="7">
        <f t="shared" si="13"/>
        <v>68630</v>
      </c>
      <c r="Q98" s="7">
        <f t="shared" si="13"/>
        <v>0</v>
      </c>
      <c r="R98" s="7">
        <f t="shared" si="13"/>
        <v>0</v>
      </c>
      <c r="S98" s="7">
        <f t="shared" si="13"/>
        <v>450517</v>
      </c>
      <c r="T98" s="7">
        <f t="shared" si="13"/>
        <v>0</v>
      </c>
      <c r="U98" s="7">
        <f t="shared" si="13"/>
        <v>89610</v>
      </c>
      <c r="V98" s="7">
        <f t="shared" si="13"/>
        <v>0</v>
      </c>
      <c r="W98" s="7">
        <f t="shared" si="13"/>
        <v>118602</v>
      </c>
      <c r="X98" s="7">
        <f t="shared" si="13"/>
        <v>0</v>
      </c>
      <c r="Y98" s="7">
        <f t="shared" si="13"/>
        <v>0</v>
      </c>
      <c r="Z98" s="7">
        <f t="shared" si="13"/>
        <v>332417</v>
      </c>
      <c r="AA98" s="7">
        <f t="shared" si="13"/>
        <v>31000</v>
      </c>
      <c r="AB98" s="7">
        <f t="shared" si="13"/>
        <v>0</v>
      </c>
      <c r="AC98" s="7">
        <f t="shared" si="13"/>
        <v>278200</v>
      </c>
    </row>
    <row r="99" spans="1:29" x14ac:dyDescent="0.55000000000000004">
      <c r="A99" s="2" t="s">
        <v>53</v>
      </c>
      <c r="B99">
        <v>7</v>
      </c>
      <c r="D99" s="7">
        <f t="shared" si="14"/>
        <v>0</v>
      </c>
      <c r="E99" s="7">
        <f t="shared" si="13"/>
        <v>0</v>
      </c>
      <c r="F99" s="7">
        <f t="shared" si="13"/>
        <v>0</v>
      </c>
      <c r="G99" s="7">
        <f t="shared" si="13"/>
        <v>0</v>
      </c>
      <c r="H99" s="7">
        <f t="shared" si="13"/>
        <v>15750</v>
      </c>
      <c r="I99" s="7">
        <f t="shared" si="13"/>
        <v>0</v>
      </c>
      <c r="J99" s="7">
        <f t="shared" si="13"/>
        <v>0</v>
      </c>
      <c r="K99" s="7">
        <f t="shared" si="13"/>
        <v>0</v>
      </c>
      <c r="L99" s="7">
        <f t="shared" si="13"/>
        <v>0</v>
      </c>
      <c r="M99" s="7">
        <f t="shared" si="13"/>
        <v>0</v>
      </c>
      <c r="N99" s="7">
        <f t="shared" si="13"/>
        <v>0</v>
      </c>
      <c r="O99" s="7">
        <f t="shared" si="13"/>
        <v>60500</v>
      </c>
      <c r="P99" s="7">
        <f t="shared" si="13"/>
        <v>8000</v>
      </c>
      <c r="Q99" s="7">
        <f t="shared" si="13"/>
        <v>0</v>
      </c>
      <c r="R99" s="7">
        <f t="shared" si="13"/>
        <v>0</v>
      </c>
      <c r="S99" s="7">
        <f t="shared" si="13"/>
        <v>53195</v>
      </c>
      <c r="T99" s="7">
        <f t="shared" si="13"/>
        <v>0</v>
      </c>
      <c r="U99" s="7">
        <f t="shared" si="13"/>
        <v>90910</v>
      </c>
      <c r="V99" s="7">
        <f t="shared" si="13"/>
        <v>0</v>
      </c>
      <c r="W99" s="7">
        <f t="shared" si="13"/>
        <v>439500</v>
      </c>
      <c r="X99" s="7">
        <f t="shared" si="13"/>
        <v>0</v>
      </c>
      <c r="Y99" s="7">
        <f t="shared" si="13"/>
        <v>0</v>
      </c>
      <c r="Z99" s="7">
        <f t="shared" si="13"/>
        <v>114947</v>
      </c>
      <c r="AA99" s="7">
        <f t="shared" si="13"/>
        <v>0</v>
      </c>
      <c r="AB99" s="7">
        <f t="shared" si="13"/>
        <v>0</v>
      </c>
      <c r="AC99" s="7">
        <f t="shared" si="13"/>
        <v>78600</v>
      </c>
    </row>
    <row r="100" spans="1:29" x14ac:dyDescent="0.55000000000000004">
      <c r="A100" s="2" t="s">
        <v>32</v>
      </c>
      <c r="B100">
        <v>8</v>
      </c>
      <c r="D100" s="7">
        <f t="shared" si="14"/>
        <v>0</v>
      </c>
      <c r="E100" s="7">
        <f t="shared" si="13"/>
        <v>0</v>
      </c>
      <c r="F100" s="7">
        <f t="shared" si="13"/>
        <v>0</v>
      </c>
      <c r="G100" s="7">
        <f t="shared" si="13"/>
        <v>869620</v>
      </c>
      <c r="H100" s="7">
        <f t="shared" si="13"/>
        <v>118000</v>
      </c>
      <c r="I100" s="7">
        <f t="shared" si="13"/>
        <v>0</v>
      </c>
      <c r="J100" s="7">
        <f t="shared" si="13"/>
        <v>229700</v>
      </c>
      <c r="K100" s="7">
        <f t="shared" si="13"/>
        <v>0</v>
      </c>
      <c r="L100" s="7">
        <f t="shared" si="13"/>
        <v>61881</v>
      </c>
      <c r="M100" s="7">
        <f t="shared" si="13"/>
        <v>210655</v>
      </c>
      <c r="N100" s="7">
        <f t="shared" si="13"/>
        <v>49000</v>
      </c>
      <c r="O100" s="7">
        <f t="shared" si="13"/>
        <v>0</v>
      </c>
      <c r="P100" s="7">
        <f t="shared" si="13"/>
        <v>4000</v>
      </c>
      <c r="Q100" s="7">
        <f t="shared" si="13"/>
        <v>3000</v>
      </c>
      <c r="R100" s="7">
        <f t="shared" si="13"/>
        <v>35000</v>
      </c>
      <c r="S100" s="7">
        <f t="shared" si="13"/>
        <v>301906</v>
      </c>
      <c r="T100" s="7">
        <f t="shared" si="13"/>
        <v>0</v>
      </c>
      <c r="U100" s="7">
        <f t="shared" si="13"/>
        <v>90590</v>
      </c>
      <c r="V100" s="7">
        <f t="shared" si="13"/>
        <v>0</v>
      </c>
      <c r="W100" s="7">
        <f t="shared" si="13"/>
        <v>101092</v>
      </c>
      <c r="X100" s="7">
        <f t="shared" si="13"/>
        <v>224108</v>
      </c>
      <c r="Y100" s="7">
        <f t="shared" si="13"/>
        <v>15500</v>
      </c>
      <c r="Z100" s="7">
        <f t="shared" si="13"/>
        <v>459500</v>
      </c>
      <c r="AA100" s="7">
        <f t="shared" si="13"/>
        <v>545592</v>
      </c>
      <c r="AB100" s="7">
        <f t="shared" si="13"/>
        <v>19673</v>
      </c>
      <c r="AC100" s="7">
        <f t="shared" si="13"/>
        <v>0</v>
      </c>
    </row>
    <row r="101" spans="1:29" x14ac:dyDescent="0.55000000000000004">
      <c r="A101" s="2" t="s">
        <v>33</v>
      </c>
      <c r="B101">
        <v>9</v>
      </c>
      <c r="D101" s="7">
        <f t="shared" si="14"/>
        <v>261417</v>
      </c>
      <c r="E101" s="7">
        <f t="shared" si="13"/>
        <v>0</v>
      </c>
      <c r="F101" s="7">
        <f t="shared" si="13"/>
        <v>60000</v>
      </c>
      <c r="G101" s="7">
        <f t="shared" si="13"/>
        <v>449420</v>
      </c>
      <c r="H101" s="7">
        <f t="shared" si="13"/>
        <v>1296880</v>
      </c>
      <c r="I101" s="7">
        <f t="shared" si="13"/>
        <v>0</v>
      </c>
      <c r="J101" s="7">
        <f t="shared" si="13"/>
        <v>207500</v>
      </c>
      <c r="K101" s="7">
        <f t="shared" si="13"/>
        <v>401816</v>
      </c>
      <c r="L101" s="7">
        <f t="shared" si="13"/>
        <v>0</v>
      </c>
      <c r="M101" s="7">
        <f t="shared" si="13"/>
        <v>736845</v>
      </c>
      <c r="N101" s="7">
        <f t="shared" si="13"/>
        <v>25140</v>
      </c>
      <c r="O101" s="7">
        <f t="shared" si="13"/>
        <v>0</v>
      </c>
      <c r="P101" s="7">
        <f t="shared" si="13"/>
        <v>0</v>
      </c>
      <c r="Q101" s="7">
        <f t="shared" si="13"/>
        <v>8000</v>
      </c>
      <c r="R101" s="7">
        <f t="shared" si="13"/>
        <v>10000</v>
      </c>
      <c r="S101" s="7">
        <f t="shared" si="13"/>
        <v>560009</v>
      </c>
      <c r="T101" s="7">
        <f t="shared" si="13"/>
        <v>0</v>
      </c>
      <c r="U101" s="7">
        <f t="shared" si="13"/>
        <v>65925</v>
      </c>
      <c r="V101" s="7">
        <f t="shared" si="13"/>
        <v>0</v>
      </c>
      <c r="W101" s="7">
        <f t="shared" si="13"/>
        <v>534000</v>
      </c>
      <c r="X101" s="7">
        <f t="shared" si="13"/>
        <v>40675</v>
      </c>
      <c r="Y101" s="7">
        <f t="shared" si="13"/>
        <v>47000</v>
      </c>
      <c r="Z101" s="7">
        <f t="shared" si="13"/>
        <v>622120</v>
      </c>
      <c r="AA101" s="7">
        <f t="shared" si="13"/>
        <v>150159</v>
      </c>
      <c r="AB101" s="7">
        <f t="shared" si="13"/>
        <v>150514</v>
      </c>
      <c r="AC101" s="7">
        <f t="shared" si="13"/>
        <v>202282</v>
      </c>
    </row>
    <row r="102" spans="1:29" x14ac:dyDescent="0.55000000000000004">
      <c r="A102" s="8" t="s">
        <v>35</v>
      </c>
      <c r="B102">
        <v>10</v>
      </c>
      <c r="D102" s="7">
        <f t="shared" si="14"/>
        <v>16382</v>
      </c>
      <c r="E102" s="7">
        <f t="shared" si="13"/>
        <v>10330</v>
      </c>
      <c r="F102" s="7">
        <f t="shared" si="13"/>
        <v>0</v>
      </c>
      <c r="G102" s="7">
        <f t="shared" si="13"/>
        <v>14900</v>
      </c>
      <c r="H102" s="7">
        <f t="shared" si="13"/>
        <v>114948</v>
      </c>
      <c r="I102" s="7">
        <f t="shared" si="13"/>
        <v>3140</v>
      </c>
      <c r="J102" s="7">
        <f t="shared" si="13"/>
        <v>6000</v>
      </c>
      <c r="K102" s="7">
        <f t="shared" si="13"/>
        <v>25710</v>
      </c>
      <c r="L102" s="7">
        <f t="shared" si="13"/>
        <v>0</v>
      </c>
      <c r="M102" s="7">
        <f t="shared" si="13"/>
        <v>19680</v>
      </c>
      <c r="N102" s="7">
        <f t="shared" si="13"/>
        <v>0</v>
      </c>
      <c r="O102" s="7">
        <f t="shared" si="13"/>
        <v>44243.9</v>
      </c>
      <c r="P102" s="7">
        <f t="shared" si="13"/>
        <v>0</v>
      </c>
      <c r="Q102" s="7">
        <f t="shared" si="13"/>
        <v>0</v>
      </c>
      <c r="R102" s="7">
        <f t="shared" si="13"/>
        <v>0</v>
      </c>
      <c r="S102" s="7">
        <f t="shared" si="13"/>
        <v>42750</v>
      </c>
      <c r="T102" s="7">
        <f t="shared" si="13"/>
        <v>0</v>
      </c>
      <c r="U102" s="7">
        <f t="shared" si="13"/>
        <v>0</v>
      </c>
      <c r="V102" s="7">
        <f t="shared" si="13"/>
        <v>0</v>
      </c>
      <c r="W102" s="7">
        <f t="shared" si="13"/>
        <v>25893</v>
      </c>
      <c r="X102" s="7">
        <f t="shared" si="13"/>
        <v>45457</v>
      </c>
      <c r="Y102" s="7">
        <f t="shared" si="13"/>
        <v>4900</v>
      </c>
      <c r="Z102" s="7">
        <f t="shared" si="13"/>
        <v>12600</v>
      </c>
      <c r="AA102" s="7">
        <f t="shared" si="13"/>
        <v>0</v>
      </c>
      <c r="AB102" s="7">
        <f t="shared" si="13"/>
        <v>9120</v>
      </c>
      <c r="AC102" s="7">
        <f t="shared" si="13"/>
        <v>0</v>
      </c>
    </row>
    <row r="103" spans="1:29" x14ac:dyDescent="0.55000000000000004">
      <c r="A103" s="8" t="s">
        <v>35</v>
      </c>
      <c r="B103">
        <v>11</v>
      </c>
      <c r="D103" s="7">
        <f t="shared" si="14"/>
        <v>150720</v>
      </c>
      <c r="E103" s="7">
        <f t="shared" si="13"/>
        <v>10835</v>
      </c>
      <c r="F103" s="7">
        <f t="shared" si="13"/>
        <v>19378</v>
      </c>
      <c r="G103" s="7">
        <f t="shared" si="13"/>
        <v>281380</v>
      </c>
      <c r="H103" s="7">
        <f t="shared" si="13"/>
        <v>276364</v>
      </c>
      <c r="I103" s="7">
        <f t="shared" si="13"/>
        <v>4110</v>
      </c>
      <c r="J103" s="7">
        <f t="shared" si="13"/>
        <v>117748</v>
      </c>
      <c r="K103" s="7">
        <f t="shared" si="13"/>
        <v>23471</v>
      </c>
      <c r="L103" s="7">
        <f t="shared" si="13"/>
        <v>51280</v>
      </c>
      <c r="M103" s="7">
        <f t="shared" si="13"/>
        <v>126620</v>
      </c>
      <c r="N103" s="7">
        <f t="shared" si="13"/>
        <v>76820</v>
      </c>
      <c r="O103" s="7">
        <f t="shared" si="13"/>
        <v>313860.55</v>
      </c>
      <c r="P103" s="7">
        <f t="shared" si="13"/>
        <v>36780</v>
      </c>
      <c r="Q103" s="7">
        <f t="shared" si="13"/>
        <v>18000</v>
      </c>
      <c r="R103" s="7">
        <f t="shared" si="13"/>
        <v>10700</v>
      </c>
      <c r="S103" s="7">
        <f t="shared" si="13"/>
        <v>266550</v>
      </c>
      <c r="T103" s="7">
        <f t="shared" si="13"/>
        <v>0</v>
      </c>
      <c r="U103" s="7">
        <f t="shared" si="13"/>
        <v>63216</v>
      </c>
      <c r="V103" s="7">
        <f t="shared" si="13"/>
        <v>0</v>
      </c>
      <c r="W103" s="7">
        <f t="shared" si="13"/>
        <v>72576</v>
      </c>
      <c r="X103" s="7">
        <f t="shared" si="13"/>
        <v>147972</v>
      </c>
      <c r="Y103" s="7">
        <f t="shared" si="13"/>
        <v>27700</v>
      </c>
      <c r="Z103" s="7">
        <f t="shared" si="13"/>
        <v>268593</v>
      </c>
      <c r="AA103" s="7">
        <f t="shared" si="13"/>
        <v>9812</v>
      </c>
      <c r="AB103" s="7">
        <f t="shared" si="13"/>
        <v>37193</v>
      </c>
      <c r="AC103" s="7">
        <f t="shared" si="13"/>
        <v>696207</v>
      </c>
    </row>
    <row r="104" spans="1:29" x14ac:dyDescent="0.55000000000000004">
      <c r="A104" s="8" t="s">
        <v>35</v>
      </c>
      <c r="B104">
        <v>12</v>
      </c>
      <c r="D104" s="7">
        <f t="shared" si="14"/>
        <v>0</v>
      </c>
      <c r="E104" s="7">
        <f t="shared" si="13"/>
        <v>0</v>
      </c>
      <c r="F104" s="7">
        <f t="shared" si="13"/>
        <v>0</v>
      </c>
      <c r="G104" s="7">
        <f t="shared" si="13"/>
        <v>0</v>
      </c>
      <c r="H104" s="7">
        <f t="shared" si="13"/>
        <v>0</v>
      </c>
      <c r="I104" s="7">
        <f t="shared" si="13"/>
        <v>0</v>
      </c>
      <c r="J104" s="7">
        <f t="shared" si="13"/>
        <v>0</v>
      </c>
      <c r="K104" s="7">
        <f t="shared" si="13"/>
        <v>2400</v>
      </c>
      <c r="L104" s="7">
        <f t="shared" si="13"/>
        <v>0</v>
      </c>
      <c r="M104" s="7">
        <f t="shared" si="13"/>
        <v>0</v>
      </c>
      <c r="N104" s="7">
        <f t="shared" si="13"/>
        <v>0</v>
      </c>
      <c r="O104" s="7">
        <f t="shared" si="13"/>
        <v>0</v>
      </c>
      <c r="P104" s="7">
        <f t="shared" si="13"/>
        <v>0</v>
      </c>
      <c r="Q104" s="7">
        <f t="shared" si="13"/>
        <v>0</v>
      </c>
      <c r="R104" s="7">
        <f t="shared" si="13"/>
        <v>0</v>
      </c>
      <c r="S104" s="7">
        <f t="shared" si="13"/>
        <v>0</v>
      </c>
      <c r="T104" s="7">
        <f t="shared" si="13"/>
        <v>0</v>
      </c>
      <c r="U104" s="7">
        <f t="shared" si="13"/>
        <v>0</v>
      </c>
      <c r="V104" s="7">
        <f t="shared" si="13"/>
        <v>0</v>
      </c>
      <c r="W104" s="7">
        <f t="shared" si="13"/>
        <v>0</v>
      </c>
      <c r="X104" s="7">
        <f t="shared" si="13"/>
        <v>0</v>
      </c>
      <c r="Y104" s="7">
        <f t="shared" ref="Y104:AC104" si="15">HLOOKUP(Y$93,$D$77:$AC$90,$B104,FALSE)</f>
        <v>0</v>
      </c>
      <c r="Z104" s="7">
        <f t="shared" si="15"/>
        <v>9400</v>
      </c>
      <c r="AA104" s="7">
        <f t="shared" si="15"/>
        <v>0</v>
      </c>
      <c r="AB104" s="7">
        <f t="shared" si="15"/>
        <v>0</v>
      </c>
      <c r="AC104" s="7">
        <f t="shared" si="15"/>
        <v>0</v>
      </c>
    </row>
    <row r="105" spans="1:29" x14ac:dyDescent="0.55000000000000004">
      <c r="A105" s="2" t="s">
        <v>36</v>
      </c>
      <c r="B105">
        <v>13</v>
      </c>
      <c r="D105" s="7">
        <f t="shared" si="14"/>
        <v>0</v>
      </c>
      <c r="E105" s="7">
        <f t="shared" si="14"/>
        <v>0</v>
      </c>
      <c r="F105" s="7">
        <f t="shared" si="14"/>
        <v>0</v>
      </c>
      <c r="G105" s="7">
        <f t="shared" si="14"/>
        <v>0</v>
      </c>
      <c r="H105" s="7">
        <f t="shared" si="14"/>
        <v>0</v>
      </c>
      <c r="I105" s="7">
        <f t="shared" si="14"/>
        <v>27000</v>
      </c>
      <c r="J105" s="7">
        <f t="shared" si="14"/>
        <v>0</v>
      </c>
      <c r="K105" s="7">
        <f t="shared" si="14"/>
        <v>231955</v>
      </c>
      <c r="L105" s="7">
        <f t="shared" si="14"/>
        <v>0</v>
      </c>
      <c r="M105" s="7">
        <f t="shared" si="14"/>
        <v>46930</v>
      </c>
      <c r="N105" s="7">
        <f t="shared" si="14"/>
        <v>0</v>
      </c>
      <c r="O105" s="7">
        <f t="shared" si="14"/>
        <v>0</v>
      </c>
      <c r="P105" s="7">
        <f t="shared" si="14"/>
        <v>0</v>
      </c>
      <c r="Q105" s="7">
        <f t="shared" si="14"/>
        <v>0</v>
      </c>
      <c r="R105" s="7">
        <f t="shared" si="14"/>
        <v>0</v>
      </c>
      <c r="S105" s="7">
        <f t="shared" si="14"/>
        <v>0</v>
      </c>
      <c r="T105" s="7">
        <f t="shared" ref="T105:AC106" si="16">HLOOKUP(T$93,$D$77:$AC$90,$B105,FALSE)</f>
        <v>0</v>
      </c>
      <c r="U105" s="7">
        <f t="shared" si="16"/>
        <v>0</v>
      </c>
      <c r="V105" s="7">
        <f t="shared" si="16"/>
        <v>0</v>
      </c>
      <c r="W105" s="7">
        <f t="shared" si="16"/>
        <v>6421</v>
      </c>
      <c r="X105" s="7">
        <f t="shared" si="16"/>
        <v>0</v>
      </c>
      <c r="Y105" s="7">
        <f t="shared" si="16"/>
        <v>0</v>
      </c>
      <c r="Z105" s="7">
        <f t="shared" si="16"/>
        <v>0</v>
      </c>
      <c r="AA105" s="7">
        <f t="shared" si="16"/>
        <v>0</v>
      </c>
      <c r="AB105" s="7">
        <f t="shared" si="16"/>
        <v>0</v>
      </c>
      <c r="AC105" s="7">
        <f t="shared" si="16"/>
        <v>0</v>
      </c>
    </row>
    <row r="106" spans="1:29" x14ac:dyDescent="0.55000000000000004">
      <c r="A106" s="8" t="s">
        <v>54</v>
      </c>
      <c r="B106">
        <v>14</v>
      </c>
      <c r="D106" s="7">
        <f t="shared" si="14"/>
        <v>0</v>
      </c>
      <c r="E106" s="7">
        <f t="shared" si="14"/>
        <v>0</v>
      </c>
      <c r="F106" s="7">
        <f t="shared" si="14"/>
        <v>0</v>
      </c>
      <c r="G106" s="7">
        <f t="shared" si="14"/>
        <v>7816040</v>
      </c>
      <c r="H106" s="7">
        <f t="shared" si="14"/>
        <v>0</v>
      </c>
      <c r="I106" s="7">
        <f t="shared" si="14"/>
        <v>0</v>
      </c>
      <c r="J106" s="7">
        <f t="shared" si="14"/>
        <v>0</v>
      </c>
      <c r="K106" s="7">
        <f t="shared" si="14"/>
        <v>0</v>
      </c>
      <c r="L106" s="7">
        <f t="shared" si="14"/>
        <v>377233</v>
      </c>
      <c r="M106" s="7">
        <f t="shared" si="14"/>
        <v>88900</v>
      </c>
      <c r="N106" s="7">
        <f t="shared" si="14"/>
        <v>0</v>
      </c>
      <c r="O106" s="7">
        <f t="shared" si="14"/>
        <v>0</v>
      </c>
      <c r="P106" s="7">
        <f t="shared" si="14"/>
        <v>75000</v>
      </c>
      <c r="Q106" s="7">
        <f t="shared" si="14"/>
        <v>0</v>
      </c>
      <c r="R106" s="7">
        <f t="shared" si="14"/>
        <v>0</v>
      </c>
      <c r="S106" s="7">
        <f t="shared" si="14"/>
        <v>973879</v>
      </c>
      <c r="T106" s="7">
        <f t="shared" si="16"/>
        <v>0</v>
      </c>
      <c r="U106" s="7">
        <f t="shared" si="16"/>
        <v>0</v>
      </c>
      <c r="V106" s="7">
        <f t="shared" si="16"/>
        <v>0</v>
      </c>
      <c r="W106" s="7">
        <f t="shared" si="16"/>
        <v>80733</v>
      </c>
      <c r="X106" s="7">
        <f t="shared" si="16"/>
        <v>0</v>
      </c>
      <c r="Y106" s="7">
        <f t="shared" si="16"/>
        <v>0</v>
      </c>
      <c r="Z106" s="7">
        <f t="shared" si="16"/>
        <v>226600</v>
      </c>
      <c r="AA106" s="7">
        <f t="shared" si="16"/>
        <v>0</v>
      </c>
      <c r="AB106" s="7">
        <f t="shared" si="16"/>
        <v>0</v>
      </c>
      <c r="AC106" s="7">
        <f t="shared" si="16"/>
        <v>40800</v>
      </c>
    </row>
    <row r="108" spans="1:29" x14ac:dyDescent="0.55000000000000004">
      <c r="C108" t="s">
        <v>42</v>
      </c>
      <c r="D108" s="7">
        <f>SUM(D100:D101)/1000</f>
        <v>261.41699999999997</v>
      </c>
      <c r="E108" s="7">
        <f t="shared" ref="E108:AC108" si="17">SUM(E100:E101)/1000</f>
        <v>0</v>
      </c>
      <c r="F108" s="7">
        <f t="shared" si="17"/>
        <v>60</v>
      </c>
      <c r="G108" s="7">
        <f t="shared" si="17"/>
        <v>1319.04</v>
      </c>
      <c r="H108" s="7">
        <f t="shared" si="17"/>
        <v>1414.88</v>
      </c>
      <c r="I108" s="7">
        <f t="shared" si="17"/>
        <v>0</v>
      </c>
      <c r="J108" s="7">
        <f t="shared" si="17"/>
        <v>437.2</v>
      </c>
      <c r="K108" s="7">
        <f t="shared" si="17"/>
        <v>401.81599999999997</v>
      </c>
      <c r="L108" s="7">
        <f t="shared" si="17"/>
        <v>61.881</v>
      </c>
      <c r="M108" s="7">
        <f t="shared" si="17"/>
        <v>947.5</v>
      </c>
      <c r="N108" s="7">
        <f t="shared" si="17"/>
        <v>74.14</v>
      </c>
      <c r="O108" s="7">
        <f t="shared" si="17"/>
        <v>0</v>
      </c>
      <c r="P108" s="7">
        <f t="shared" si="17"/>
        <v>4</v>
      </c>
      <c r="Q108" s="7">
        <f t="shared" si="17"/>
        <v>11</v>
      </c>
      <c r="R108" s="7">
        <f t="shared" si="17"/>
        <v>45</v>
      </c>
      <c r="S108" s="7">
        <f t="shared" si="17"/>
        <v>861.91499999999996</v>
      </c>
      <c r="T108" s="7">
        <f t="shared" si="17"/>
        <v>0</v>
      </c>
      <c r="U108" s="7">
        <f t="shared" si="17"/>
        <v>156.51499999999999</v>
      </c>
      <c r="V108" s="7">
        <f t="shared" si="17"/>
        <v>0</v>
      </c>
      <c r="W108" s="7">
        <f t="shared" si="17"/>
        <v>635.09199999999998</v>
      </c>
      <c r="X108" s="7">
        <f t="shared" si="17"/>
        <v>264.78300000000002</v>
      </c>
      <c r="Y108" s="7">
        <f t="shared" si="17"/>
        <v>62.5</v>
      </c>
      <c r="Z108" s="7">
        <f t="shared" si="17"/>
        <v>1081.6199999999999</v>
      </c>
      <c r="AA108" s="7">
        <f t="shared" si="17"/>
        <v>695.75099999999998</v>
      </c>
      <c r="AB108" s="7">
        <f t="shared" si="17"/>
        <v>170.18700000000001</v>
      </c>
      <c r="AC108" s="7">
        <f t="shared" si="17"/>
        <v>202.28200000000001</v>
      </c>
    </row>
    <row r="109" spans="1:29" x14ac:dyDescent="0.55000000000000004">
      <c r="C109" t="s">
        <v>45</v>
      </c>
      <c r="D109" s="7">
        <f>SUM(D94:D97)/1000</f>
        <v>81.06</v>
      </c>
      <c r="E109" s="7">
        <f t="shared" ref="E109:AC109" si="18">SUM(E94:E97)/1000</f>
        <v>11</v>
      </c>
      <c r="F109" s="7">
        <f t="shared" si="18"/>
        <v>3.5</v>
      </c>
      <c r="G109" s="7">
        <f t="shared" si="18"/>
        <v>171.02</v>
      </c>
      <c r="H109" s="7">
        <f t="shared" si="18"/>
        <v>240.4</v>
      </c>
      <c r="I109" s="7">
        <f t="shared" si="18"/>
        <v>0</v>
      </c>
      <c r="J109" s="7">
        <f t="shared" si="18"/>
        <v>53.6</v>
      </c>
      <c r="K109" s="7">
        <f t="shared" si="18"/>
        <v>0</v>
      </c>
      <c r="L109" s="7">
        <f t="shared" si="18"/>
        <v>9</v>
      </c>
      <c r="M109" s="7">
        <f t="shared" si="18"/>
        <v>111.16</v>
      </c>
      <c r="N109" s="7">
        <f t="shared" si="18"/>
        <v>152.65</v>
      </c>
      <c r="O109" s="7">
        <f t="shared" si="18"/>
        <v>32.799999999999997</v>
      </c>
      <c r="P109" s="7">
        <f t="shared" si="18"/>
        <v>25.2</v>
      </c>
      <c r="Q109" s="7">
        <f t="shared" si="18"/>
        <v>0</v>
      </c>
      <c r="R109" s="7">
        <f t="shared" si="18"/>
        <v>18</v>
      </c>
      <c r="S109" s="7">
        <f t="shared" si="18"/>
        <v>0</v>
      </c>
      <c r="T109" s="7">
        <f t="shared" si="18"/>
        <v>0</v>
      </c>
      <c r="U109" s="7">
        <f t="shared" si="18"/>
        <v>89.49</v>
      </c>
      <c r="V109" s="7">
        <f t="shared" si="18"/>
        <v>0</v>
      </c>
      <c r="W109" s="7">
        <f t="shared" si="18"/>
        <v>69.5</v>
      </c>
      <c r="X109" s="7">
        <f t="shared" si="18"/>
        <v>0</v>
      </c>
      <c r="Y109" s="7">
        <f t="shared" si="18"/>
        <v>60.5</v>
      </c>
      <c r="Z109" s="7">
        <f t="shared" si="18"/>
        <v>412.84800000000001</v>
      </c>
      <c r="AA109" s="7">
        <f t="shared" si="18"/>
        <v>13.95</v>
      </c>
      <c r="AB109" s="7">
        <f t="shared" si="18"/>
        <v>0</v>
      </c>
      <c r="AC109" s="7">
        <f t="shared" si="18"/>
        <v>0</v>
      </c>
    </row>
    <row r="110" spans="1:29" x14ac:dyDescent="0.55000000000000004">
      <c r="C110" t="s">
        <v>35</v>
      </c>
      <c r="D110" s="7">
        <f>SUM(D102:D104)/1000</f>
        <v>167.102</v>
      </c>
      <c r="E110" s="7">
        <f t="shared" ref="E110:AC110" si="19">SUM(E102:E104)/1000</f>
        <v>21.164999999999999</v>
      </c>
      <c r="F110" s="7">
        <f t="shared" si="19"/>
        <v>19.378</v>
      </c>
      <c r="G110" s="7">
        <f t="shared" si="19"/>
        <v>296.27999999999997</v>
      </c>
      <c r="H110" s="7">
        <f t="shared" si="19"/>
        <v>391.31200000000001</v>
      </c>
      <c r="I110" s="7">
        <f t="shared" si="19"/>
        <v>7.25</v>
      </c>
      <c r="J110" s="7">
        <f t="shared" si="19"/>
        <v>123.748</v>
      </c>
      <c r="K110" s="7">
        <f t="shared" si="19"/>
        <v>51.581000000000003</v>
      </c>
      <c r="L110" s="7">
        <f t="shared" si="19"/>
        <v>51.28</v>
      </c>
      <c r="M110" s="7">
        <f t="shared" si="19"/>
        <v>146.30000000000001</v>
      </c>
      <c r="N110" s="7">
        <f t="shared" si="19"/>
        <v>76.819999999999993</v>
      </c>
      <c r="O110" s="7">
        <f t="shared" si="19"/>
        <v>358.10444999999999</v>
      </c>
      <c r="P110" s="7">
        <f t="shared" si="19"/>
        <v>36.78</v>
      </c>
      <c r="Q110" s="7">
        <f t="shared" si="19"/>
        <v>18</v>
      </c>
      <c r="R110" s="7">
        <f t="shared" si="19"/>
        <v>10.7</v>
      </c>
      <c r="S110" s="7">
        <f t="shared" si="19"/>
        <v>309.3</v>
      </c>
      <c r="T110" s="7">
        <f t="shared" si="19"/>
        <v>0</v>
      </c>
      <c r="U110" s="7">
        <f t="shared" si="19"/>
        <v>63.216000000000001</v>
      </c>
      <c r="V110" s="7">
        <f t="shared" si="19"/>
        <v>0</v>
      </c>
      <c r="W110" s="7">
        <f t="shared" si="19"/>
        <v>98.468999999999994</v>
      </c>
      <c r="X110" s="7">
        <f t="shared" si="19"/>
        <v>193.429</v>
      </c>
      <c r="Y110" s="7">
        <f t="shared" si="19"/>
        <v>32.6</v>
      </c>
      <c r="Z110" s="7">
        <f t="shared" si="19"/>
        <v>290.59300000000002</v>
      </c>
      <c r="AA110" s="7">
        <f t="shared" si="19"/>
        <v>9.8119999999999994</v>
      </c>
      <c r="AB110" s="7">
        <f t="shared" si="19"/>
        <v>46.313000000000002</v>
      </c>
      <c r="AC110" s="7">
        <f t="shared" si="19"/>
        <v>696.20699999999999</v>
      </c>
    </row>
    <row r="111" spans="1:29" x14ac:dyDescent="0.55000000000000004"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 spans="1:29" x14ac:dyDescent="0.55000000000000004">
      <c r="C112" t="s">
        <v>43</v>
      </c>
      <c r="D112" s="7">
        <f>SUM(D94:D106)/1000</f>
        <v>884.63400000000001</v>
      </c>
      <c r="E112" s="7">
        <f t="shared" ref="E112:AC112" si="20">SUM(E94:E106)/1000</f>
        <v>32.164999999999999</v>
      </c>
      <c r="F112" s="7">
        <f t="shared" si="20"/>
        <v>111.878</v>
      </c>
      <c r="G112" s="7">
        <f t="shared" si="20"/>
        <v>11129.68</v>
      </c>
      <c r="H112" s="7">
        <f t="shared" si="20"/>
        <v>2570.076</v>
      </c>
      <c r="I112" s="7">
        <f t="shared" si="20"/>
        <v>34.25</v>
      </c>
      <c r="J112" s="7">
        <f t="shared" si="20"/>
        <v>1104.3320000000001</v>
      </c>
      <c r="K112" s="7">
        <f t="shared" si="20"/>
        <v>744.52200000000005</v>
      </c>
      <c r="L112" s="7">
        <f t="shared" si="20"/>
        <v>499.39400000000001</v>
      </c>
      <c r="M112" s="7">
        <f t="shared" si="20"/>
        <v>2357.13</v>
      </c>
      <c r="N112" s="7">
        <f t="shared" si="20"/>
        <v>325.95999999999998</v>
      </c>
      <c r="O112" s="7">
        <f t="shared" si="20"/>
        <v>598.29544999999996</v>
      </c>
      <c r="P112" s="7">
        <f t="shared" si="20"/>
        <v>217.61</v>
      </c>
      <c r="Q112" s="7">
        <f t="shared" si="20"/>
        <v>29</v>
      </c>
      <c r="R112" s="7">
        <f t="shared" si="20"/>
        <v>73.7</v>
      </c>
      <c r="S112" s="7">
        <f t="shared" si="20"/>
        <v>2648.806</v>
      </c>
      <c r="T112" s="7">
        <f t="shared" si="20"/>
        <v>0</v>
      </c>
      <c r="U112" s="7">
        <f t="shared" si="20"/>
        <v>489.74099999999999</v>
      </c>
      <c r="V112" s="7">
        <f t="shared" si="20"/>
        <v>0</v>
      </c>
      <c r="W112" s="7">
        <f t="shared" si="20"/>
        <v>1448.317</v>
      </c>
      <c r="X112" s="7">
        <f t="shared" si="20"/>
        <v>458.21199999999999</v>
      </c>
      <c r="Y112" s="7">
        <f t="shared" si="20"/>
        <v>155.6</v>
      </c>
      <c r="Z112" s="7">
        <f t="shared" si="20"/>
        <v>2459.0250000000001</v>
      </c>
      <c r="AA112" s="7">
        <f t="shared" si="20"/>
        <v>750.51300000000003</v>
      </c>
      <c r="AB112" s="7">
        <f t="shared" si="20"/>
        <v>216.5</v>
      </c>
      <c r="AC112" s="7">
        <f t="shared" si="20"/>
        <v>1296.0889999999999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B6951-9D9F-4B90-B416-76194E80EE4D}">
  <dimension ref="A1:C27"/>
  <sheetViews>
    <sheetView workbookViewId="0">
      <selection activeCell="B4" sqref="B4"/>
    </sheetView>
  </sheetViews>
  <sheetFormatPr defaultRowHeight="14.4" x14ac:dyDescent="0.55000000000000004"/>
  <cols>
    <col min="2" max="2" width="28.47265625" bestFit="1" customWidth="1"/>
    <col min="3" max="3" width="29.05078125" customWidth="1"/>
  </cols>
  <sheetData>
    <row r="1" spans="1:3" ht="28.8" x14ac:dyDescent="0.55000000000000004">
      <c r="B1" s="16" t="s">
        <v>69</v>
      </c>
      <c r="C1" s="16" t="s">
        <v>68</v>
      </c>
    </row>
    <row r="2" spans="1:3" x14ac:dyDescent="0.55000000000000004">
      <c r="A2" t="s">
        <v>20</v>
      </c>
      <c r="B2" t="s">
        <v>66</v>
      </c>
      <c r="C2" t="s">
        <v>66</v>
      </c>
    </row>
    <row r="3" spans="1:3" x14ac:dyDescent="0.55000000000000004">
      <c r="A3" t="s">
        <v>17</v>
      </c>
      <c r="B3" t="s">
        <v>67</v>
      </c>
      <c r="C3" t="s">
        <v>67</v>
      </c>
    </row>
    <row r="4" spans="1:3" x14ac:dyDescent="0.55000000000000004">
      <c r="A4" t="s">
        <v>16</v>
      </c>
      <c r="B4" t="s">
        <v>67</v>
      </c>
      <c r="C4" t="s">
        <v>67</v>
      </c>
    </row>
    <row r="5" spans="1:3" x14ac:dyDescent="0.55000000000000004">
      <c r="A5" t="s">
        <v>3</v>
      </c>
      <c r="B5" t="s">
        <v>67</v>
      </c>
      <c r="C5" t="s">
        <v>66</v>
      </c>
    </row>
    <row r="6" spans="1:3" x14ac:dyDescent="0.55000000000000004">
      <c r="A6" t="s">
        <v>14</v>
      </c>
      <c r="B6" t="s">
        <v>67</v>
      </c>
      <c r="C6" t="s">
        <v>66</v>
      </c>
    </row>
    <row r="7" spans="1:3" x14ac:dyDescent="0.55000000000000004">
      <c r="A7" t="s">
        <v>13</v>
      </c>
      <c r="B7" t="s">
        <v>67</v>
      </c>
      <c r="C7" t="s">
        <v>67</v>
      </c>
    </row>
    <row r="8" spans="1:3" x14ac:dyDescent="0.55000000000000004">
      <c r="A8" t="s">
        <v>11</v>
      </c>
      <c r="B8" t="s">
        <v>67</v>
      </c>
      <c r="C8" t="s">
        <v>67</v>
      </c>
    </row>
    <row r="9" spans="1:3" x14ac:dyDescent="0.55000000000000004">
      <c r="A9" t="s">
        <v>26</v>
      </c>
      <c r="B9" t="s">
        <v>67</v>
      </c>
      <c r="C9" t="s">
        <v>67</v>
      </c>
    </row>
    <row r="10" spans="1:3" x14ac:dyDescent="0.55000000000000004">
      <c r="A10" t="s">
        <v>9</v>
      </c>
      <c r="B10" t="s">
        <v>67</v>
      </c>
      <c r="C10" t="s">
        <v>67</v>
      </c>
    </row>
    <row r="11" spans="1:3" x14ac:dyDescent="0.55000000000000004">
      <c r="A11" t="s">
        <v>19</v>
      </c>
      <c r="B11" t="s">
        <v>67</v>
      </c>
      <c r="C11" t="s">
        <v>67</v>
      </c>
    </row>
    <row r="12" spans="1:3" x14ac:dyDescent="0.55000000000000004">
      <c r="A12" t="s">
        <v>27</v>
      </c>
      <c r="B12" t="s">
        <v>67</v>
      </c>
      <c r="C12" t="s">
        <v>67</v>
      </c>
    </row>
    <row r="13" spans="1:3" x14ac:dyDescent="0.55000000000000004">
      <c r="A13" t="s">
        <v>4</v>
      </c>
      <c r="B13" t="s">
        <v>67</v>
      </c>
      <c r="C13" t="s">
        <v>67</v>
      </c>
    </row>
    <row r="14" spans="1:3" x14ac:dyDescent="0.55000000000000004">
      <c r="A14" t="s">
        <v>25</v>
      </c>
      <c r="B14" t="s">
        <v>67</v>
      </c>
      <c r="C14" t="s">
        <v>67</v>
      </c>
    </row>
    <row r="15" spans="1:3" x14ac:dyDescent="0.55000000000000004">
      <c r="A15" t="s">
        <v>8</v>
      </c>
      <c r="B15" t="s">
        <v>67</v>
      </c>
      <c r="C15" t="s">
        <v>67</v>
      </c>
    </row>
    <row r="16" spans="1:3" x14ac:dyDescent="0.55000000000000004">
      <c r="A16" t="s">
        <v>7</v>
      </c>
      <c r="B16" t="s">
        <v>67</v>
      </c>
      <c r="C16" t="s">
        <v>67</v>
      </c>
    </row>
    <row r="17" spans="1:3" x14ac:dyDescent="0.55000000000000004">
      <c r="A17" t="s">
        <v>18</v>
      </c>
      <c r="B17" t="s">
        <v>67</v>
      </c>
      <c r="C17" t="s">
        <v>67</v>
      </c>
    </row>
    <row r="18" spans="1:3" x14ac:dyDescent="0.55000000000000004">
      <c r="A18" t="s">
        <v>15</v>
      </c>
      <c r="B18" t="s">
        <v>67</v>
      </c>
      <c r="C18" t="s">
        <v>67</v>
      </c>
    </row>
    <row r="19" spans="1:3" x14ac:dyDescent="0.55000000000000004">
      <c r="A19" t="s">
        <v>12</v>
      </c>
      <c r="B19" t="s">
        <v>66</v>
      </c>
      <c r="C19" t="s">
        <v>66</v>
      </c>
    </row>
    <row r="20" spans="1:3" x14ac:dyDescent="0.55000000000000004">
      <c r="A20" t="s">
        <v>6</v>
      </c>
      <c r="B20" t="s">
        <v>67</v>
      </c>
      <c r="C20" t="s">
        <v>67</v>
      </c>
    </row>
    <row r="21" spans="1:3" x14ac:dyDescent="0.55000000000000004">
      <c r="A21" t="s">
        <v>21</v>
      </c>
      <c r="B21" t="s">
        <v>67</v>
      </c>
      <c r="C21" t="s">
        <v>67</v>
      </c>
    </row>
    <row r="22" spans="1:3" x14ac:dyDescent="0.55000000000000004">
      <c r="A22" t="s">
        <v>22</v>
      </c>
      <c r="B22" t="s">
        <v>67</v>
      </c>
      <c r="C22" t="s">
        <v>67</v>
      </c>
    </row>
    <row r="23" spans="1:3" x14ac:dyDescent="0.55000000000000004">
      <c r="A23" t="s">
        <v>5</v>
      </c>
      <c r="B23" t="s">
        <v>66</v>
      </c>
      <c r="C23" t="s">
        <v>66</v>
      </c>
    </row>
    <row r="24" spans="1:3" x14ac:dyDescent="0.55000000000000004">
      <c r="A24" t="s">
        <v>23</v>
      </c>
      <c r="B24" t="s">
        <v>66</v>
      </c>
      <c r="C24" t="s">
        <v>67</v>
      </c>
    </row>
    <row r="25" spans="1:3" x14ac:dyDescent="0.55000000000000004">
      <c r="A25" t="s">
        <v>24</v>
      </c>
      <c r="B25" t="s">
        <v>66</v>
      </c>
      <c r="C25" t="s">
        <v>67</v>
      </c>
    </row>
    <row r="26" spans="1:3" x14ac:dyDescent="0.55000000000000004">
      <c r="A26" t="s">
        <v>10</v>
      </c>
      <c r="B26" t="s">
        <v>67</v>
      </c>
      <c r="C26" t="s">
        <v>67</v>
      </c>
    </row>
    <row r="27" spans="1:3" x14ac:dyDescent="0.55000000000000004">
      <c r="A27" t="s">
        <v>2</v>
      </c>
      <c r="B27" t="s">
        <v>67</v>
      </c>
      <c r="C27" t="s">
        <v>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DA1C5DD1C76D544AACEF782C4501B75" ma:contentTypeVersion="19" ma:contentTypeDescription="Creare un nuovo documento." ma:contentTypeScope="" ma:versionID="a499c58ffabd42aabf3390aaf3366402">
  <xsd:schema xmlns:xsd="http://www.w3.org/2001/XMLSchema" xmlns:xs="http://www.w3.org/2001/XMLSchema" xmlns:p="http://schemas.microsoft.com/office/2006/metadata/properties" xmlns:ns2="5c44f38a-956f-4897-8911-fab8683ac3ce" xmlns:ns3="3a2a3416-dcc9-40bd-acae-10337fdfc866" targetNamespace="http://schemas.microsoft.com/office/2006/metadata/properties" ma:root="true" ma:fieldsID="e8982d7138531f864af2a42414bb32cb" ns2:_="" ns3:_="">
    <xsd:import namespace="5c44f38a-956f-4897-8911-fab8683ac3ce"/>
    <xsd:import namespace="3a2a3416-dcc9-40bd-acae-10337fdfc8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44f38a-956f-4897-8911-fab8683ac3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Tag immagine" ma:readOnly="false" ma:fieldId="{5cf76f15-5ced-4ddc-b409-7134ff3c332f}" ma:taxonomyMulti="true" ma:sspId="ec321eb7-7579-4b0b-aaae-46c07e4320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2a3416-dcc9-40bd-acae-10337fdfc866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62fda95-da61-44e4-806b-901d9f895423}" ma:internalName="TaxCatchAll" ma:showField="CatchAllData" ma:web="3a2a3416-dcc9-40bd-acae-10337fdfc8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c44f38a-956f-4897-8911-fab8683ac3ce">
      <Terms xmlns="http://schemas.microsoft.com/office/infopath/2007/PartnerControls"/>
    </lcf76f155ced4ddcb4097134ff3c332f>
    <TaxCatchAll xmlns="3a2a3416-dcc9-40bd-acae-10337fdfc866" xsi:nil="true"/>
  </documentManagement>
</p:properties>
</file>

<file path=customXml/itemProps1.xml><?xml version="1.0" encoding="utf-8"?>
<ds:datastoreItem xmlns:ds="http://schemas.openxmlformats.org/officeDocument/2006/customXml" ds:itemID="{329E6376-EF71-4344-86B5-F7A913751A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ED9B138-CA13-46B2-A276-1FFEC283A3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44f38a-956f-4897-8911-fab8683ac3ce"/>
    <ds:schemaRef ds:uri="3a2a3416-dcc9-40bd-acae-10337fdfc8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DEFE98F-8AA2-42A9-BA1C-119CFFBC0C14}">
  <ds:schemaRefs>
    <ds:schemaRef ds:uri="http://schemas.microsoft.com/office/2006/metadata/properties"/>
    <ds:schemaRef ds:uri="http://schemas.microsoft.com/office/infopath/2007/PartnerControls"/>
    <ds:schemaRef ds:uri="5c44f38a-956f-4897-8911-fab8683ac3ce"/>
    <ds:schemaRef ds:uri="3a2a3416-dcc9-40bd-acae-10337fdfc866"/>
  </ds:schemaRefs>
</ds:datastoreItem>
</file>

<file path=docMetadata/LabelInfo.xml><?xml version="1.0" encoding="utf-8"?>
<clbl:labelList xmlns:clbl="http://schemas.microsoft.com/office/2020/mipLabelMetadata">
  <clbl:label id="{621501d2-35ec-4e2f-a943-318b0c522b25}" enabled="1" method="Standard" siteId="{832538a4-939e-4f12-952e-e33cf9e5689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19</vt:i4>
      </vt:variant>
    </vt:vector>
  </HeadingPairs>
  <TitlesOfParts>
    <vt:vector size="19" baseType="lpstr">
      <vt:lpstr>Read me</vt:lpstr>
      <vt:lpstr>Total</vt:lpstr>
      <vt:lpstr>2024</vt:lpstr>
      <vt:lpstr>2024 CHF</vt:lpstr>
      <vt:lpstr>2023</vt:lpstr>
      <vt:lpstr>2023 CHF</vt:lpstr>
      <vt:lpstr>2022</vt:lpstr>
      <vt:lpstr>2022 CHF</vt:lpstr>
      <vt:lpstr>2021</vt:lpstr>
      <vt:lpstr>2021 CHF</vt:lpstr>
      <vt:lpstr>2020</vt:lpstr>
      <vt:lpstr>2020 CHF</vt:lpstr>
      <vt:lpstr>2019</vt:lpstr>
      <vt:lpstr>2019 CHF</vt:lpstr>
      <vt:lpstr>2018</vt:lpstr>
      <vt:lpstr>2018 CHF</vt:lpstr>
      <vt:lpstr>2017</vt:lpstr>
      <vt:lpstr>2017 CHF</vt:lpstr>
      <vt:lpstr>Applicazione MoPEC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Palucci Matteo</dc:creator>
  <cp:lastModifiedBy>Palucci Matteo</cp:lastModifiedBy>
  <dcterms:created xsi:type="dcterms:W3CDTF">2015-06-05T18:19:34Z</dcterms:created>
  <dcterms:modified xsi:type="dcterms:W3CDTF">2025-10-15T15:50:04Z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0x0101002DA1C5DD1C76D544AACEF782C4501B75</vt:lpwstr>
  </property>
  <property fmtid="{D5CDD505-2E9C-101B-9397-08002B2CF9AE}" pid="3" name="MediaServiceImageTags">
    <vt:lpwstr/>
  </property>
</Properties>
</file>